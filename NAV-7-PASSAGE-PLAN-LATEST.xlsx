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21F85E3-EFF0-4AD6-BE77-3E2C85E22BF7}" xr6:coauthVersionLast="47" xr6:coauthVersionMax="47" xr10:uidLastSave="{00000000-0000-0000-0000-000000000000}"/>
  <bookViews>
    <workbookView xWindow="-120" yWindow="-120" windowWidth="20730" windowHeight="11040" tabRatio="688" xr2:uid="{00000000-000D-0000-FFFF-FFFF00000000}"/>
  </bookViews>
  <sheets>
    <sheet name="FRONT PAGE" sheetId="42" r:id="rId1"/>
    <sheet name="GENERAL INFORMATION" sheetId="36" r:id="rId2"/>
    <sheet name="CHARTS &amp; PUBLICATIONS" sheetId="43" r:id="rId3"/>
    <sheet name="DEPARTURE - Berth to Pilot" sheetId="37" r:id="rId4"/>
    <sheet name="SEA PASSAGE - Pilot to Pilot " sheetId="35" r:id="rId5"/>
    <sheet name=" ARRIVAL - Pilot to Berth" sheetId="38" r:id="rId6"/>
    <sheet name="SAMPLE" sheetId="26" r:id="rId7"/>
    <sheet name="NGO(TOKAI)-TPE (E-PASS)-ok" sheetId="28" state="hidden" r:id="rId8"/>
    <sheet name="NGO(TOKAI)-TPE (E-PASS)-CURRENT" sheetId="29" state="hidden" r:id="rId9"/>
    <sheet name="NAKA-YOK - OK FIX" sheetId="31" state="hidden" r:id="rId10"/>
  </sheets>
  <definedNames>
    <definedName name="_xlnm.Print_Area" localSheetId="5">' ARRIVAL - Pilot to Berth'!$A$1:$AD$101</definedName>
    <definedName name="_xlnm.Print_Area" localSheetId="3">'DEPARTURE - Berth to Pilot'!$A$1:$AD$101</definedName>
    <definedName name="_xlnm.Print_Area" localSheetId="9">'NAKA-YOK - OK FIX'!$A$1:$AD$97</definedName>
    <definedName name="_xlnm.Print_Area" localSheetId="8">'NGO(TOKAI)-TPE (E-PASS)-CURRENT'!$A$1:$AD$194</definedName>
    <definedName name="_xlnm.Print_Area" localSheetId="7">'NGO(TOKAI)-TPE (E-PASS)-ok'!$A$1:$AD$194</definedName>
    <definedName name="_xlnm.Print_Area" localSheetId="6">SAMPLE!$A$1:$AD$194</definedName>
    <definedName name="_xlnm.Print_Area" localSheetId="4">'SEA PASSAGE - Pilot to Pilot '!$A$1:$AD$101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38" l="1"/>
  <c r="X7" i="38"/>
  <c r="R7" i="38"/>
  <c r="C7" i="38"/>
  <c r="AB5" i="38"/>
  <c r="AB4" i="38"/>
  <c r="W5" i="38"/>
  <c r="W4" i="38"/>
  <c r="C5" i="38"/>
  <c r="C4" i="38"/>
  <c r="R12" i="37"/>
  <c r="AB7" i="35"/>
  <c r="X7" i="35"/>
  <c r="R7" i="35"/>
  <c r="C7" i="35"/>
  <c r="AB5" i="35"/>
  <c r="AB4" i="35"/>
  <c r="W5" i="35"/>
  <c r="W4" i="35"/>
  <c r="C5" i="35"/>
  <c r="C4" i="35"/>
  <c r="AB7" i="37"/>
  <c r="X7" i="37"/>
  <c r="R7" i="37"/>
  <c r="C7" i="37"/>
  <c r="AB5" i="37"/>
  <c r="AB4" i="37"/>
  <c r="W5" i="37"/>
  <c r="W4" i="37"/>
  <c r="C5" i="37"/>
  <c r="C4" i="37"/>
  <c r="O7" i="43"/>
  <c r="O6" i="43"/>
  <c r="I7" i="43"/>
  <c r="I6" i="43"/>
  <c r="C7" i="43"/>
  <c r="C6" i="43"/>
  <c r="N10" i="36"/>
  <c r="I10" i="36"/>
  <c r="C10" i="36"/>
  <c r="C9" i="36"/>
  <c r="M7" i="36"/>
  <c r="M6" i="36"/>
  <c r="H7" i="36"/>
  <c r="H6" i="36"/>
  <c r="C7" i="36"/>
  <c r="C6" i="36"/>
  <c r="C59" i="35"/>
  <c r="C60" i="35"/>
  <c r="E59" i="35" s="1"/>
  <c r="H59" i="35" s="1"/>
  <c r="P59" i="35"/>
  <c r="F97" i="38"/>
  <c r="E97" i="38"/>
  <c r="H97" i="38" s="1"/>
  <c r="D97" i="38"/>
  <c r="E95" i="38"/>
  <c r="H95" i="38" s="1"/>
  <c r="D95" i="38"/>
  <c r="G94" i="38" s="1"/>
  <c r="E93" i="38"/>
  <c r="H93" i="38" s="1"/>
  <c r="D93" i="38"/>
  <c r="F93" i="38" s="1"/>
  <c r="E91" i="38"/>
  <c r="H91" i="38" s="1"/>
  <c r="D91" i="38"/>
  <c r="G90" i="38" s="1"/>
  <c r="F89" i="38"/>
  <c r="E89" i="38"/>
  <c r="H89" i="38" s="1"/>
  <c r="D89" i="38"/>
  <c r="E87" i="38"/>
  <c r="H87" i="38" s="1"/>
  <c r="D87" i="38"/>
  <c r="E85" i="38"/>
  <c r="H85" i="38" s="1"/>
  <c r="D85" i="38"/>
  <c r="E83" i="38"/>
  <c r="H83" i="38" s="1"/>
  <c r="D83" i="38"/>
  <c r="G82" i="38" s="1"/>
  <c r="E81" i="38"/>
  <c r="H81" i="38" s="1"/>
  <c r="D81" i="38"/>
  <c r="F81" i="38" s="1"/>
  <c r="F79" i="38"/>
  <c r="E79" i="38"/>
  <c r="H79" i="38" s="1"/>
  <c r="D79" i="38"/>
  <c r="F77" i="38"/>
  <c r="E77" i="38"/>
  <c r="H77" i="38" s="1"/>
  <c r="D77" i="38"/>
  <c r="G76" i="38"/>
  <c r="E75" i="38"/>
  <c r="H75" i="38" s="1"/>
  <c r="D75" i="38"/>
  <c r="G74" i="38" s="1"/>
  <c r="F73" i="38"/>
  <c r="E73" i="38"/>
  <c r="H73" i="38" s="1"/>
  <c r="D73" i="38"/>
  <c r="F71" i="38"/>
  <c r="E71" i="38"/>
  <c r="H71" i="38" s="1"/>
  <c r="D71" i="38"/>
  <c r="G72" i="38" s="1"/>
  <c r="E69" i="38"/>
  <c r="H69" i="38" s="1"/>
  <c r="D69" i="38"/>
  <c r="E67" i="38"/>
  <c r="H67" i="38" s="1"/>
  <c r="D67" i="38"/>
  <c r="G66" i="38" s="1"/>
  <c r="E65" i="38"/>
  <c r="H65" i="38" s="1"/>
  <c r="D65" i="38"/>
  <c r="F65" i="38" s="1"/>
  <c r="E63" i="38"/>
  <c r="H63" i="38" s="1"/>
  <c r="D63" i="38"/>
  <c r="F61" i="38"/>
  <c r="E61" i="38"/>
  <c r="H61" i="38" s="1"/>
  <c r="D61" i="38"/>
  <c r="C60" i="38"/>
  <c r="E59" i="38" s="1"/>
  <c r="H59" i="38" s="1"/>
  <c r="I60" i="38" s="1"/>
  <c r="P59" i="38"/>
  <c r="C59" i="38"/>
  <c r="D59" i="38" s="1"/>
  <c r="B59" i="38"/>
  <c r="AD54" i="38"/>
  <c r="A54" i="38"/>
  <c r="T53" i="38"/>
  <c r="Q53" i="38"/>
  <c r="T52" i="38"/>
  <c r="Q52" i="38"/>
  <c r="E50" i="38"/>
  <c r="H50" i="38" s="1"/>
  <c r="D50" i="38"/>
  <c r="F50" i="38" s="1"/>
  <c r="E48" i="38"/>
  <c r="H48" i="38" s="1"/>
  <c r="D48" i="38"/>
  <c r="H46" i="38"/>
  <c r="E46" i="38"/>
  <c r="D46" i="38"/>
  <c r="E44" i="38"/>
  <c r="H44" i="38" s="1"/>
  <c r="D44" i="38"/>
  <c r="H42" i="38"/>
  <c r="E42" i="38"/>
  <c r="D42" i="38"/>
  <c r="G43" i="38" s="1"/>
  <c r="F40" i="38"/>
  <c r="E40" i="38"/>
  <c r="H40" i="38" s="1"/>
  <c r="D40" i="38"/>
  <c r="F38" i="38"/>
  <c r="E38" i="38"/>
  <c r="H38" i="38" s="1"/>
  <c r="D38" i="38"/>
  <c r="E36" i="38"/>
  <c r="H36" i="38" s="1"/>
  <c r="D36" i="38"/>
  <c r="G37" i="38" s="1"/>
  <c r="E34" i="38"/>
  <c r="H34" i="38" s="1"/>
  <c r="D34" i="38"/>
  <c r="E32" i="38"/>
  <c r="H32" i="38" s="1"/>
  <c r="D32" i="38"/>
  <c r="H30" i="38"/>
  <c r="E30" i="38"/>
  <c r="D30" i="38"/>
  <c r="H28" i="38"/>
  <c r="F28" i="38"/>
  <c r="E28" i="38"/>
  <c r="D28" i="38"/>
  <c r="E26" i="38"/>
  <c r="H26" i="38" s="1"/>
  <c r="D26" i="38"/>
  <c r="E24" i="38"/>
  <c r="H24" i="38" s="1"/>
  <c r="D24" i="38"/>
  <c r="F22" i="38"/>
  <c r="E22" i="38"/>
  <c r="H22" i="38" s="1"/>
  <c r="D22" i="38"/>
  <c r="F20" i="38"/>
  <c r="E20" i="38"/>
  <c r="H20" i="38" s="1"/>
  <c r="D20" i="38"/>
  <c r="H18" i="38"/>
  <c r="E18" i="38"/>
  <c r="D18" i="38"/>
  <c r="G19" i="38" s="1"/>
  <c r="H16" i="38"/>
  <c r="E16" i="38"/>
  <c r="D16" i="38"/>
  <c r="H14" i="38"/>
  <c r="F14" i="38"/>
  <c r="E14" i="38"/>
  <c r="D14" i="38"/>
  <c r="E12" i="38"/>
  <c r="H12" i="38" s="1"/>
  <c r="D12" i="38"/>
  <c r="G13" i="38" s="1"/>
  <c r="H97" i="37"/>
  <c r="E97" i="37"/>
  <c r="D97" i="37"/>
  <c r="F97" i="37" s="1"/>
  <c r="E95" i="37"/>
  <c r="H95" i="37" s="1"/>
  <c r="D95" i="37"/>
  <c r="E93" i="37"/>
  <c r="H93" i="37" s="1"/>
  <c r="D93" i="37"/>
  <c r="E91" i="37"/>
  <c r="H91" i="37" s="1"/>
  <c r="D91" i="37"/>
  <c r="G92" i="37" s="1"/>
  <c r="E89" i="37"/>
  <c r="H89" i="37" s="1"/>
  <c r="D89" i="37"/>
  <c r="E87" i="37"/>
  <c r="H87" i="37" s="1"/>
  <c r="D87" i="37"/>
  <c r="H85" i="37"/>
  <c r="F85" i="37"/>
  <c r="E85" i="37"/>
  <c r="D85" i="37"/>
  <c r="E83" i="37"/>
  <c r="H83" i="37" s="1"/>
  <c r="D83" i="37"/>
  <c r="G84" i="37" s="1"/>
  <c r="H81" i="37"/>
  <c r="F81" i="37"/>
  <c r="E81" i="37"/>
  <c r="D81" i="37"/>
  <c r="E79" i="37"/>
  <c r="H79" i="37" s="1"/>
  <c r="D79" i="37"/>
  <c r="G80" i="37" s="1"/>
  <c r="F77" i="37"/>
  <c r="E77" i="37"/>
  <c r="H77" i="37" s="1"/>
  <c r="D77" i="37"/>
  <c r="E75" i="37"/>
  <c r="H75" i="37" s="1"/>
  <c r="D75" i="37"/>
  <c r="G76" i="37" s="1"/>
  <c r="F73" i="37"/>
  <c r="E73" i="37"/>
  <c r="H73" i="37" s="1"/>
  <c r="D73" i="37"/>
  <c r="E71" i="37"/>
  <c r="H71" i="37" s="1"/>
  <c r="D71" i="37"/>
  <c r="G72" i="37" s="1"/>
  <c r="H69" i="37"/>
  <c r="E69" i="37"/>
  <c r="D69" i="37"/>
  <c r="E67" i="37"/>
  <c r="H67" i="37" s="1"/>
  <c r="D67" i="37"/>
  <c r="G68" i="37" s="1"/>
  <c r="E65" i="37"/>
  <c r="H65" i="37" s="1"/>
  <c r="D65" i="37"/>
  <c r="F63" i="37"/>
  <c r="E63" i="37"/>
  <c r="H63" i="37" s="1"/>
  <c r="D63" i="37"/>
  <c r="G64" i="37" s="1"/>
  <c r="E61" i="37"/>
  <c r="H61" i="37" s="1"/>
  <c r="D61" i="37"/>
  <c r="G62" i="37" s="1"/>
  <c r="C60" i="37"/>
  <c r="E59" i="37" s="1"/>
  <c r="H59" i="37" s="1"/>
  <c r="P59" i="37"/>
  <c r="C59" i="37"/>
  <c r="D59" i="37" s="1"/>
  <c r="B59" i="37"/>
  <c r="AD54" i="37"/>
  <c r="A54" i="37"/>
  <c r="T53" i="37"/>
  <c r="Q53" i="37"/>
  <c r="T52" i="37"/>
  <c r="Q52" i="37"/>
  <c r="E50" i="37"/>
  <c r="H50" i="37" s="1"/>
  <c r="D50" i="37"/>
  <c r="F50" i="37" s="1"/>
  <c r="E48" i="37"/>
  <c r="H48" i="37" s="1"/>
  <c r="D48" i="37"/>
  <c r="E46" i="37"/>
  <c r="H46" i="37" s="1"/>
  <c r="D46" i="37"/>
  <c r="E44" i="37"/>
  <c r="H44" i="37" s="1"/>
  <c r="D44" i="37"/>
  <c r="E42" i="37"/>
  <c r="H42" i="37" s="1"/>
  <c r="D42" i="37"/>
  <c r="E40" i="37"/>
  <c r="H40" i="37" s="1"/>
  <c r="D40" i="37"/>
  <c r="E38" i="37"/>
  <c r="H38" i="37" s="1"/>
  <c r="D38" i="37"/>
  <c r="E36" i="37"/>
  <c r="H36" i="37" s="1"/>
  <c r="D36" i="37"/>
  <c r="G37" i="37" s="1"/>
  <c r="E34" i="37"/>
  <c r="H34" i="37" s="1"/>
  <c r="D34" i="37"/>
  <c r="E32" i="37"/>
  <c r="H32" i="37" s="1"/>
  <c r="D32" i="37"/>
  <c r="E30" i="37"/>
  <c r="H30" i="37" s="1"/>
  <c r="D30" i="37"/>
  <c r="E28" i="37"/>
  <c r="H28" i="37" s="1"/>
  <c r="D28" i="37"/>
  <c r="G29" i="37" s="1"/>
  <c r="E26" i="37"/>
  <c r="H26" i="37" s="1"/>
  <c r="D26" i="37"/>
  <c r="E24" i="37"/>
  <c r="H24" i="37" s="1"/>
  <c r="D24" i="37"/>
  <c r="E22" i="37"/>
  <c r="H22" i="37" s="1"/>
  <c r="D22" i="37"/>
  <c r="E20" i="37"/>
  <c r="H20" i="37" s="1"/>
  <c r="D20" i="37"/>
  <c r="G21" i="37" s="1"/>
  <c r="E18" i="37"/>
  <c r="H18" i="37" s="1"/>
  <c r="D18" i="37"/>
  <c r="G19" i="37" s="1"/>
  <c r="E16" i="37"/>
  <c r="H16" i="37" s="1"/>
  <c r="D16" i="37"/>
  <c r="E14" i="37"/>
  <c r="H14" i="37" s="1"/>
  <c r="D14" i="37"/>
  <c r="E12" i="37"/>
  <c r="H12" i="37" s="1"/>
  <c r="D12" i="37"/>
  <c r="F12" i="37" s="1"/>
  <c r="B59" i="35"/>
  <c r="W11" i="26"/>
  <c r="Q53" i="35"/>
  <c r="T53" i="35"/>
  <c r="A54" i="35"/>
  <c r="AD54" i="35"/>
  <c r="D50" i="35"/>
  <c r="F50" i="35" s="1"/>
  <c r="E50" i="35"/>
  <c r="H50" i="35" s="1"/>
  <c r="E97" i="35"/>
  <c r="H97" i="35" s="1"/>
  <c r="D97" i="35"/>
  <c r="F97" i="35" s="1"/>
  <c r="E95" i="35"/>
  <c r="H95" i="35" s="1"/>
  <c r="D95" i="35"/>
  <c r="F95" i="35" s="1"/>
  <c r="E93" i="35"/>
  <c r="H93" i="35" s="1"/>
  <c r="D93" i="35"/>
  <c r="E91" i="35"/>
  <c r="H91" i="35" s="1"/>
  <c r="D91" i="35"/>
  <c r="E89" i="35"/>
  <c r="H89" i="35" s="1"/>
  <c r="D89" i="35"/>
  <c r="E87" i="35"/>
  <c r="H87" i="35" s="1"/>
  <c r="D87" i="35"/>
  <c r="E85" i="35"/>
  <c r="H85" i="35" s="1"/>
  <c r="D85" i="35"/>
  <c r="F85" i="35" s="1"/>
  <c r="E83" i="35"/>
  <c r="H83" i="35" s="1"/>
  <c r="D83" i="35"/>
  <c r="E81" i="35"/>
  <c r="H81" i="35" s="1"/>
  <c r="D81" i="35"/>
  <c r="F81" i="35" s="1"/>
  <c r="E79" i="35"/>
  <c r="H79" i="35" s="1"/>
  <c r="D79" i="35"/>
  <c r="E77" i="35"/>
  <c r="H77" i="35" s="1"/>
  <c r="D77" i="35"/>
  <c r="E75" i="35"/>
  <c r="H75" i="35" s="1"/>
  <c r="D75" i="35"/>
  <c r="E73" i="35"/>
  <c r="H73" i="35" s="1"/>
  <c r="D73" i="35"/>
  <c r="E71" i="35"/>
  <c r="H71" i="35" s="1"/>
  <c r="D71" i="35"/>
  <c r="E69" i="35"/>
  <c r="H69" i="35" s="1"/>
  <c r="D69" i="35"/>
  <c r="F69" i="35" s="1"/>
  <c r="E67" i="35"/>
  <c r="H67" i="35" s="1"/>
  <c r="D67" i="35"/>
  <c r="F67" i="35" s="1"/>
  <c r="E65" i="35"/>
  <c r="H65" i="35" s="1"/>
  <c r="D65" i="35"/>
  <c r="F65" i="35" s="1"/>
  <c r="E63" i="35"/>
  <c r="H63" i="35" s="1"/>
  <c r="D63" i="35"/>
  <c r="F63" i="35" s="1"/>
  <c r="E61" i="35"/>
  <c r="H61" i="35" s="1"/>
  <c r="D61" i="35"/>
  <c r="D59" i="35"/>
  <c r="F59" i="35" s="1"/>
  <c r="T52" i="35"/>
  <c r="Q52" i="35"/>
  <c r="E48" i="35"/>
  <c r="H48" i="35" s="1"/>
  <c r="D48" i="35"/>
  <c r="F48" i="35" s="1"/>
  <c r="E46" i="35"/>
  <c r="H46" i="35" s="1"/>
  <c r="D46" i="35"/>
  <c r="E44" i="35"/>
  <c r="H44" i="35" s="1"/>
  <c r="D44" i="35"/>
  <c r="E42" i="35"/>
  <c r="H42" i="35" s="1"/>
  <c r="D42" i="35"/>
  <c r="F42" i="35" s="1"/>
  <c r="E40" i="35"/>
  <c r="H40" i="35" s="1"/>
  <c r="D40" i="35"/>
  <c r="E38" i="35"/>
  <c r="H38" i="35" s="1"/>
  <c r="D38" i="35"/>
  <c r="E36" i="35"/>
  <c r="H36" i="35" s="1"/>
  <c r="D36" i="35"/>
  <c r="E34" i="35"/>
  <c r="H34" i="35" s="1"/>
  <c r="D34" i="35"/>
  <c r="F34" i="35" s="1"/>
  <c r="E32" i="35"/>
  <c r="H32" i="35" s="1"/>
  <c r="D32" i="35"/>
  <c r="F32" i="35" s="1"/>
  <c r="E30" i="35"/>
  <c r="H30" i="35" s="1"/>
  <c r="D30" i="35"/>
  <c r="E28" i="35"/>
  <c r="H28" i="35" s="1"/>
  <c r="D28" i="35"/>
  <c r="E26" i="35"/>
  <c r="H26" i="35" s="1"/>
  <c r="D26" i="35"/>
  <c r="F26" i="35" s="1"/>
  <c r="E24" i="35"/>
  <c r="H24" i="35" s="1"/>
  <c r="D24" i="35"/>
  <c r="F24" i="35" s="1"/>
  <c r="E22" i="35"/>
  <c r="H22" i="35" s="1"/>
  <c r="D22" i="35"/>
  <c r="E20" i="35"/>
  <c r="H20" i="35" s="1"/>
  <c r="D20" i="35"/>
  <c r="E18" i="35"/>
  <c r="H18" i="35" s="1"/>
  <c r="D18" i="35"/>
  <c r="F18" i="35" s="1"/>
  <c r="E16" i="35"/>
  <c r="H16" i="35" s="1"/>
  <c r="D16" i="35"/>
  <c r="F16" i="35" s="1"/>
  <c r="E14" i="35"/>
  <c r="H14" i="35" s="1"/>
  <c r="D14" i="35"/>
  <c r="E12" i="35"/>
  <c r="H12" i="35" s="1"/>
  <c r="D12" i="35"/>
  <c r="F12" i="35" s="1"/>
  <c r="G96" i="37" l="1"/>
  <c r="F95" i="37"/>
  <c r="J96" i="37" s="1"/>
  <c r="G94" i="37"/>
  <c r="F93" i="37"/>
  <c r="J94" i="37" s="1"/>
  <c r="F91" i="37"/>
  <c r="G90" i="37"/>
  <c r="F89" i="37"/>
  <c r="J90" i="37" s="1"/>
  <c r="K90" i="37" s="1"/>
  <c r="L90" i="37" s="1"/>
  <c r="N90" i="37" s="1"/>
  <c r="G88" i="37"/>
  <c r="F87" i="37"/>
  <c r="J88" i="37" s="1"/>
  <c r="G86" i="37"/>
  <c r="J86" i="37"/>
  <c r="F83" i="37"/>
  <c r="J84" i="37" s="1"/>
  <c r="G82" i="37"/>
  <c r="J82" i="37"/>
  <c r="F79" i="37"/>
  <c r="J80" i="37" s="1"/>
  <c r="G78" i="37"/>
  <c r="J78" i="37"/>
  <c r="F75" i="37"/>
  <c r="J76" i="37" s="1"/>
  <c r="G74" i="37"/>
  <c r="J74" i="37"/>
  <c r="F71" i="37"/>
  <c r="J72" i="37" s="1"/>
  <c r="G70" i="37"/>
  <c r="F69" i="37"/>
  <c r="J70" i="37" s="1"/>
  <c r="G66" i="37"/>
  <c r="F67" i="37"/>
  <c r="J68" i="37" s="1"/>
  <c r="F65" i="37"/>
  <c r="J64" i="37"/>
  <c r="I60" i="37"/>
  <c r="F61" i="37"/>
  <c r="J62" i="37" s="1"/>
  <c r="I49" i="37"/>
  <c r="G49" i="37"/>
  <c r="G47" i="37"/>
  <c r="I45" i="37"/>
  <c r="G45" i="37"/>
  <c r="G43" i="37"/>
  <c r="I41" i="37"/>
  <c r="G41" i="37"/>
  <c r="G39" i="37"/>
  <c r="I37" i="37"/>
  <c r="G35" i="37"/>
  <c r="I33" i="37"/>
  <c r="G33" i="37"/>
  <c r="G31" i="37"/>
  <c r="I29" i="37"/>
  <c r="G27" i="37"/>
  <c r="I25" i="37"/>
  <c r="G25" i="37"/>
  <c r="G23" i="37"/>
  <c r="I21" i="37"/>
  <c r="I17" i="37"/>
  <c r="G17" i="37"/>
  <c r="G15" i="37"/>
  <c r="F95" i="38"/>
  <c r="J96" i="38" s="1"/>
  <c r="K96" i="38" s="1"/>
  <c r="L96" i="38" s="1"/>
  <c r="N96" i="38" s="1"/>
  <c r="G96" i="38"/>
  <c r="J94" i="38"/>
  <c r="F91" i="38"/>
  <c r="J92" i="38" s="1"/>
  <c r="G92" i="38"/>
  <c r="G88" i="38"/>
  <c r="F87" i="38"/>
  <c r="J88" i="38" s="1"/>
  <c r="G86" i="38"/>
  <c r="G84" i="38"/>
  <c r="F85" i="38"/>
  <c r="J86" i="38" s="1"/>
  <c r="F83" i="38"/>
  <c r="J82" i="38"/>
  <c r="J80" i="38"/>
  <c r="G80" i="38"/>
  <c r="G78" i="38"/>
  <c r="J78" i="38"/>
  <c r="F75" i="38"/>
  <c r="J76" i="38" s="1"/>
  <c r="J74" i="38"/>
  <c r="J72" i="38"/>
  <c r="G70" i="38"/>
  <c r="F69" i="38"/>
  <c r="J70" i="38" s="1"/>
  <c r="F67" i="38"/>
  <c r="J68" i="38" s="1"/>
  <c r="G68" i="38"/>
  <c r="G64" i="38"/>
  <c r="F63" i="38"/>
  <c r="J64" i="38" s="1"/>
  <c r="G62" i="38"/>
  <c r="J62" i="38"/>
  <c r="I49" i="38"/>
  <c r="K49" i="38" s="1"/>
  <c r="L49" i="38" s="1"/>
  <c r="N49" i="38" s="1"/>
  <c r="N59" i="38" s="1"/>
  <c r="G49" i="38"/>
  <c r="I47" i="38"/>
  <c r="F48" i="38"/>
  <c r="J49" i="38" s="1"/>
  <c r="G47" i="38"/>
  <c r="I45" i="38"/>
  <c r="G45" i="38"/>
  <c r="F46" i="38"/>
  <c r="J47" i="38" s="1"/>
  <c r="K47" i="38" s="1"/>
  <c r="L47" i="38" s="1"/>
  <c r="N47" i="38" s="1"/>
  <c r="I43" i="38"/>
  <c r="F44" i="38"/>
  <c r="I41" i="38"/>
  <c r="G41" i="38"/>
  <c r="F42" i="38"/>
  <c r="J41" i="38" s="1"/>
  <c r="K41" i="38" s="1"/>
  <c r="L41" i="38" s="1"/>
  <c r="N41" i="38" s="1"/>
  <c r="I39" i="38"/>
  <c r="K39" i="38" s="1"/>
  <c r="L39" i="38" s="1"/>
  <c r="N39" i="38" s="1"/>
  <c r="G39" i="38"/>
  <c r="J39" i="38"/>
  <c r="I37" i="38"/>
  <c r="I35" i="38"/>
  <c r="F36" i="38"/>
  <c r="J37" i="38" s="1"/>
  <c r="K37" i="38" s="1"/>
  <c r="L37" i="38" s="1"/>
  <c r="N37" i="38" s="1"/>
  <c r="G35" i="38"/>
  <c r="I33" i="38"/>
  <c r="G33" i="38"/>
  <c r="F34" i="38"/>
  <c r="I31" i="38"/>
  <c r="F32" i="38"/>
  <c r="G31" i="38"/>
  <c r="I29" i="38"/>
  <c r="K29" i="38" s="1"/>
  <c r="L29" i="38" s="1"/>
  <c r="N29" i="38" s="1"/>
  <c r="F30" i="38"/>
  <c r="J29" i="38" s="1"/>
  <c r="G29" i="38"/>
  <c r="I27" i="38"/>
  <c r="G27" i="38"/>
  <c r="I25" i="38"/>
  <c r="K25" i="38" s="1"/>
  <c r="L25" i="38" s="1"/>
  <c r="N25" i="38" s="1"/>
  <c r="F26" i="38"/>
  <c r="J27" i="38" s="1"/>
  <c r="K27" i="38" s="1"/>
  <c r="G25" i="38"/>
  <c r="I23" i="38"/>
  <c r="G23" i="38"/>
  <c r="F24" i="38"/>
  <c r="I21" i="38"/>
  <c r="K21" i="38" s="1"/>
  <c r="L21" i="38" s="1"/>
  <c r="N21" i="38" s="1"/>
  <c r="K23" i="38"/>
  <c r="L23" i="38" s="1"/>
  <c r="N23" i="38" s="1"/>
  <c r="G21" i="38"/>
  <c r="J21" i="38"/>
  <c r="I19" i="38"/>
  <c r="I17" i="38"/>
  <c r="F18" i="38"/>
  <c r="J19" i="38" s="1"/>
  <c r="G17" i="38"/>
  <c r="I15" i="38"/>
  <c r="F16" i="38"/>
  <c r="G15" i="38"/>
  <c r="I13" i="38"/>
  <c r="F12" i="38"/>
  <c r="J13" i="38" s="1"/>
  <c r="K13" i="38" s="1"/>
  <c r="L13" i="38" s="1"/>
  <c r="N13" i="38" s="1"/>
  <c r="F59" i="38"/>
  <c r="J60" i="38" s="1"/>
  <c r="K60" i="38" s="1"/>
  <c r="L60" i="38" s="1"/>
  <c r="N60" i="38" s="1"/>
  <c r="G60" i="38"/>
  <c r="I64" i="38"/>
  <c r="I68" i="38"/>
  <c r="I72" i="38"/>
  <c r="K72" i="38" s="1"/>
  <c r="L72" i="38" s="1"/>
  <c r="N72" i="38" s="1"/>
  <c r="I76" i="38"/>
  <c r="K76" i="38" s="1"/>
  <c r="L76" i="38" s="1"/>
  <c r="N76" i="38" s="1"/>
  <c r="I80" i="38"/>
  <c r="K80" i="38" s="1"/>
  <c r="L80" i="38" s="1"/>
  <c r="N80" i="38" s="1"/>
  <c r="I84" i="38"/>
  <c r="K84" i="38" s="1"/>
  <c r="L84" i="38" s="1"/>
  <c r="N84" i="38" s="1"/>
  <c r="I88" i="38"/>
  <c r="I92" i="38"/>
  <c r="I96" i="38"/>
  <c r="I62" i="38"/>
  <c r="I66" i="38"/>
  <c r="I70" i="38"/>
  <c r="I74" i="38"/>
  <c r="I78" i="38"/>
  <c r="I82" i="38"/>
  <c r="I86" i="38"/>
  <c r="I90" i="38"/>
  <c r="I94" i="38"/>
  <c r="I19" i="37"/>
  <c r="I27" i="37"/>
  <c r="I35" i="37"/>
  <c r="I43" i="37"/>
  <c r="F59" i="37"/>
  <c r="G60" i="37"/>
  <c r="I15" i="37"/>
  <c r="I13" i="37"/>
  <c r="I23" i="37"/>
  <c r="I31" i="37"/>
  <c r="I39" i="37"/>
  <c r="I47" i="37"/>
  <c r="K62" i="37"/>
  <c r="L62" i="37" s="1"/>
  <c r="N62" i="37" s="1"/>
  <c r="K94" i="37"/>
  <c r="L94" i="37" s="1"/>
  <c r="N94" i="37" s="1"/>
  <c r="F14" i="37"/>
  <c r="F16" i="37"/>
  <c r="F18" i="37"/>
  <c r="F20" i="37"/>
  <c r="F22" i="37"/>
  <c r="F24" i="37"/>
  <c r="F26" i="37"/>
  <c r="F28" i="37"/>
  <c r="F30" i="37"/>
  <c r="F32" i="37"/>
  <c r="F34" i="37"/>
  <c r="F36" i="37"/>
  <c r="J37" i="37" s="1"/>
  <c r="K37" i="37"/>
  <c r="L37" i="37" s="1"/>
  <c r="N37" i="37" s="1"/>
  <c r="F38" i="37"/>
  <c r="F40" i="37"/>
  <c r="F42" i="37"/>
  <c r="F44" i="37"/>
  <c r="F46" i="37"/>
  <c r="F48" i="37"/>
  <c r="J49" i="37" s="1"/>
  <c r="K49" i="37" s="1"/>
  <c r="I62" i="37"/>
  <c r="I64" i="37"/>
  <c r="I66" i="37"/>
  <c r="I68" i="37"/>
  <c r="I70" i="37"/>
  <c r="K70" i="37" s="1"/>
  <c r="L70" i="37" s="1"/>
  <c r="N70" i="37" s="1"/>
  <c r="I72" i="37"/>
  <c r="I74" i="37"/>
  <c r="I76" i="37"/>
  <c r="I78" i="37"/>
  <c r="K78" i="37" s="1"/>
  <c r="L78" i="37" s="1"/>
  <c r="N78" i="37" s="1"/>
  <c r="I80" i="37"/>
  <c r="I82" i="37"/>
  <c r="I84" i="37"/>
  <c r="I86" i="37"/>
  <c r="K86" i="37" s="1"/>
  <c r="L86" i="37" s="1"/>
  <c r="N86" i="37" s="1"/>
  <c r="I88" i="37"/>
  <c r="I90" i="37"/>
  <c r="I92" i="37"/>
  <c r="I94" i="37"/>
  <c r="I96" i="37"/>
  <c r="G13" i="37"/>
  <c r="G41" i="35"/>
  <c r="G80" i="35"/>
  <c r="F79" i="35"/>
  <c r="J80" i="35" s="1"/>
  <c r="I66" i="35"/>
  <c r="J96" i="35"/>
  <c r="G72" i="35"/>
  <c r="J66" i="35"/>
  <c r="I84" i="35"/>
  <c r="G64" i="35"/>
  <c r="G74" i="35"/>
  <c r="J64" i="35"/>
  <c r="G76" i="35"/>
  <c r="I62" i="35"/>
  <c r="F40" i="35"/>
  <c r="J41" i="35" s="1"/>
  <c r="G60" i="35"/>
  <c r="I76" i="35"/>
  <c r="G96" i="35"/>
  <c r="G92" i="35"/>
  <c r="G31" i="35"/>
  <c r="I92" i="35"/>
  <c r="G90" i="35"/>
  <c r="J68" i="35"/>
  <c r="I82" i="35"/>
  <c r="I60" i="35"/>
  <c r="I49" i="35"/>
  <c r="I47" i="35"/>
  <c r="I45" i="35"/>
  <c r="G47" i="35"/>
  <c r="I41" i="35"/>
  <c r="I39" i="35"/>
  <c r="G39" i="35"/>
  <c r="G37" i="35"/>
  <c r="F36" i="35"/>
  <c r="J35" i="35" s="1"/>
  <c r="G33" i="35"/>
  <c r="J33" i="35"/>
  <c r="I31" i="35"/>
  <c r="I29" i="35"/>
  <c r="I25" i="35"/>
  <c r="J25" i="35"/>
  <c r="I23" i="35"/>
  <c r="G25" i="35"/>
  <c r="G23" i="35"/>
  <c r="G21" i="35"/>
  <c r="F20" i="35"/>
  <c r="J19" i="35" s="1"/>
  <c r="J17" i="35"/>
  <c r="G17" i="35"/>
  <c r="I15" i="35"/>
  <c r="G15" i="35"/>
  <c r="I13" i="35"/>
  <c r="I21" i="35"/>
  <c r="I43" i="35"/>
  <c r="I80" i="35"/>
  <c r="I78" i="35"/>
  <c r="I19" i="35"/>
  <c r="F44" i="35"/>
  <c r="G45" i="35"/>
  <c r="G43" i="35"/>
  <c r="I37" i="35"/>
  <c r="I86" i="35"/>
  <c r="I88" i="35"/>
  <c r="I35" i="35"/>
  <c r="J49" i="35"/>
  <c r="I96" i="35"/>
  <c r="I94" i="35"/>
  <c r="F28" i="35"/>
  <c r="G29" i="35"/>
  <c r="G27" i="35"/>
  <c r="F61" i="35"/>
  <c r="J62" i="35" s="1"/>
  <c r="G62" i="35"/>
  <c r="I68" i="35"/>
  <c r="I27" i="35"/>
  <c r="I72" i="35"/>
  <c r="I70" i="35"/>
  <c r="G13" i="35"/>
  <c r="F22" i="35"/>
  <c r="F38" i="35"/>
  <c r="G49" i="35"/>
  <c r="G66" i="35"/>
  <c r="G68" i="35"/>
  <c r="I74" i="35"/>
  <c r="I90" i="35"/>
  <c r="I64" i="35"/>
  <c r="I17" i="35"/>
  <c r="G19" i="35"/>
  <c r="I33" i="35"/>
  <c r="G35" i="35"/>
  <c r="G78" i="35"/>
  <c r="F77" i="35"/>
  <c r="G82" i="35"/>
  <c r="G84" i="35"/>
  <c r="G88" i="35"/>
  <c r="G94" i="35"/>
  <c r="F93" i="35"/>
  <c r="J94" i="35" s="1"/>
  <c r="F14" i="35"/>
  <c r="F30" i="35"/>
  <c r="J31" i="35" s="1"/>
  <c r="F46" i="35"/>
  <c r="J47" i="35" s="1"/>
  <c r="F73" i="35"/>
  <c r="F83" i="35"/>
  <c r="J84" i="35" s="1"/>
  <c r="G86" i="35"/>
  <c r="F89" i="35"/>
  <c r="F87" i="35"/>
  <c r="F71" i="35"/>
  <c r="G70" i="35"/>
  <c r="F75" i="35"/>
  <c r="F91" i="35"/>
  <c r="W96" i="31"/>
  <c r="E96" i="31"/>
  <c r="H96" i="31" s="1"/>
  <c r="D96" i="31"/>
  <c r="F96" i="31" s="1"/>
  <c r="A96" i="31"/>
  <c r="O95" i="31"/>
  <c r="R96" i="31" s="1"/>
  <c r="N95" i="31"/>
  <c r="W94" i="31"/>
  <c r="E94" i="31"/>
  <c r="H94" i="31" s="1"/>
  <c r="D94" i="31"/>
  <c r="G95" i="31" s="1"/>
  <c r="A94" i="31"/>
  <c r="O93" i="31"/>
  <c r="V93" i="31" s="1"/>
  <c r="N93" i="31"/>
  <c r="W92" i="31"/>
  <c r="E92" i="31"/>
  <c r="H92" i="31" s="1"/>
  <c r="D92" i="31"/>
  <c r="A92" i="31"/>
  <c r="O91" i="31"/>
  <c r="N91" i="31"/>
  <c r="W90" i="31"/>
  <c r="E90" i="31"/>
  <c r="H90" i="31" s="1"/>
  <c r="D90" i="31"/>
  <c r="G91" i="31" s="1"/>
  <c r="A90" i="31"/>
  <c r="O89" i="31"/>
  <c r="Q90" i="31" s="1"/>
  <c r="N89" i="31"/>
  <c r="W88" i="31"/>
  <c r="E88" i="31"/>
  <c r="H88" i="31" s="1"/>
  <c r="I89" i="31" s="1"/>
  <c r="D88" i="31"/>
  <c r="A88" i="31"/>
  <c r="O87" i="31"/>
  <c r="R88" i="31" s="1"/>
  <c r="N87" i="31"/>
  <c r="W86" i="31"/>
  <c r="E86" i="31"/>
  <c r="H86" i="31" s="1"/>
  <c r="D86" i="31"/>
  <c r="A86" i="31"/>
  <c r="O85" i="31"/>
  <c r="R86" i="31" s="1"/>
  <c r="N85" i="31"/>
  <c r="W84" i="31"/>
  <c r="E84" i="31"/>
  <c r="H84" i="31" s="1"/>
  <c r="D84" i="31"/>
  <c r="A84" i="31"/>
  <c r="O83" i="31"/>
  <c r="V83" i="31" s="1"/>
  <c r="N83" i="31"/>
  <c r="W82" i="31"/>
  <c r="E82" i="31"/>
  <c r="H82" i="31" s="1"/>
  <c r="D82" i="31"/>
  <c r="F82" i="31" s="1"/>
  <c r="A82" i="31"/>
  <c r="O81" i="31"/>
  <c r="Q82" i="31" s="1"/>
  <c r="N81" i="31"/>
  <c r="W80" i="31"/>
  <c r="E80" i="31"/>
  <c r="H80" i="31" s="1"/>
  <c r="I81" i="31" s="1"/>
  <c r="D80" i="31"/>
  <c r="G81" i="31" s="1"/>
  <c r="A80" i="31"/>
  <c r="O79" i="31"/>
  <c r="R80" i="31" s="1"/>
  <c r="N79" i="31"/>
  <c r="W78" i="31"/>
  <c r="E78" i="31"/>
  <c r="H78" i="31" s="1"/>
  <c r="D78" i="31"/>
  <c r="A78" i="31"/>
  <c r="V77" i="31"/>
  <c r="O77" i="31"/>
  <c r="R78" i="31" s="1"/>
  <c r="N77" i="31"/>
  <c r="W76" i="31"/>
  <c r="E76" i="31"/>
  <c r="H76" i="31" s="1"/>
  <c r="D76" i="31"/>
  <c r="A76" i="31"/>
  <c r="O75" i="31"/>
  <c r="V75" i="31" s="1"/>
  <c r="N75" i="31"/>
  <c r="W74" i="31"/>
  <c r="E74" i="31"/>
  <c r="H74" i="31" s="1"/>
  <c r="I75" i="31" s="1"/>
  <c r="D74" i="31"/>
  <c r="A74" i="31"/>
  <c r="O73" i="31"/>
  <c r="V73" i="31" s="1"/>
  <c r="N73" i="31"/>
  <c r="W72" i="31"/>
  <c r="E72" i="31"/>
  <c r="H72" i="31" s="1"/>
  <c r="D72" i="31"/>
  <c r="F72" i="31" s="1"/>
  <c r="A72" i="31"/>
  <c r="O71" i="31"/>
  <c r="R72" i="31" s="1"/>
  <c r="N71" i="31"/>
  <c r="E70" i="31"/>
  <c r="H70" i="31" s="1"/>
  <c r="D70" i="31"/>
  <c r="E68" i="31"/>
  <c r="H68" i="31" s="1"/>
  <c r="D68" i="31"/>
  <c r="E66" i="31"/>
  <c r="H66" i="31" s="1"/>
  <c r="D66" i="31"/>
  <c r="F64" i="31"/>
  <c r="E64" i="31"/>
  <c r="H64" i="31" s="1"/>
  <c r="I65" i="31" s="1"/>
  <c r="D64" i="31"/>
  <c r="E62" i="31"/>
  <c r="H62" i="31" s="1"/>
  <c r="D62" i="31"/>
  <c r="E60" i="31"/>
  <c r="H60" i="31" s="1"/>
  <c r="D60" i="31"/>
  <c r="A60" i="31"/>
  <c r="A62" i="31" s="1"/>
  <c r="A64" i="31" s="1"/>
  <c r="A66" i="31" s="1"/>
  <c r="A68" i="31" s="1"/>
  <c r="A70" i="31" s="1"/>
  <c r="F58" i="31"/>
  <c r="E58" i="31"/>
  <c r="H58" i="31" s="1"/>
  <c r="D58" i="31"/>
  <c r="AD51" i="31"/>
  <c r="A51" i="31"/>
  <c r="T50" i="31"/>
  <c r="Q50" i="31"/>
  <c r="T49" i="31"/>
  <c r="Q49" i="31"/>
  <c r="E47" i="31"/>
  <c r="H47" i="31" s="1"/>
  <c r="D47" i="31"/>
  <c r="F47" i="31" s="1"/>
  <c r="E45" i="31"/>
  <c r="H45" i="31" s="1"/>
  <c r="D45" i="31"/>
  <c r="G46" i="31" s="1"/>
  <c r="E43" i="31"/>
  <c r="H43" i="31" s="1"/>
  <c r="D43" i="31"/>
  <c r="E41" i="31"/>
  <c r="H41" i="31" s="1"/>
  <c r="D41" i="31"/>
  <c r="F41" i="31" s="1"/>
  <c r="E39" i="31"/>
  <c r="H39" i="31" s="1"/>
  <c r="D39" i="31"/>
  <c r="E37" i="31"/>
  <c r="H37" i="31" s="1"/>
  <c r="I38" i="31" s="1"/>
  <c r="D37" i="31"/>
  <c r="E35" i="31"/>
  <c r="H35" i="31" s="1"/>
  <c r="D35" i="31"/>
  <c r="E33" i="31"/>
  <c r="H33" i="31" s="1"/>
  <c r="D33" i="31"/>
  <c r="E31" i="31"/>
  <c r="H31" i="31" s="1"/>
  <c r="D31" i="31"/>
  <c r="E29" i="31"/>
  <c r="H29" i="31" s="1"/>
  <c r="D29" i="31"/>
  <c r="E27" i="31"/>
  <c r="H27" i="31" s="1"/>
  <c r="D27" i="31"/>
  <c r="F27" i="31" s="1"/>
  <c r="H25" i="31"/>
  <c r="E25" i="31"/>
  <c r="D25" i="31"/>
  <c r="E23" i="31"/>
  <c r="H23" i="31" s="1"/>
  <c r="D23" i="31"/>
  <c r="E21" i="31"/>
  <c r="H21" i="31" s="1"/>
  <c r="D21" i="31"/>
  <c r="E19" i="31"/>
  <c r="H19" i="31" s="1"/>
  <c r="D19" i="31"/>
  <c r="E17" i="31"/>
  <c r="H17" i="31" s="1"/>
  <c r="D17" i="31"/>
  <c r="F17" i="31" s="1"/>
  <c r="E15" i="31"/>
  <c r="H15" i="31" s="1"/>
  <c r="D15" i="31"/>
  <c r="E13" i="31"/>
  <c r="H13" i="31" s="1"/>
  <c r="D13" i="31"/>
  <c r="E11" i="31"/>
  <c r="H11" i="31" s="1"/>
  <c r="D11" i="31"/>
  <c r="E9" i="31"/>
  <c r="H9" i="31" s="1"/>
  <c r="D9" i="31"/>
  <c r="F9" i="31" s="1"/>
  <c r="A9" i="31"/>
  <c r="A11" i="31" s="1"/>
  <c r="A13" i="31" s="1"/>
  <c r="A15" i="31" s="1"/>
  <c r="A17" i="31" s="1"/>
  <c r="A19" i="31" s="1"/>
  <c r="A21" i="31" s="1"/>
  <c r="A23" i="31" s="1"/>
  <c r="A25" i="31" s="1"/>
  <c r="A27" i="31" s="1"/>
  <c r="A29" i="31" s="1"/>
  <c r="A31" i="31" s="1"/>
  <c r="A33" i="31" s="1"/>
  <c r="A35" i="31" s="1"/>
  <c r="A37" i="31" s="1"/>
  <c r="A39" i="31" s="1"/>
  <c r="A41" i="31" s="1"/>
  <c r="A43" i="31" s="1"/>
  <c r="A45" i="31" s="1"/>
  <c r="A47" i="31" s="1"/>
  <c r="J92" i="37" l="1"/>
  <c r="K80" i="37"/>
  <c r="L80" i="37" s="1"/>
  <c r="N80" i="37" s="1"/>
  <c r="K76" i="37"/>
  <c r="L76" i="37" s="1"/>
  <c r="N76" i="37" s="1"/>
  <c r="K72" i="37"/>
  <c r="L72" i="37" s="1"/>
  <c r="N72" i="37" s="1"/>
  <c r="K68" i="37"/>
  <c r="L68" i="37" s="1"/>
  <c r="N68" i="37" s="1"/>
  <c r="J66" i="37"/>
  <c r="J60" i="37"/>
  <c r="K60" i="37" s="1"/>
  <c r="L60" i="37" s="1"/>
  <c r="N60" i="37" s="1"/>
  <c r="J45" i="37"/>
  <c r="K45" i="37" s="1"/>
  <c r="L45" i="37" s="1"/>
  <c r="N45" i="37" s="1"/>
  <c r="J29" i="37"/>
  <c r="K29" i="37" s="1"/>
  <c r="L29" i="37" s="1"/>
  <c r="N29" i="37" s="1"/>
  <c r="M31" i="37"/>
  <c r="O31" i="37" s="1"/>
  <c r="V31" i="37" s="1"/>
  <c r="J21" i="37"/>
  <c r="K21" i="37" s="1"/>
  <c r="L21" i="37" s="1"/>
  <c r="N21" i="37" s="1"/>
  <c r="K92" i="38"/>
  <c r="L92" i="38" s="1"/>
  <c r="N92" i="38" s="1"/>
  <c r="J90" i="38"/>
  <c r="K88" i="38"/>
  <c r="L88" i="38" s="1"/>
  <c r="N88" i="38" s="1"/>
  <c r="K86" i="38"/>
  <c r="L86" i="38" s="1"/>
  <c r="N86" i="38" s="1"/>
  <c r="J84" i="38"/>
  <c r="K70" i="38"/>
  <c r="L70" i="38" s="1"/>
  <c r="N70" i="38" s="1"/>
  <c r="K68" i="38"/>
  <c r="L68" i="38" s="1"/>
  <c r="N68" i="38" s="1"/>
  <c r="J66" i="38"/>
  <c r="K64" i="38"/>
  <c r="L64" i="38" s="1"/>
  <c r="N64" i="38" s="1"/>
  <c r="M64" i="38"/>
  <c r="O64" i="38" s="1"/>
  <c r="V64" i="38" s="1"/>
  <c r="J45" i="38"/>
  <c r="K45" i="38" s="1"/>
  <c r="L45" i="38" s="1"/>
  <c r="N45" i="38" s="1"/>
  <c r="M45" i="38"/>
  <c r="O45" i="38" s="1"/>
  <c r="V45" i="38" s="1"/>
  <c r="J43" i="38"/>
  <c r="K43" i="38" s="1"/>
  <c r="L43" i="38" s="1"/>
  <c r="N43" i="38" s="1"/>
  <c r="M41" i="38"/>
  <c r="O41" i="38" s="1"/>
  <c r="V41" i="38" s="1"/>
  <c r="M39" i="38"/>
  <c r="O39" i="38" s="1"/>
  <c r="V39" i="38" s="1"/>
  <c r="J35" i="38"/>
  <c r="K35" i="38" s="1"/>
  <c r="L35" i="38" s="1"/>
  <c r="N35" i="38" s="1"/>
  <c r="M35" i="38"/>
  <c r="O35" i="38" s="1"/>
  <c r="V35" i="38" s="1"/>
  <c r="J33" i="38"/>
  <c r="K33" i="38" s="1"/>
  <c r="L33" i="38" s="1"/>
  <c r="N33" i="38" s="1"/>
  <c r="M33" i="38"/>
  <c r="O33" i="38" s="1"/>
  <c r="V33" i="38" s="1"/>
  <c r="J31" i="38"/>
  <c r="K31" i="38" s="1"/>
  <c r="L31" i="38" s="1"/>
  <c r="N31" i="38" s="1"/>
  <c r="M31" i="38"/>
  <c r="O31" i="38" s="1"/>
  <c r="V31" i="38" s="1"/>
  <c r="L27" i="38"/>
  <c r="N27" i="38" s="1"/>
  <c r="M27" i="38"/>
  <c r="O27" i="38" s="1"/>
  <c r="V27" i="38" s="1"/>
  <c r="J25" i="38"/>
  <c r="J23" i="38"/>
  <c r="M25" i="38"/>
  <c r="O25" i="38" s="1"/>
  <c r="V25" i="38" s="1"/>
  <c r="M23" i="38"/>
  <c r="O23" i="38" s="1"/>
  <c r="V23" i="38" s="1"/>
  <c r="K19" i="38"/>
  <c r="L19" i="38" s="1"/>
  <c r="N19" i="38" s="1"/>
  <c r="M19" i="38"/>
  <c r="O19" i="38" s="1"/>
  <c r="V19" i="38" s="1"/>
  <c r="J17" i="38"/>
  <c r="K17" i="38" s="1"/>
  <c r="L17" i="38" s="1"/>
  <c r="N17" i="38" s="1"/>
  <c r="J15" i="38"/>
  <c r="K15" i="38" s="1"/>
  <c r="L15" i="38" s="1"/>
  <c r="N15" i="38" s="1"/>
  <c r="M15" i="38"/>
  <c r="O15" i="38" s="1"/>
  <c r="V15" i="38" s="1"/>
  <c r="M60" i="38"/>
  <c r="O60" i="38" s="1"/>
  <c r="M17" i="38"/>
  <c r="O17" i="38" s="1"/>
  <c r="K82" i="38"/>
  <c r="L82" i="38" s="1"/>
  <c r="N82" i="38" s="1"/>
  <c r="K66" i="38"/>
  <c r="L66" i="38" s="1"/>
  <c r="N66" i="38" s="1"/>
  <c r="M29" i="38"/>
  <c r="O29" i="38" s="1"/>
  <c r="M88" i="38"/>
  <c r="O88" i="38" s="1"/>
  <c r="M72" i="38"/>
  <c r="O72" i="38" s="1"/>
  <c r="M76" i="38"/>
  <c r="O76" i="38" s="1"/>
  <c r="M37" i="38"/>
  <c r="O37" i="38" s="1"/>
  <c r="K94" i="38"/>
  <c r="L94" i="38" s="1"/>
  <c r="N94" i="38" s="1"/>
  <c r="K78" i="38"/>
  <c r="L78" i="38" s="1"/>
  <c r="N78" i="38" s="1"/>
  <c r="K62" i="38"/>
  <c r="L62" i="38" s="1"/>
  <c r="N62" i="38" s="1"/>
  <c r="M43" i="38"/>
  <c r="O43" i="38" s="1"/>
  <c r="M13" i="38"/>
  <c r="O13" i="38" s="1"/>
  <c r="M84" i="38"/>
  <c r="O84" i="38" s="1"/>
  <c r="M68" i="38"/>
  <c r="O68" i="38" s="1"/>
  <c r="M47" i="38"/>
  <c r="O47" i="38" s="1"/>
  <c r="K90" i="38"/>
  <c r="L90" i="38" s="1"/>
  <c r="N90" i="38" s="1"/>
  <c r="K74" i="38"/>
  <c r="L74" i="38" s="1"/>
  <c r="N74" i="38" s="1"/>
  <c r="M49" i="38"/>
  <c r="O49" i="38" s="1"/>
  <c r="M96" i="38"/>
  <c r="O96" i="38" s="1"/>
  <c r="M80" i="38"/>
  <c r="O80" i="38" s="1"/>
  <c r="M86" i="38"/>
  <c r="O86" i="38" s="1"/>
  <c r="M70" i="38"/>
  <c r="O70" i="38" s="1"/>
  <c r="M21" i="38"/>
  <c r="O21" i="38" s="1"/>
  <c r="M60" i="37"/>
  <c r="O60" i="37" s="1"/>
  <c r="L49" i="37"/>
  <c r="N49" i="37" s="1"/>
  <c r="N59" i="37" s="1"/>
  <c r="M49" i="37"/>
  <c r="O49" i="37" s="1"/>
  <c r="M80" i="37"/>
  <c r="O80" i="37" s="1"/>
  <c r="M64" i="37"/>
  <c r="O64" i="37" s="1"/>
  <c r="J43" i="37"/>
  <c r="K43" i="37" s="1"/>
  <c r="L43" i="37" s="1"/>
  <c r="N43" i="37" s="1"/>
  <c r="M76" i="37"/>
  <c r="O76" i="37" s="1"/>
  <c r="K96" i="37"/>
  <c r="L96" i="37" s="1"/>
  <c r="N96" i="37" s="1"/>
  <c r="K64" i="37"/>
  <c r="L64" i="37" s="1"/>
  <c r="N64" i="37" s="1"/>
  <c r="M94" i="37"/>
  <c r="O94" i="37" s="1"/>
  <c r="M62" i="37"/>
  <c r="O62" i="37" s="1"/>
  <c r="J19" i="37"/>
  <c r="K19" i="37" s="1"/>
  <c r="M90" i="37"/>
  <c r="O90" i="37" s="1"/>
  <c r="J41" i="37"/>
  <c r="K41" i="37" s="1"/>
  <c r="J33" i="37"/>
  <c r="K33" i="37" s="1"/>
  <c r="J25" i="37"/>
  <c r="K25" i="37" s="1"/>
  <c r="J17" i="37"/>
  <c r="K17" i="37" s="1"/>
  <c r="K74" i="37"/>
  <c r="L74" i="37" s="1"/>
  <c r="N74" i="37" s="1"/>
  <c r="K92" i="37"/>
  <c r="L92" i="37" s="1"/>
  <c r="N92" i="37" s="1"/>
  <c r="J27" i="37"/>
  <c r="K27" i="37" s="1"/>
  <c r="L27" i="37" s="1"/>
  <c r="N27" i="37" s="1"/>
  <c r="K82" i="37"/>
  <c r="L82" i="37" s="1"/>
  <c r="N82" i="37" s="1"/>
  <c r="M72" i="37"/>
  <c r="O72" i="37" s="1"/>
  <c r="K88" i="37"/>
  <c r="L88" i="37" s="1"/>
  <c r="N88" i="37" s="1"/>
  <c r="M45" i="37"/>
  <c r="O45" i="37" s="1"/>
  <c r="M66" i="37"/>
  <c r="O66" i="37" s="1"/>
  <c r="M78" i="37"/>
  <c r="O78" i="37" s="1"/>
  <c r="J35" i="37"/>
  <c r="K35" i="37" s="1"/>
  <c r="L35" i="37" s="1"/>
  <c r="N35" i="37" s="1"/>
  <c r="M86" i="37"/>
  <c r="O86" i="37" s="1"/>
  <c r="M70" i="37"/>
  <c r="O70" i="37" s="1"/>
  <c r="J47" i="37"/>
  <c r="K47" i="37" s="1"/>
  <c r="L47" i="37" s="1"/>
  <c r="N47" i="37" s="1"/>
  <c r="J39" i="37"/>
  <c r="K39" i="37" s="1"/>
  <c r="L39" i="37" s="1"/>
  <c r="N39" i="37" s="1"/>
  <c r="J31" i="37"/>
  <c r="K31" i="37" s="1"/>
  <c r="L31" i="37" s="1"/>
  <c r="N31" i="37" s="1"/>
  <c r="J23" i="37"/>
  <c r="K23" i="37" s="1"/>
  <c r="L23" i="37" s="1"/>
  <c r="N23" i="37" s="1"/>
  <c r="J15" i="37"/>
  <c r="K15" i="37" s="1"/>
  <c r="L15" i="37" s="1"/>
  <c r="N15" i="37" s="1"/>
  <c r="J13" i="37"/>
  <c r="K13" i="37" s="1"/>
  <c r="L13" i="37" s="1"/>
  <c r="N13" i="37" s="1"/>
  <c r="K66" i="37"/>
  <c r="L66" i="37" s="1"/>
  <c r="N66" i="37" s="1"/>
  <c r="K84" i="37"/>
  <c r="L84" i="37" s="1"/>
  <c r="N84" i="37" s="1"/>
  <c r="M37" i="37"/>
  <c r="O37" i="37" s="1"/>
  <c r="M29" i="37"/>
  <c r="O29" i="37" s="1"/>
  <c r="M21" i="37"/>
  <c r="O21" i="37" s="1"/>
  <c r="K94" i="35"/>
  <c r="L94" i="35" s="1"/>
  <c r="N94" i="35" s="1"/>
  <c r="K64" i="35"/>
  <c r="L64" i="35" s="1"/>
  <c r="N64" i="35" s="1"/>
  <c r="J78" i="35"/>
  <c r="K78" i="35" s="1"/>
  <c r="L78" i="35" s="1"/>
  <c r="N78" i="35" s="1"/>
  <c r="K62" i="35"/>
  <c r="L62" i="35" s="1"/>
  <c r="N62" i="35" s="1"/>
  <c r="K33" i="35"/>
  <c r="L33" i="35" s="1"/>
  <c r="N33" i="35" s="1"/>
  <c r="K96" i="35"/>
  <c r="L96" i="35" s="1"/>
  <c r="N96" i="35" s="1"/>
  <c r="J76" i="35"/>
  <c r="K76" i="35" s="1"/>
  <c r="L76" i="35" s="1"/>
  <c r="N76" i="35" s="1"/>
  <c r="J39" i="35"/>
  <c r="K39" i="35" s="1"/>
  <c r="L39" i="35" s="1"/>
  <c r="N39" i="35" s="1"/>
  <c r="K84" i="35"/>
  <c r="L84" i="35" s="1"/>
  <c r="N84" i="35" s="1"/>
  <c r="K25" i="35"/>
  <c r="L25" i="35" s="1"/>
  <c r="N25" i="35" s="1"/>
  <c r="J92" i="35"/>
  <c r="K92" i="35" s="1"/>
  <c r="L92" i="35" s="1"/>
  <c r="N92" i="35" s="1"/>
  <c r="K66" i="35"/>
  <c r="L66" i="35" s="1"/>
  <c r="N66" i="35" s="1"/>
  <c r="K49" i="35"/>
  <c r="L49" i="35" s="1"/>
  <c r="N49" i="35" s="1"/>
  <c r="N59" i="35" s="1"/>
  <c r="J88" i="35"/>
  <c r="K88" i="35" s="1"/>
  <c r="L88" i="35" s="1"/>
  <c r="N88" i="35" s="1"/>
  <c r="K17" i="35"/>
  <c r="L17" i="35" s="1"/>
  <c r="N17" i="35" s="1"/>
  <c r="K68" i="35"/>
  <c r="L68" i="35" s="1"/>
  <c r="N68" i="35" s="1"/>
  <c r="K47" i="35"/>
  <c r="L47" i="35" s="1"/>
  <c r="N47" i="35" s="1"/>
  <c r="K41" i="35"/>
  <c r="L41" i="35" s="1"/>
  <c r="N41" i="35" s="1"/>
  <c r="K31" i="35"/>
  <c r="L31" i="35" s="1"/>
  <c r="N31" i="35" s="1"/>
  <c r="J37" i="35"/>
  <c r="K37" i="35" s="1"/>
  <c r="L37" i="35" s="1"/>
  <c r="N37" i="35" s="1"/>
  <c r="M94" i="35"/>
  <c r="O94" i="35" s="1"/>
  <c r="J45" i="35"/>
  <c r="K45" i="35" s="1"/>
  <c r="L45" i="35" s="1"/>
  <c r="N45" i="35" s="1"/>
  <c r="J43" i="35"/>
  <c r="K43" i="35" s="1"/>
  <c r="L43" i="35" s="1"/>
  <c r="N43" i="35" s="1"/>
  <c r="K80" i="35"/>
  <c r="L80" i="35" s="1"/>
  <c r="N80" i="35" s="1"/>
  <c r="J72" i="35"/>
  <c r="K72" i="35" s="1"/>
  <c r="J70" i="35"/>
  <c r="K70" i="35" s="1"/>
  <c r="J82" i="35"/>
  <c r="K82" i="35" s="1"/>
  <c r="L82" i="35" s="1"/>
  <c r="N82" i="35" s="1"/>
  <c r="J13" i="35"/>
  <c r="K13" i="35" s="1"/>
  <c r="L13" i="35" s="1"/>
  <c r="N13" i="35" s="1"/>
  <c r="J15" i="35"/>
  <c r="K15" i="35" s="1"/>
  <c r="J86" i="35"/>
  <c r="K86" i="35" s="1"/>
  <c r="L86" i="35" s="1"/>
  <c r="N86" i="35" s="1"/>
  <c r="J74" i="35"/>
  <c r="K74" i="35" s="1"/>
  <c r="L74" i="35" s="1"/>
  <c r="N74" i="35" s="1"/>
  <c r="J60" i="35"/>
  <c r="K60" i="35" s="1"/>
  <c r="J90" i="35"/>
  <c r="K90" i="35" s="1"/>
  <c r="L90" i="35" s="1"/>
  <c r="N90" i="35" s="1"/>
  <c r="J23" i="35"/>
  <c r="K23" i="35" s="1"/>
  <c r="J21" i="35"/>
  <c r="K21" i="35" s="1"/>
  <c r="L21" i="35" s="1"/>
  <c r="N21" i="35" s="1"/>
  <c r="J29" i="35"/>
  <c r="K29" i="35" s="1"/>
  <c r="L29" i="35" s="1"/>
  <c r="N29" i="35" s="1"/>
  <c r="J27" i="35"/>
  <c r="K27" i="35" s="1"/>
  <c r="L27" i="35" s="1"/>
  <c r="N27" i="35" s="1"/>
  <c r="K35" i="35"/>
  <c r="L35" i="35" s="1"/>
  <c r="N35" i="35" s="1"/>
  <c r="K19" i="35"/>
  <c r="L19" i="35" s="1"/>
  <c r="N19" i="35" s="1"/>
  <c r="G40" i="31"/>
  <c r="I18" i="31"/>
  <c r="G12" i="31"/>
  <c r="G34" i="31"/>
  <c r="Q86" i="31"/>
  <c r="I63" i="31"/>
  <c r="F33" i="31"/>
  <c r="I14" i="31"/>
  <c r="I28" i="31"/>
  <c r="G67" i="31"/>
  <c r="Q94" i="31"/>
  <c r="G89" i="31"/>
  <c r="G16" i="31"/>
  <c r="I61" i="31"/>
  <c r="F15" i="31"/>
  <c r="J16" i="31" s="1"/>
  <c r="K16" i="31" s="1"/>
  <c r="L16" i="31" s="1"/>
  <c r="N16" i="31" s="1"/>
  <c r="V71" i="31"/>
  <c r="I85" i="31"/>
  <c r="V79" i="31"/>
  <c r="I24" i="31"/>
  <c r="F88" i="31"/>
  <c r="I42" i="31"/>
  <c r="G75" i="31"/>
  <c r="M75" i="31" s="1"/>
  <c r="I77" i="31"/>
  <c r="F66" i="31"/>
  <c r="J65" i="31" s="1"/>
  <c r="K65" i="31" s="1"/>
  <c r="L65" i="31" s="1"/>
  <c r="N65" i="31" s="1"/>
  <c r="G26" i="31"/>
  <c r="F11" i="31"/>
  <c r="G20" i="31"/>
  <c r="G32" i="31"/>
  <c r="G65" i="31"/>
  <c r="Q78" i="31"/>
  <c r="F80" i="31"/>
  <c r="J81" i="31" s="1"/>
  <c r="K81" i="31" s="1"/>
  <c r="L81" i="31" s="1"/>
  <c r="J10" i="31"/>
  <c r="K10" i="31" s="1"/>
  <c r="L10" i="31" s="1"/>
  <c r="N10" i="31" s="1"/>
  <c r="F25" i="31"/>
  <c r="I32" i="31"/>
  <c r="G71" i="31"/>
  <c r="F74" i="31"/>
  <c r="V85" i="31"/>
  <c r="G22" i="31"/>
  <c r="I71" i="31"/>
  <c r="V87" i="31"/>
  <c r="I16" i="31"/>
  <c r="I12" i="31"/>
  <c r="I10" i="31"/>
  <c r="I40" i="31"/>
  <c r="M89" i="31"/>
  <c r="G59" i="31"/>
  <c r="G73" i="31"/>
  <c r="V81" i="31"/>
  <c r="R84" i="31"/>
  <c r="V89" i="31"/>
  <c r="F90" i="31"/>
  <c r="J89" i="31" s="1"/>
  <c r="K89" i="31" s="1"/>
  <c r="L89" i="31" s="1"/>
  <c r="V95" i="31"/>
  <c r="M81" i="31"/>
  <c r="F19" i="31"/>
  <c r="J18" i="31" s="1"/>
  <c r="K18" i="31" s="1"/>
  <c r="L18" i="31" s="1"/>
  <c r="N18" i="31" s="1"/>
  <c r="F39" i="31"/>
  <c r="J40" i="31" s="1"/>
  <c r="I69" i="31"/>
  <c r="I79" i="31"/>
  <c r="R82" i="31"/>
  <c r="I87" i="31"/>
  <c r="R90" i="31"/>
  <c r="G10" i="31"/>
  <c r="J26" i="31"/>
  <c r="I95" i="31"/>
  <c r="M95" i="31" s="1"/>
  <c r="I22" i="31"/>
  <c r="I20" i="31"/>
  <c r="G24" i="31"/>
  <c r="F23" i="31"/>
  <c r="J24" i="31" s="1"/>
  <c r="K24" i="31" s="1"/>
  <c r="I93" i="31"/>
  <c r="I34" i="31"/>
  <c r="G85" i="31"/>
  <c r="M85" i="31" s="1"/>
  <c r="F84" i="31"/>
  <c r="F29" i="31"/>
  <c r="J28" i="31" s="1"/>
  <c r="K28" i="31" s="1"/>
  <c r="L28" i="31" s="1"/>
  <c r="N28" i="31" s="1"/>
  <c r="G30" i="31"/>
  <c r="F37" i="31"/>
  <c r="G38" i="31"/>
  <c r="I44" i="31"/>
  <c r="I46" i="31"/>
  <c r="J83" i="31"/>
  <c r="I30" i="31"/>
  <c r="I26" i="31"/>
  <c r="M26" i="31" s="1"/>
  <c r="O26" i="31" s="1"/>
  <c r="K42" i="31"/>
  <c r="L42" i="31" s="1"/>
  <c r="N42" i="31" s="1"/>
  <c r="G44" i="31"/>
  <c r="G42" i="31"/>
  <c r="F62" i="31"/>
  <c r="J63" i="31" s="1"/>
  <c r="K63" i="31" s="1"/>
  <c r="L63" i="31" s="1"/>
  <c r="N63" i="31" s="1"/>
  <c r="G63" i="31"/>
  <c r="F70" i="31"/>
  <c r="J71" i="31" s="1"/>
  <c r="K71" i="31" s="1"/>
  <c r="L71" i="31" s="1"/>
  <c r="J73" i="31"/>
  <c r="Q76" i="31"/>
  <c r="V91" i="31"/>
  <c r="R92" i="31"/>
  <c r="Q92" i="31"/>
  <c r="F13" i="31"/>
  <c r="J14" i="31" s="1"/>
  <c r="K14" i="31" s="1"/>
  <c r="L14" i="31" s="1"/>
  <c r="N14" i="31" s="1"/>
  <c r="K26" i="31"/>
  <c r="L26" i="31" s="1"/>
  <c r="N26" i="31" s="1"/>
  <c r="G36" i="31"/>
  <c r="F35" i="31"/>
  <c r="G61" i="31"/>
  <c r="F60" i="31"/>
  <c r="R76" i="31"/>
  <c r="F78" i="31"/>
  <c r="J79" i="31" s="1"/>
  <c r="K79" i="31" s="1"/>
  <c r="L79" i="31" s="1"/>
  <c r="G79" i="31"/>
  <c r="M79" i="31" s="1"/>
  <c r="F86" i="31"/>
  <c r="J87" i="31" s="1"/>
  <c r="G14" i="31"/>
  <c r="G18" i="31"/>
  <c r="F21" i="31"/>
  <c r="G28" i="31"/>
  <c r="F31" i="31"/>
  <c r="J32" i="31" s="1"/>
  <c r="K32" i="31" s="1"/>
  <c r="I36" i="31"/>
  <c r="F43" i="31"/>
  <c r="Q74" i="31"/>
  <c r="R74" i="31"/>
  <c r="G77" i="31"/>
  <c r="M77" i="31" s="1"/>
  <c r="F76" i="31"/>
  <c r="I83" i="31"/>
  <c r="G87" i="31"/>
  <c r="M87" i="31" s="1"/>
  <c r="G93" i="31"/>
  <c r="F92" i="31"/>
  <c r="F45" i="31"/>
  <c r="J46" i="31" s="1"/>
  <c r="I59" i="31"/>
  <c r="I67" i="31"/>
  <c r="G69" i="31"/>
  <c r="F68" i="31"/>
  <c r="I73" i="31"/>
  <c r="G83" i="31"/>
  <c r="Q84" i="31"/>
  <c r="I91" i="31"/>
  <c r="M91" i="31" s="1"/>
  <c r="F94" i="31"/>
  <c r="J95" i="31" s="1"/>
  <c r="K95" i="31" s="1"/>
  <c r="L95" i="31" s="1"/>
  <c r="Q72" i="31"/>
  <c r="Q80" i="31"/>
  <c r="Q88" i="31"/>
  <c r="R94" i="31"/>
  <c r="Q96" i="31"/>
  <c r="M68" i="37" l="1"/>
  <c r="O68" i="37" s="1"/>
  <c r="V68" i="37" s="1"/>
  <c r="M43" i="37"/>
  <c r="O43" i="37" s="1"/>
  <c r="V43" i="37" s="1"/>
  <c r="M39" i="37"/>
  <c r="O39" i="37" s="1"/>
  <c r="V39" i="37" s="1"/>
  <c r="M27" i="37"/>
  <c r="O27" i="37" s="1"/>
  <c r="V27" i="37" s="1"/>
  <c r="M15" i="37"/>
  <c r="O15" i="37" s="1"/>
  <c r="V15" i="37" s="1"/>
  <c r="M13" i="37"/>
  <c r="O13" i="37" s="1"/>
  <c r="V13" i="37" s="1"/>
  <c r="W14" i="37" s="1"/>
  <c r="M92" i="38"/>
  <c r="O92" i="38" s="1"/>
  <c r="V92" i="38" s="1"/>
  <c r="M31" i="35"/>
  <c r="O31" i="35" s="1"/>
  <c r="V31" i="35" s="1"/>
  <c r="V96" i="38"/>
  <c r="V13" i="38"/>
  <c r="W14" i="38" s="1"/>
  <c r="W16" i="38" s="1"/>
  <c r="Q14" i="38"/>
  <c r="Q16" i="38" s="1"/>
  <c r="Q18" i="38" s="1"/>
  <c r="Q20" i="38" s="1"/>
  <c r="Q22" i="38" s="1"/>
  <c r="Q24" i="38" s="1"/>
  <c r="Q26" i="38" s="1"/>
  <c r="Q28" i="38" s="1"/>
  <c r="Q30" i="38" s="1"/>
  <c r="Q32" i="38" s="1"/>
  <c r="Q34" i="38" s="1"/>
  <c r="Q36" i="38" s="1"/>
  <c r="Q38" i="38" s="1"/>
  <c r="Q40" i="38" s="1"/>
  <c r="Q42" i="38" s="1"/>
  <c r="Q44" i="38" s="1"/>
  <c r="Q46" i="38" s="1"/>
  <c r="Q48" i="38" s="1"/>
  <c r="Q50" i="38" s="1"/>
  <c r="Q59" i="38" s="1"/>
  <c r="Q61" i="38" s="1"/>
  <c r="R14" i="38"/>
  <c r="R16" i="38" s="1"/>
  <c r="R18" i="38" s="1"/>
  <c r="R20" i="38" s="1"/>
  <c r="R22" i="38" s="1"/>
  <c r="R24" i="38" s="1"/>
  <c r="R26" i="38" s="1"/>
  <c r="R28" i="38" s="1"/>
  <c r="R30" i="38" s="1"/>
  <c r="R32" i="38" s="1"/>
  <c r="R34" i="38" s="1"/>
  <c r="R36" i="38" s="1"/>
  <c r="R38" i="38" s="1"/>
  <c r="R40" i="38" s="1"/>
  <c r="R42" i="38" s="1"/>
  <c r="R44" i="38" s="1"/>
  <c r="R46" i="38" s="1"/>
  <c r="R48" i="38" s="1"/>
  <c r="R50" i="38" s="1"/>
  <c r="R59" i="38" s="1"/>
  <c r="R61" i="38" s="1"/>
  <c r="V29" i="38"/>
  <c r="V43" i="38"/>
  <c r="V37" i="38"/>
  <c r="V17" i="38"/>
  <c r="M62" i="38"/>
  <c r="O62" i="38" s="1"/>
  <c r="M66" i="38"/>
  <c r="O66" i="38" s="1"/>
  <c r="V21" i="38"/>
  <c r="M78" i="38"/>
  <c r="O78" i="38" s="1"/>
  <c r="M82" i="38"/>
  <c r="O82" i="38" s="1"/>
  <c r="V70" i="38"/>
  <c r="V49" i="38"/>
  <c r="O59" i="38"/>
  <c r="M94" i="38"/>
  <c r="O94" i="38" s="1"/>
  <c r="V86" i="38"/>
  <c r="M74" i="38"/>
  <c r="O74" i="38" s="1"/>
  <c r="V47" i="38"/>
  <c r="V76" i="38"/>
  <c r="M90" i="38"/>
  <c r="O90" i="38" s="1"/>
  <c r="V68" i="38"/>
  <c r="V72" i="38"/>
  <c r="V80" i="38"/>
  <c r="V84" i="38"/>
  <c r="V88" i="38"/>
  <c r="V60" i="38"/>
  <c r="L19" i="37"/>
  <c r="N19" i="37" s="1"/>
  <c r="M19" i="37"/>
  <c r="O19" i="37" s="1"/>
  <c r="V62" i="37"/>
  <c r="V72" i="37"/>
  <c r="V64" i="37"/>
  <c r="V37" i="37"/>
  <c r="V78" i="37"/>
  <c r="M88" i="37"/>
  <c r="O88" i="37" s="1"/>
  <c r="L25" i="37"/>
  <c r="N25" i="37" s="1"/>
  <c r="M25" i="37"/>
  <c r="O25" i="37" s="1"/>
  <c r="V80" i="37"/>
  <c r="L17" i="37"/>
  <c r="N17" i="37" s="1"/>
  <c r="M17" i="37"/>
  <c r="O17" i="37" s="1"/>
  <c r="V66" i="37"/>
  <c r="L33" i="37"/>
  <c r="N33" i="37" s="1"/>
  <c r="M33" i="37"/>
  <c r="O33" i="37" s="1"/>
  <c r="M96" i="37"/>
  <c r="O96" i="37" s="1"/>
  <c r="V94" i="37"/>
  <c r="V29" i="37"/>
  <c r="V70" i="37"/>
  <c r="M35" i="37"/>
  <c r="O35" i="37" s="1"/>
  <c r="L41" i="37"/>
  <c r="N41" i="37" s="1"/>
  <c r="M41" i="37"/>
  <c r="O41" i="37" s="1"/>
  <c r="V76" i="37"/>
  <c r="M23" i="37"/>
  <c r="O23" i="37" s="1"/>
  <c r="V86" i="37"/>
  <c r="V45" i="37"/>
  <c r="M84" i="37"/>
  <c r="O84" i="37" s="1"/>
  <c r="M74" i="37"/>
  <c r="O74" i="37" s="1"/>
  <c r="M92" i="37"/>
  <c r="O92" i="37" s="1"/>
  <c r="V21" i="37"/>
  <c r="Q14" i="37"/>
  <c r="V90" i="37"/>
  <c r="V49" i="37"/>
  <c r="O59" i="37"/>
  <c r="M47" i="37"/>
  <c r="O47" i="37" s="1"/>
  <c r="M82" i="37"/>
  <c r="O82" i="37" s="1"/>
  <c r="V60" i="37"/>
  <c r="M96" i="35"/>
  <c r="O96" i="35" s="1"/>
  <c r="V94" i="35"/>
  <c r="M92" i="35"/>
  <c r="O92" i="35" s="1"/>
  <c r="M90" i="35"/>
  <c r="O90" i="35" s="1"/>
  <c r="M88" i="35"/>
  <c r="O88" i="35" s="1"/>
  <c r="M86" i="35"/>
  <c r="O86" i="35" s="1"/>
  <c r="M84" i="35"/>
  <c r="O84" i="35" s="1"/>
  <c r="M82" i="35"/>
  <c r="O82" i="35" s="1"/>
  <c r="M78" i="35"/>
  <c r="O78" i="35" s="1"/>
  <c r="M80" i="35"/>
  <c r="O80" i="35" s="1"/>
  <c r="M76" i="35"/>
  <c r="O76" i="35" s="1"/>
  <c r="M74" i="35"/>
  <c r="O74" i="35" s="1"/>
  <c r="M49" i="35"/>
  <c r="O49" i="35" s="1"/>
  <c r="M47" i="35"/>
  <c r="O47" i="35" s="1"/>
  <c r="V47" i="35" s="1"/>
  <c r="M41" i="35"/>
  <c r="O41" i="35" s="1"/>
  <c r="V41" i="35" s="1"/>
  <c r="M39" i="35"/>
  <c r="O39" i="35" s="1"/>
  <c r="V39" i="35" s="1"/>
  <c r="M33" i="35"/>
  <c r="O33" i="35" s="1"/>
  <c r="V33" i="35" s="1"/>
  <c r="M25" i="35"/>
  <c r="O25" i="35" s="1"/>
  <c r="V25" i="35" s="1"/>
  <c r="M21" i="35"/>
  <c r="O21" i="35" s="1"/>
  <c r="V21" i="35" s="1"/>
  <c r="M17" i="35"/>
  <c r="O17" i="35" s="1"/>
  <c r="V17" i="35" s="1"/>
  <c r="M66" i="35"/>
  <c r="O66" i="35" s="1"/>
  <c r="V66" i="35" s="1"/>
  <c r="M64" i="35"/>
  <c r="O64" i="35" s="1"/>
  <c r="V64" i="35" s="1"/>
  <c r="M62" i="35"/>
  <c r="O62" i="35" s="1"/>
  <c r="V62" i="35" s="1"/>
  <c r="M68" i="35"/>
  <c r="O68" i="35" s="1"/>
  <c r="V68" i="35" s="1"/>
  <c r="M37" i="35"/>
  <c r="O37" i="35" s="1"/>
  <c r="V37" i="35" s="1"/>
  <c r="L70" i="35"/>
  <c r="N70" i="35" s="1"/>
  <c r="M70" i="35"/>
  <c r="O70" i="35" s="1"/>
  <c r="L72" i="35"/>
  <c r="N72" i="35" s="1"/>
  <c r="M72" i="35"/>
  <c r="O72" i="35" s="1"/>
  <c r="M19" i="35"/>
  <c r="O19" i="35" s="1"/>
  <c r="M27" i="35"/>
  <c r="O27" i="35" s="1"/>
  <c r="M35" i="35"/>
  <c r="O35" i="35" s="1"/>
  <c r="M45" i="35"/>
  <c r="O45" i="35" s="1"/>
  <c r="L23" i="35"/>
  <c r="N23" i="35" s="1"/>
  <c r="M23" i="35"/>
  <c r="O23" i="35" s="1"/>
  <c r="M43" i="35"/>
  <c r="O43" i="35" s="1"/>
  <c r="M29" i="35"/>
  <c r="O29" i="35" s="1"/>
  <c r="L15" i="35"/>
  <c r="N15" i="35" s="1"/>
  <c r="M15" i="35"/>
  <c r="O15" i="35" s="1"/>
  <c r="L60" i="35"/>
  <c r="N60" i="35" s="1"/>
  <c r="M60" i="35"/>
  <c r="O60" i="35" s="1"/>
  <c r="M13" i="35"/>
  <c r="O13" i="35" s="1"/>
  <c r="J38" i="31"/>
  <c r="K38" i="31" s="1"/>
  <c r="L38" i="31" s="1"/>
  <c r="N38" i="31" s="1"/>
  <c r="K40" i="31"/>
  <c r="L40" i="31" s="1"/>
  <c r="N40" i="31" s="1"/>
  <c r="M18" i="31"/>
  <c r="O18" i="31" s="1"/>
  <c r="K87" i="31"/>
  <c r="L87" i="31" s="1"/>
  <c r="M63" i="31"/>
  <c r="O63" i="31" s="1"/>
  <c r="J69" i="31"/>
  <c r="K69" i="31" s="1"/>
  <c r="L69" i="31" s="1"/>
  <c r="N69" i="31" s="1"/>
  <c r="M28" i="31"/>
  <c r="O28" i="31" s="1"/>
  <c r="M42" i="31"/>
  <c r="O42" i="31" s="1"/>
  <c r="V42" i="31" s="1"/>
  <c r="J36" i="31"/>
  <c r="K46" i="31"/>
  <c r="L46" i="31" s="1"/>
  <c r="N46" i="31" s="1"/>
  <c r="M14" i="31"/>
  <c r="O14" i="31" s="1"/>
  <c r="M10" i="31"/>
  <c r="O10" i="31" s="1"/>
  <c r="M71" i="31"/>
  <c r="M38" i="31"/>
  <c r="O38" i="31" s="1"/>
  <c r="V38" i="31" s="1"/>
  <c r="M93" i="31"/>
  <c r="M65" i="31"/>
  <c r="O65" i="31" s="1"/>
  <c r="J93" i="31"/>
  <c r="K93" i="31" s="1"/>
  <c r="L93" i="31" s="1"/>
  <c r="J34" i="31"/>
  <c r="K34" i="31" s="1"/>
  <c r="L34" i="31" s="1"/>
  <c r="N34" i="31" s="1"/>
  <c r="V14" i="31"/>
  <c r="V63" i="31"/>
  <c r="L24" i="31"/>
  <c r="N24" i="31" s="1"/>
  <c r="M24" i="31"/>
  <c r="O24" i="31" s="1"/>
  <c r="L32" i="31"/>
  <c r="N32" i="31" s="1"/>
  <c r="M32" i="31"/>
  <c r="O32" i="31" s="1"/>
  <c r="V18" i="31"/>
  <c r="V65" i="31"/>
  <c r="K36" i="31"/>
  <c r="L36" i="31" s="1"/>
  <c r="N36" i="31" s="1"/>
  <c r="J67" i="31"/>
  <c r="K67" i="31" s="1"/>
  <c r="L67" i="31" s="1"/>
  <c r="N67" i="31" s="1"/>
  <c r="J77" i="31"/>
  <c r="K77" i="31" s="1"/>
  <c r="L77" i="31" s="1"/>
  <c r="K59" i="31"/>
  <c r="L59" i="31" s="1"/>
  <c r="N59" i="31" s="1"/>
  <c r="J75" i="31"/>
  <c r="K75" i="31" s="1"/>
  <c r="L75" i="31" s="1"/>
  <c r="J30" i="31"/>
  <c r="K30" i="31" s="1"/>
  <c r="L30" i="31" s="1"/>
  <c r="N30" i="31" s="1"/>
  <c r="M73" i="31"/>
  <c r="K73" i="31"/>
  <c r="L73" i="31" s="1"/>
  <c r="V28" i="31"/>
  <c r="M40" i="31"/>
  <c r="O40" i="31" s="1"/>
  <c r="M83" i="31"/>
  <c r="K83" i="31"/>
  <c r="L83" i="31" s="1"/>
  <c r="J22" i="31"/>
  <c r="K22" i="31" s="1"/>
  <c r="L22" i="31" s="1"/>
  <c r="N22" i="31" s="1"/>
  <c r="J20" i="31"/>
  <c r="K20" i="31" s="1"/>
  <c r="L20" i="31" s="1"/>
  <c r="N20" i="31" s="1"/>
  <c r="J91" i="31"/>
  <c r="K91" i="31" s="1"/>
  <c r="L91" i="31" s="1"/>
  <c r="M16" i="31"/>
  <c r="O16" i="31" s="1"/>
  <c r="J44" i="31"/>
  <c r="K44" i="31" s="1"/>
  <c r="J42" i="31"/>
  <c r="J61" i="31"/>
  <c r="K61" i="31" s="1"/>
  <c r="L61" i="31" s="1"/>
  <c r="N61" i="31" s="1"/>
  <c r="V26" i="31"/>
  <c r="J12" i="31"/>
  <c r="K12" i="31" s="1"/>
  <c r="J85" i="31"/>
  <c r="K85" i="31" s="1"/>
  <c r="L85" i="31" s="1"/>
  <c r="J59" i="31"/>
  <c r="W16" i="37" l="1"/>
  <c r="Q16" i="37"/>
  <c r="Q18" i="37" s="1"/>
  <c r="Q20" i="37" s="1"/>
  <c r="Q22" i="37" s="1"/>
  <c r="Q24" i="37" s="1"/>
  <c r="Q26" i="37" s="1"/>
  <c r="Q28" i="37" s="1"/>
  <c r="Q30" i="37" s="1"/>
  <c r="Q32" i="37" s="1"/>
  <c r="Q34" i="37" s="1"/>
  <c r="Q36" i="37" s="1"/>
  <c r="Q38" i="37" s="1"/>
  <c r="Q40" i="37" s="1"/>
  <c r="Q42" i="37" s="1"/>
  <c r="Q44" i="37" s="1"/>
  <c r="Q46" i="37" s="1"/>
  <c r="Q48" i="37" s="1"/>
  <c r="Q50" i="37" s="1"/>
  <c r="Q59" i="37" s="1"/>
  <c r="Q61" i="37" s="1"/>
  <c r="Q63" i="37" s="1"/>
  <c r="Q65" i="37" s="1"/>
  <c r="Q67" i="37" s="1"/>
  <c r="Q69" i="37" s="1"/>
  <c r="Q71" i="37" s="1"/>
  <c r="Q73" i="37" s="1"/>
  <c r="Q75" i="37" s="1"/>
  <c r="Q77" i="37" s="1"/>
  <c r="Q79" i="37" s="1"/>
  <c r="Q81" i="37" s="1"/>
  <c r="Q83" i="37" s="1"/>
  <c r="Q85" i="37" s="1"/>
  <c r="Q87" i="37" s="1"/>
  <c r="Q89" i="37" s="1"/>
  <c r="Q91" i="37" s="1"/>
  <c r="Q93" i="37" s="1"/>
  <c r="Q95" i="37" s="1"/>
  <c r="Q97" i="37" s="1"/>
  <c r="R14" i="37"/>
  <c r="R16" i="37" s="1"/>
  <c r="R18" i="37" s="1"/>
  <c r="R20" i="37" s="1"/>
  <c r="R22" i="37" s="1"/>
  <c r="R24" i="37" s="1"/>
  <c r="R26" i="37" s="1"/>
  <c r="R28" i="37" s="1"/>
  <c r="R30" i="37" s="1"/>
  <c r="R32" i="37" s="1"/>
  <c r="R34" i="37" s="1"/>
  <c r="R36" i="37" s="1"/>
  <c r="R38" i="37" s="1"/>
  <c r="R40" i="37" s="1"/>
  <c r="R42" i="37" s="1"/>
  <c r="R44" i="37" s="1"/>
  <c r="R46" i="37" s="1"/>
  <c r="R48" i="37" s="1"/>
  <c r="R50" i="37" s="1"/>
  <c r="R59" i="37" s="1"/>
  <c r="R61" i="37" s="1"/>
  <c r="R63" i="37" s="1"/>
  <c r="R65" i="37" s="1"/>
  <c r="R67" i="37" s="1"/>
  <c r="R69" i="37" s="1"/>
  <c r="R71" i="37" s="1"/>
  <c r="R73" i="37" s="1"/>
  <c r="R75" i="37" s="1"/>
  <c r="R77" i="37" s="1"/>
  <c r="R79" i="37" s="1"/>
  <c r="R81" i="37" s="1"/>
  <c r="R83" i="37" s="1"/>
  <c r="R85" i="37" s="1"/>
  <c r="R87" i="37" s="1"/>
  <c r="R89" i="37" s="1"/>
  <c r="R91" i="37" s="1"/>
  <c r="R93" i="37" s="1"/>
  <c r="R95" i="37" s="1"/>
  <c r="R97" i="37" s="1"/>
  <c r="V78" i="38"/>
  <c r="V90" i="38"/>
  <c r="V74" i="38"/>
  <c r="V66" i="38"/>
  <c r="W18" i="38"/>
  <c r="W20" i="38" s="1"/>
  <c r="W22" i="38" s="1"/>
  <c r="W24" i="38" s="1"/>
  <c r="W26" i="38" s="1"/>
  <c r="W28" i="38" s="1"/>
  <c r="W30" i="38" s="1"/>
  <c r="W32" i="38" s="1"/>
  <c r="W34" i="38" s="1"/>
  <c r="W36" i="38" s="1"/>
  <c r="W38" i="38" s="1"/>
  <c r="W40" i="38" s="1"/>
  <c r="W42" i="38" s="1"/>
  <c r="W44" i="38" s="1"/>
  <c r="W46" i="38" s="1"/>
  <c r="W48" i="38" s="1"/>
  <c r="W50" i="38" s="1"/>
  <c r="W59" i="38" s="1"/>
  <c r="W61" i="38" s="1"/>
  <c r="R63" i="38"/>
  <c r="R65" i="38" s="1"/>
  <c r="R67" i="38" s="1"/>
  <c r="R69" i="38" s="1"/>
  <c r="R71" i="38" s="1"/>
  <c r="R73" i="38" s="1"/>
  <c r="R75" i="38" s="1"/>
  <c r="R77" i="38" s="1"/>
  <c r="R79" i="38" s="1"/>
  <c r="R81" i="38" s="1"/>
  <c r="R83" i="38" s="1"/>
  <c r="R85" i="38" s="1"/>
  <c r="R87" i="38" s="1"/>
  <c r="R89" i="38" s="1"/>
  <c r="R91" i="38" s="1"/>
  <c r="R93" i="38" s="1"/>
  <c r="R95" i="38" s="1"/>
  <c r="R97" i="38" s="1"/>
  <c r="Q63" i="38"/>
  <c r="Q65" i="38" s="1"/>
  <c r="Q67" i="38" s="1"/>
  <c r="Q69" i="38" s="1"/>
  <c r="Q71" i="38" s="1"/>
  <c r="Q73" i="38" s="1"/>
  <c r="Q75" i="38" s="1"/>
  <c r="Q77" i="38" s="1"/>
  <c r="Q79" i="38" s="1"/>
  <c r="Q81" i="38" s="1"/>
  <c r="Q83" i="38" s="1"/>
  <c r="Q85" i="38" s="1"/>
  <c r="Q87" i="38" s="1"/>
  <c r="Q89" i="38" s="1"/>
  <c r="Q91" i="38" s="1"/>
  <c r="Q93" i="38" s="1"/>
  <c r="Q95" i="38" s="1"/>
  <c r="Q97" i="38" s="1"/>
  <c r="V62" i="38"/>
  <c r="V94" i="38"/>
  <c r="V82" i="38"/>
  <c r="V41" i="37"/>
  <c r="V82" i="37"/>
  <c r="V47" i="37"/>
  <c r="V35" i="37"/>
  <c r="V92" i="37"/>
  <c r="V74" i="37"/>
  <c r="V23" i="37"/>
  <c r="V33" i="37"/>
  <c r="V17" i="37"/>
  <c r="V84" i="37"/>
  <c r="V25" i="37"/>
  <c r="V96" i="37"/>
  <c r="V88" i="37"/>
  <c r="V19" i="37"/>
  <c r="V96" i="35"/>
  <c r="V92" i="35"/>
  <c r="V90" i="35"/>
  <c r="V88" i="35"/>
  <c r="V86" i="35"/>
  <c r="V84" i="35"/>
  <c r="V82" i="35"/>
  <c r="V80" i="35"/>
  <c r="V78" i="35"/>
  <c r="V76" i="35"/>
  <c r="V74" i="35"/>
  <c r="V72" i="35"/>
  <c r="V49" i="35"/>
  <c r="O59" i="35"/>
  <c r="V23" i="35"/>
  <c r="V29" i="35"/>
  <c r="V15" i="35"/>
  <c r="V45" i="35"/>
  <c r="V19" i="35"/>
  <c r="V60" i="35"/>
  <c r="V35" i="35"/>
  <c r="V70" i="35"/>
  <c r="V13" i="35"/>
  <c r="W14" i="35" s="1"/>
  <c r="R14" i="35"/>
  <c r="R16" i="35" s="1"/>
  <c r="R18" i="35" s="1"/>
  <c r="R20" i="35" s="1"/>
  <c r="R22" i="35" s="1"/>
  <c r="R24" i="35" s="1"/>
  <c r="R26" i="35" s="1"/>
  <c r="R28" i="35" s="1"/>
  <c r="R30" i="35" s="1"/>
  <c r="R32" i="35" s="1"/>
  <c r="R34" i="35" s="1"/>
  <c r="R36" i="35" s="1"/>
  <c r="R38" i="35" s="1"/>
  <c r="R40" i="35" s="1"/>
  <c r="R42" i="35" s="1"/>
  <c r="R44" i="35" s="1"/>
  <c r="R46" i="35" s="1"/>
  <c r="R48" i="35" s="1"/>
  <c r="R50" i="35" s="1"/>
  <c r="R59" i="35" s="1"/>
  <c r="R61" i="35" s="1"/>
  <c r="R63" i="35" s="1"/>
  <c r="R65" i="35" s="1"/>
  <c r="R67" i="35" s="1"/>
  <c r="R69" i="35" s="1"/>
  <c r="R71" i="35" s="1"/>
  <c r="R73" i="35" s="1"/>
  <c r="R75" i="35" s="1"/>
  <c r="R77" i="35" s="1"/>
  <c r="R79" i="35" s="1"/>
  <c r="R81" i="35" s="1"/>
  <c r="R83" i="35" s="1"/>
  <c r="R85" i="35" s="1"/>
  <c r="R87" i="35" s="1"/>
  <c r="R89" i="35" s="1"/>
  <c r="R91" i="35" s="1"/>
  <c r="R93" i="35" s="1"/>
  <c r="R95" i="35" s="1"/>
  <c r="R97" i="35" s="1"/>
  <c r="Q14" i="35"/>
  <c r="Q16" i="35" s="1"/>
  <c r="Q18" i="35" s="1"/>
  <c r="Q20" i="35" s="1"/>
  <c r="Q22" i="35" s="1"/>
  <c r="Q24" i="35" s="1"/>
  <c r="Q26" i="35" s="1"/>
  <c r="Q28" i="35" s="1"/>
  <c r="Q30" i="35" s="1"/>
  <c r="Q32" i="35" s="1"/>
  <c r="Q34" i="35" s="1"/>
  <c r="Q36" i="35" s="1"/>
  <c r="Q38" i="35" s="1"/>
  <c r="Q40" i="35" s="1"/>
  <c r="Q42" i="35" s="1"/>
  <c r="Q44" i="35" s="1"/>
  <c r="Q46" i="35" s="1"/>
  <c r="Q48" i="35" s="1"/>
  <c r="Q50" i="35" s="1"/>
  <c r="Q59" i="35" s="1"/>
  <c r="Q61" i="35" s="1"/>
  <c r="Q63" i="35" s="1"/>
  <c r="Q65" i="35" s="1"/>
  <c r="Q67" i="35" s="1"/>
  <c r="Q69" i="35" s="1"/>
  <c r="Q71" i="35" s="1"/>
  <c r="Q73" i="35" s="1"/>
  <c r="Q75" i="35" s="1"/>
  <c r="Q77" i="35" s="1"/>
  <c r="Q79" i="35" s="1"/>
  <c r="Q81" i="35" s="1"/>
  <c r="Q83" i="35" s="1"/>
  <c r="Q85" i="35" s="1"/>
  <c r="Q87" i="35" s="1"/>
  <c r="Q89" i="35" s="1"/>
  <c r="Q91" i="35" s="1"/>
  <c r="Q93" i="35" s="1"/>
  <c r="Q95" i="35" s="1"/>
  <c r="Q97" i="35" s="1"/>
  <c r="V43" i="35"/>
  <c r="V27" i="35"/>
  <c r="M46" i="31"/>
  <c r="O46" i="31" s="1"/>
  <c r="M69" i="31"/>
  <c r="O69" i="31" s="1"/>
  <c r="V69" i="31" s="1"/>
  <c r="M34" i="31"/>
  <c r="O34" i="31" s="1"/>
  <c r="M36" i="31"/>
  <c r="O36" i="31" s="1"/>
  <c r="V10" i="31"/>
  <c r="W11" i="31" s="1"/>
  <c r="Q9" i="31"/>
  <c r="Q11" i="31" s="1"/>
  <c r="R11" i="31"/>
  <c r="M59" i="31"/>
  <c r="O59" i="31" s="1"/>
  <c r="V59" i="31" s="1"/>
  <c r="W60" i="31" s="1"/>
  <c r="L44" i="31"/>
  <c r="N44" i="31" s="1"/>
  <c r="M44" i="31"/>
  <c r="O44" i="31" s="1"/>
  <c r="V40" i="31"/>
  <c r="V36" i="31"/>
  <c r="V32" i="31"/>
  <c r="V46" i="31"/>
  <c r="M20" i="31"/>
  <c r="O20" i="31" s="1"/>
  <c r="V24" i="31"/>
  <c r="V16" i="31"/>
  <c r="V34" i="31"/>
  <c r="M22" i="31"/>
  <c r="O22" i="31" s="1"/>
  <c r="L12" i="31"/>
  <c r="N12" i="31" s="1"/>
  <c r="M12" i="31"/>
  <c r="O12" i="31" s="1"/>
  <c r="M67" i="31"/>
  <c r="O67" i="31" s="1"/>
  <c r="M30" i="31"/>
  <c r="O30" i="31" s="1"/>
  <c r="M61" i="31"/>
  <c r="O61" i="31" s="1"/>
  <c r="W18" i="37" l="1"/>
  <c r="W20" i="37" s="1"/>
  <c r="W22" i="37" s="1"/>
  <c r="W24" i="37" s="1"/>
  <c r="W26" i="37" s="1"/>
  <c r="W28" i="37" s="1"/>
  <c r="W30" i="37" s="1"/>
  <c r="W32" i="37" s="1"/>
  <c r="W34" i="37" s="1"/>
  <c r="W36" i="37" s="1"/>
  <c r="W38" i="37" s="1"/>
  <c r="W40" i="37" s="1"/>
  <c r="W42" i="37" s="1"/>
  <c r="W44" i="37" s="1"/>
  <c r="W46" i="37" s="1"/>
  <c r="W48" i="37" s="1"/>
  <c r="W50" i="37" s="1"/>
  <c r="W59" i="37" s="1"/>
  <c r="W61" i="37" s="1"/>
  <c r="W63" i="37" s="1"/>
  <c r="W65" i="37" s="1"/>
  <c r="W67" i="37" s="1"/>
  <c r="W69" i="37" s="1"/>
  <c r="W71" i="37" s="1"/>
  <c r="W73" i="37" s="1"/>
  <c r="W75" i="37" s="1"/>
  <c r="W77" i="37" s="1"/>
  <c r="W79" i="37" s="1"/>
  <c r="W81" i="37" s="1"/>
  <c r="W83" i="37" s="1"/>
  <c r="W85" i="37" s="1"/>
  <c r="W87" i="37" s="1"/>
  <c r="W89" i="37" s="1"/>
  <c r="W91" i="37" s="1"/>
  <c r="W93" i="37" s="1"/>
  <c r="W95" i="37" s="1"/>
  <c r="W97" i="37" s="1"/>
  <c r="W63" i="38"/>
  <c r="W65" i="38" s="1"/>
  <c r="W67" i="38" s="1"/>
  <c r="W69" i="38" s="1"/>
  <c r="W71" i="38" s="1"/>
  <c r="W73" i="38" s="1"/>
  <c r="W75" i="38" s="1"/>
  <c r="W77" i="38" s="1"/>
  <c r="W79" i="38" s="1"/>
  <c r="W81" i="38" s="1"/>
  <c r="W83" i="38" s="1"/>
  <c r="W85" i="38" s="1"/>
  <c r="W87" i="38" s="1"/>
  <c r="W89" i="38" s="1"/>
  <c r="W91" i="38" s="1"/>
  <c r="W93" i="38" s="1"/>
  <c r="W95" i="38" s="1"/>
  <c r="W97" i="38" s="1"/>
  <c r="W16" i="35"/>
  <c r="W18" i="35" s="1"/>
  <c r="W20" i="35" s="1"/>
  <c r="W22" i="35" s="1"/>
  <c r="W24" i="35" s="1"/>
  <c r="W26" i="35" s="1"/>
  <c r="W28" i="35" s="1"/>
  <c r="W30" i="35" s="1"/>
  <c r="W32" i="35" s="1"/>
  <c r="W34" i="35" s="1"/>
  <c r="W36" i="35" s="1"/>
  <c r="W38" i="35" s="1"/>
  <c r="W40" i="35" s="1"/>
  <c r="W42" i="35" s="1"/>
  <c r="W44" i="35" s="1"/>
  <c r="W46" i="35" s="1"/>
  <c r="W48" i="35" s="1"/>
  <c r="W50" i="35" s="1"/>
  <c r="W59" i="35" s="1"/>
  <c r="W61" i="35" s="1"/>
  <c r="W63" i="35" s="1"/>
  <c r="W65" i="35" s="1"/>
  <c r="W67" i="35" s="1"/>
  <c r="W69" i="35" s="1"/>
  <c r="W71" i="35" s="1"/>
  <c r="W73" i="35" s="1"/>
  <c r="W75" i="35" s="1"/>
  <c r="W77" i="35" s="1"/>
  <c r="W79" i="35" s="1"/>
  <c r="W81" i="35" s="1"/>
  <c r="W83" i="35" s="1"/>
  <c r="W85" i="35" s="1"/>
  <c r="W87" i="35" s="1"/>
  <c r="W89" i="35" s="1"/>
  <c r="W91" i="35" s="1"/>
  <c r="W93" i="35" s="1"/>
  <c r="W95" i="35" s="1"/>
  <c r="W97" i="35" s="1"/>
  <c r="R60" i="31"/>
  <c r="R62" i="31" s="1"/>
  <c r="R64" i="31" s="1"/>
  <c r="R66" i="31" s="1"/>
  <c r="R68" i="31" s="1"/>
  <c r="R70" i="31" s="1"/>
  <c r="Q60" i="31"/>
  <c r="V61" i="31"/>
  <c r="W62" i="31" s="1"/>
  <c r="W64" i="31" s="1"/>
  <c r="W66" i="31" s="1"/>
  <c r="Q62" i="31"/>
  <c r="Q64" i="31" s="1"/>
  <c r="Q66" i="31" s="1"/>
  <c r="Q68" i="31" s="1"/>
  <c r="Q70" i="31" s="1"/>
  <c r="V30" i="31"/>
  <c r="V22" i="31"/>
  <c r="V67" i="31"/>
  <c r="V20" i="31"/>
  <c r="V12" i="31"/>
  <c r="W13" i="31" s="1"/>
  <c r="W15" i="31" s="1"/>
  <c r="W17" i="31" s="1"/>
  <c r="W19" i="31" s="1"/>
  <c r="R13" i="31"/>
  <c r="R15" i="31" s="1"/>
  <c r="R17" i="31" s="1"/>
  <c r="R19" i="31" s="1"/>
  <c r="R21" i="31" s="1"/>
  <c r="R23" i="31" s="1"/>
  <c r="R25" i="31" s="1"/>
  <c r="R27" i="31" s="1"/>
  <c r="R29" i="31" s="1"/>
  <c r="R31" i="31" s="1"/>
  <c r="R33" i="31" s="1"/>
  <c r="R35" i="31" s="1"/>
  <c r="R37" i="31" s="1"/>
  <c r="R39" i="31" s="1"/>
  <c r="R41" i="31" s="1"/>
  <c r="R43" i="31" s="1"/>
  <c r="R45" i="31" s="1"/>
  <c r="R47" i="31" s="1"/>
  <c r="Q13" i="31"/>
  <c r="Q15" i="31" s="1"/>
  <c r="Q17" i="31" s="1"/>
  <c r="Q19" i="31" s="1"/>
  <c r="Q21" i="31" s="1"/>
  <c r="Q23" i="31" s="1"/>
  <c r="Q25" i="31" s="1"/>
  <c r="Q27" i="31" s="1"/>
  <c r="Q29" i="31" s="1"/>
  <c r="Q31" i="31" s="1"/>
  <c r="Q33" i="31" s="1"/>
  <c r="Q35" i="31" s="1"/>
  <c r="Q37" i="31" s="1"/>
  <c r="Q39" i="31" s="1"/>
  <c r="Q41" i="31" s="1"/>
  <c r="Q43" i="31" s="1"/>
  <c r="Q45" i="31" s="1"/>
  <c r="Q47" i="31" s="1"/>
  <c r="V44" i="31"/>
  <c r="W190" i="29"/>
  <c r="E190" i="29"/>
  <c r="H190" i="29" s="1"/>
  <c r="D190" i="29"/>
  <c r="F190" i="29" s="1"/>
  <c r="A190" i="29"/>
  <c r="O189" i="29"/>
  <c r="N189" i="29"/>
  <c r="W188" i="29"/>
  <c r="E188" i="29"/>
  <c r="H188" i="29" s="1"/>
  <c r="D188" i="29"/>
  <c r="G189" i="29" s="1"/>
  <c r="A188" i="29"/>
  <c r="O187" i="29"/>
  <c r="R188" i="29" s="1"/>
  <c r="N187" i="29"/>
  <c r="W186" i="29"/>
  <c r="E186" i="29"/>
  <c r="H186" i="29" s="1"/>
  <c r="D186" i="29"/>
  <c r="G187" i="29" s="1"/>
  <c r="A186" i="29"/>
  <c r="O185" i="29"/>
  <c r="R186" i="29" s="1"/>
  <c r="N185" i="29"/>
  <c r="W184" i="29"/>
  <c r="E184" i="29"/>
  <c r="H184" i="29" s="1"/>
  <c r="D184" i="29"/>
  <c r="A184" i="29"/>
  <c r="O183" i="29"/>
  <c r="N183" i="29"/>
  <c r="W182" i="29"/>
  <c r="R182" i="29"/>
  <c r="E182" i="29"/>
  <c r="H182" i="29" s="1"/>
  <c r="D182" i="29"/>
  <c r="G183" i="29" s="1"/>
  <c r="A182" i="29"/>
  <c r="O181" i="29"/>
  <c r="Q182" i="29" s="1"/>
  <c r="N181" i="29"/>
  <c r="W180" i="29"/>
  <c r="E180" i="29"/>
  <c r="H180" i="29" s="1"/>
  <c r="D180" i="29"/>
  <c r="F180" i="29" s="1"/>
  <c r="A180" i="29"/>
  <c r="V179" i="29"/>
  <c r="O179" i="29"/>
  <c r="R180" i="29" s="1"/>
  <c r="N179" i="29"/>
  <c r="W178" i="29"/>
  <c r="Q178" i="29"/>
  <c r="E178" i="29"/>
  <c r="H178" i="29" s="1"/>
  <c r="D178" i="29"/>
  <c r="G179" i="29" s="1"/>
  <c r="A178" i="29"/>
  <c r="V177" i="29"/>
  <c r="O177" i="29"/>
  <c r="R178" i="29" s="1"/>
  <c r="N177" i="29"/>
  <c r="W176" i="29"/>
  <c r="E176" i="29"/>
  <c r="H176" i="29" s="1"/>
  <c r="I177" i="29" s="1"/>
  <c r="D176" i="29"/>
  <c r="A176" i="29"/>
  <c r="O175" i="29"/>
  <c r="V175" i="29" s="1"/>
  <c r="N175" i="29"/>
  <c r="W174" i="29"/>
  <c r="E174" i="29"/>
  <c r="H174" i="29" s="1"/>
  <c r="D174" i="29"/>
  <c r="A174" i="29"/>
  <c r="O173" i="29"/>
  <c r="Q174" i="29" s="1"/>
  <c r="N173" i="29"/>
  <c r="W172" i="29"/>
  <c r="E172" i="29"/>
  <c r="H172" i="29" s="1"/>
  <c r="I173" i="29" s="1"/>
  <c r="D172" i="29"/>
  <c r="F172" i="29" s="1"/>
  <c r="A172" i="29"/>
  <c r="O171" i="29"/>
  <c r="R172" i="29" s="1"/>
  <c r="N171" i="29"/>
  <c r="W170" i="29"/>
  <c r="E170" i="29"/>
  <c r="H170" i="29" s="1"/>
  <c r="D170" i="29"/>
  <c r="A170" i="29"/>
  <c r="V169" i="29"/>
  <c r="O169" i="29"/>
  <c r="R170" i="29" s="1"/>
  <c r="N169" i="29"/>
  <c r="W168" i="29"/>
  <c r="E168" i="29"/>
  <c r="H168" i="29" s="1"/>
  <c r="D168" i="29"/>
  <c r="A168" i="29"/>
  <c r="O167" i="29"/>
  <c r="V167" i="29" s="1"/>
  <c r="N167" i="29"/>
  <c r="W166" i="29"/>
  <c r="E166" i="29"/>
  <c r="H166" i="29" s="1"/>
  <c r="D166" i="29"/>
  <c r="A166" i="29"/>
  <c r="O165" i="29"/>
  <c r="R166" i="29" s="1"/>
  <c r="N165" i="29"/>
  <c r="W164" i="29"/>
  <c r="E164" i="29"/>
  <c r="H164" i="29" s="1"/>
  <c r="D164" i="29"/>
  <c r="A164" i="29"/>
  <c r="O163" i="29"/>
  <c r="Q164" i="29" s="1"/>
  <c r="N163" i="29"/>
  <c r="W162" i="29"/>
  <c r="E162" i="29"/>
  <c r="H162" i="29" s="1"/>
  <c r="D162" i="29"/>
  <c r="F162" i="29" s="1"/>
  <c r="A162" i="29"/>
  <c r="O161" i="29"/>
  <c r="R162" i="29" s="1"/>
  <c r="N161" i="29"/>
  <c r="W160" i="29"/>
  <c r="E160" i="29"/>
  <c r="H160" i="29" s="1"/>
  <c r="D160" i="29"/>
  <c r="A160" i="29"/>
  <c r="O159" i="29"/>
  <c r="V159" i="29" s="1"/>
  <c r="N159" i="29"/>
  <c r="I159" i="29"/>
  <c r="W158" i="29"/>
  <c r="E158" i="29"/>
  <c r="H158" i="29" s="1"/>
  <c r="D158" i="29"/>
  <c r="A158" i="29"/>
  <c r="O157" i="29"/>
  <c r="V157" i="29" s="1"/>
  <c r="N157" i="29"/>
  <c r="W156" i="29"/>
  <c r="E156" i="29"/>
  <c r="H156" i="29" s="1"/>
  <c r="D156" i="29"/>
  <c r="F156" i="29" s="1"/>
  <c r="A156" i="29"/>
  <c r="O155" i="29"/>
  <c r="Q156" i="29" s="1"/>
  <c r="N155" i="29"/>
  <c r="W154" i="29"/>
  <c r="E154" i="29"/>
  <c r="H154" i="29" s="1"/>
  <c r="D154" i="29"/>
  <c r="G155" i="29" s="1"/>
  <c r="A154" i="29"/>
  <c r="O153" i="29"/>
  <c r="R154" i="29" s="1"/>
  <c r="N153" i="29"/>
  <c r="E152" i="29"/>
  <c r="H152" i="29" s="1"/>
  <c r="D152" i="29"/>
  <c r="A152" i="29"/>
  <c r="W143" i="29"/>
  <c r="E143" i="29"/>
  <c r="H143" i="29" s="1"/>
  <c r="D143" i="29"/>
  <c r="F143" i="29" s="1"/>
  <c r="A143" i="29"/>
  <c r="O142" i="29"/>
  <c r="Q143" i="29" s="1"/>
  <c r="N142" i="29"/>
  <c r="W141" i="29"/>
  <c r="E141" i="29"/>
  <c r="H141" i="29" s="1"/>
  <c r="D141" i="29"/>
  <c r="G142" i="29" s="1"/>
  <c r="A141" i="29"/>
  <c r="O140" i="29"/>
  <c r="R141" i="29" s="1"/>
  <c r="N140" i="29"/>
  <c r="W139" i="29"/>
  <c r="E139" i="29"/>
  <c r="H139" i="29" s="1"/>
  <c r="D139" i="29"/>
  <c r="A139" i="29"/>
  <c r="O138" i="29"/>
  <c r="R139" i="29" s="1"/>
  <c r="N138" i="29"/>
  <c r="W137" i="29"/>
  <c r="E137" i="29"/>
  <c r="H137" i="29" s="1"/>
  <c r="D137" i="29"/>
  <c r="G138" i="29" s="1"/>
  <c r="A137" i="29"/>
  <c r="O136" i="29"/>
  <c r="Q137" i="29" s="1"/>
  <c r="N136" i="29"/>
  <c r="W135" i="29"/>
  <c r="R135" i="29"/>
  <c r="Q135" i="29"/>
  <c r="E135" i="29"/>
  <c r="H135" i="29" s="1"/>
  <c r="D135" i="29"/>
  <c r="A135" i="29"/>
  <c r="O134" i="29"/>
  <c r="V134" i="29" s="1"/>
  <c r="N134" i="29"/>
  <c r="W133" i="29"/>
  <c r="F133" i="29"/>
  <c r="E133" i="29"/>
  <c r="H133" i="29" s="1"/>
  <c r="I134" i="29" s="1"/>
  <c r="D133" i="29"/>
  <c r="A133" i="29"/>
  <c r="O132" i="29"/>
  <c r="N132" i="29"/>
  <c r="W131" i="29"/>
  <c r="Q131" i="29"/>
  <c r="E131" i="29"/>
  <c r="H131" i="29" s="1"/>
  <c r="D131" i="29"/>
  <c r="A131" i="29"/>
  <c r="O130" i="29"/>
  <c r="R131" i="29" s="1"/>
  <c r="N130" i="29"/>
  <c r="W129" i="29"/>
  <c r="E129" i="29"/>
  <c r="H129" i="29" s="1"/>
  <c r="I130" i="29" s="1"/>
  <c r="D129" i="29"/>
  <c r="A129" i="29"/>
  <c r="O128" i="29"/>
  <c r="V128" i="29" s="1"/>
  <c r="N128" i="29"/>
  <c r="W127" i="29"/>
  <c r="E127" i="29"/>
  <c r="H127" i="29" s="1"/>
  <c r="D127" i="29"/>
  <c r="A127" i="29"/>
  <c r="O126" i="29"/>
  <c r="N126" i="29"/>
  <c r="W125" i="29"/>
  <c r="E125" i="29"/>
  <c r="H125" i="29" s="1"/>
  <c r="D125" i="29"/>
  <c r="A125" i="29"/>
  <c r="O124" i="29"/>
  <c r="Q125" i="29" s="1"/>
  <c r="N124" i="29"/>
  <c r="W123" i="29"/>
  <c r="E123" i="29"/>
  <c r="H123" i="29" s="1"/>
  <c r="D123" i="29"/>
  <c r="F123" i="29" s="1"/>
  <c r="A123" i="29"/>
  <c r="O122" i="29"/>
  <c r="R123" i="29" s="1"/>
  <c r="N122" i="29"/>
  <c r="W121" i="29"/>
  <c r="E121" i="29"/>
  <c r="H121" i="29" s="1"/>
  <c r="D121" i="29"/>
  <c r="A121" i="29"/>
  <c r="O120" i="29"/>
  <c r="V120" i="29" s="1"/>
  <c r="N120" i="29"/>
  <c r="W119" i="29"/>
  <c r="E119" i="29"/>
  <c r="H119" i="29" s="1"/>
  <c r="D119" i="29"/>
  <c r="F119" i="29" s="1"/>
  <c r="A119" i="29"/>
  <c r="O118" i="29"/>
  <c r="N118" i="29"/>
  <c r="W117" i="29"/>
  <c r="E117" i="29"/>
  <c r="H117" i="29" s="1"/>
  <c r="D117" i="29"/>
  <c r="A117" i="29"/>
  <c r="O116" i="29"/>
  <c r="R117" i="29" s="1"/>
  <c r="N116" i="29"/>
  <c r="W115" i="29"/>
  <c r="E115" i="29"/>
  <c r="H115" i="29" s="1"/>
  <c r="D115" i="29"/>
  <c r="A115" i="29"/>
  <c r="O114" i="29"/>
  <c r="R115" i="29" s="1"/>
  <c r="N114" i="29"/>
  <c r="W113" i="29"/>
  <c r="E113" i="29"/>
  <c r="H113" i="29" s="1"/>
  <c r="D113" i="29"/>
  <c r="A113" i="29"/>
  <c r="O112" i="29"/>
  <c r="V112" i="29" s="1"/>
  <c r="N112" i="29"/>
  <c r="W111" i="29"/>
  <c r="F111" i="29"/>
  <c r="E111" i="29"/>
  <c r="H111" i="29" s="1"/>
  <c r="D111" i="29"/>
  <c r="G112" i="29" s="1"/>
  <c r="A111" i="29"/>
  <c r="O110" i="29"/>
  <c r="Q111" i="29" s="1"/>
  <c r="N110" i="29"/>
  <c r="W109" i="29"/>
  <c r="F109" i="29"/>
  <c r="E109" i="29"/>
  <c r="H109" i="29" s="1"/>
  <c r="D109" i="29"/>
  <c r="A109" i="29"/>
  <c r="O108" i="29"/>
  <c r="N108" i="29"/>
  <c r="W107" i="29"/>
  <c r="E107" i="29"/>
  <c r="H107" i="29" s="1"/>
  <c r="I108" i="29" s="1"/>
  <c r="D107" i="29"/>
  <c r="A107" i="29"/>
  <c r="O106" i="29"/>
  <c r="R107" i="29" s="1"/>
  <c r="N106" i="29"/>
  <c r="R105" i="29"/>
  <c r="E105" i="29"/>
  <c r="H105" i="29" s="1"/>
  <c r="D105" i="29"/>
  <c r="A105" i="29"/>
  <c r="W96" i="29"/>
  <c r="E96" i="29"/>
  <c r="H96" i="29" s="1"/>
  <c r="D96" i="29"/>
  <c r="F96" i="29" s="1"/>
  <c r="A96" i="29"/>
  <c r="O95" i="29"/>
  <c r="R96" i="29" s="1"/>
  <c r="N95" i="29"/>
  <c r="W94" i="29"/>
  <c r="E94" i="29"/>
  <c r="H94" i="29" s="1"/>
  <c r="D94" i="29"/>
  <c r="A94" i="29"/>
  <c r="O93" i="29"/>
  <c r="V93" i="29" s="1"/>
  <c r="N93" i="29"/>
  <c r="W92" i="29"/>
  <c r="E92" i="29"/>
  <c r="H92" i="29" s="1"/>
  <c r="D92" i="29"/>
  <c r="A92" i="29"/>
  <c r="O91" i="29"/>
  <c r="R92" i="29" s="1"/>
  <c r="N91" i="29"/>
  <c r="W90" i="29"/>
  <c r="E90" i="29"/>
  <c r="H90" i="29" s="1"/>
  <c r="D90" i="29"/>
  <c r="F90" i="29" s="1"/>
  <c r="A90" i="29"/>
  <c r="O89" i="29"/>
  <c r="Q90" i="29" s="1"/>
  <c r="N89" i="29"/>
  <c r="W88" i="29"/>
  <c r="H88" i="29"/>
  <c r="E88" i="29"/>
  <c r="D88" i="29"/>
  <c r="A88" i="29"/>
  <c r="O87" i="29"/>
  <c r="R88" i="29" s="1"/>
  <c r="N87" i="29"/>
  <c r="W86" i="29"/>
  <c r="H86" i="29"/>
  <c r="E86" i="29"/>
  <c r="D86" i="29"/>
  <c r="A86" i="29"/>
  <c r="O85" i="29"/>
  <c r="N85" i="29"/>
  <c r="W84" i="29"/>
  <c r="E84" i="29"/>
  <c r="H84" i="29" s="1"/>
  <c r="D84" i="29"/>
  <c r="A84" i="29"/>
  <c r="O83" i="29"/>
  <c r="R84" i="29" s="1"/>
  <c r="N83" i="29"/>
  <c r="W82" i="29"/>
  <c r="E82" i="29"/>
  <c r="H82" i="29" s="1"/>
  <c r="I83" i="29" s="1"/>
  <c r="D82" i="29"/>
  <c r="A82" i="29"/>
  <c r="O81" i="29"/>
  <c r="V81" i="29" s="1"/>
  <c r="N81" i="29"/>
  <c r="W80" i="29"/>
  <c r="F80" i="29"/>
  <c r="E80" i="29"/>
  <c r="H80" i="29" s="1"/>
  <c r="I81" i="29" s="1"/>
  <c r="D80" i="29"/>
  <c r="A80" i="29"/>
  <c r="O79" i="29"/>
  <c r="Q80" i="29" s="1"/>
  <c r="N79" i="29"/>
  <c r="W78" i="29"/>
  <c r="H78" i="29"/>
  <c r="F78" i="29"/>
  <c r="E78" i="29"/>
  <c r="D78" i="29"/>
  <c r="G79" i="29" s="1"/>
  <c r="A78" i="29"/>
  <c r="O77" i="29"/>
  <c r="R78" i="29" s="1"/>
  <c r="N77" i="29"/>
  <c r="W76" i="29"/>
  <c r="E76" i="29"/>
  <c r="H76" i="29" s="1"/>
  <c r="D76" i="29"/>
  <c r="G77" i="29" s="1"/>
  <c r="A76" i="29"/>
  <c r="O75" i="29"/>
  <c r="R76" i="29" s="1"/>
  <c r="N75" i="29"/>
  <c r="W74" i="29"/>
  <c r="E74" i="29"/>
  <c r="H74" i="29" s="1"/>
  <c r="D74" i="29"/>
  <c r="A74" i="29"/>
  <c r="O73" i="29"/>
  <c r="V73" i="29" s="1"/>
  <c r="N73" i="29"/>
  <c r="W72" i="29"/>
  <c r="F72" i="29"/>
  <c r="E72" i="29"/>
  <c r="H72" i="29" s="1"/>
  <c r="I73" i="29" s="1"/>
  <c r="D72" i="29"/>
  <c r="A72" i="29"/>
  <c r="O71" i="29"/>
  <c r="Q72" i="29" s="1"/>
  <c r="N71" i="29"/>
  <c r="W70" i="29"/>
  <c r="E70" i="29"/>
  <c r="H70" i="29" s="1"/>
  <c r="D70" i="29"/>
  <c r="A70" i="29"/>
  <c r="O69" i="29"/>
  <c r="R70" i="29" s="1"/>
  <c r="N69" i="29"/>
  <c r="W68" i="29"/>
  <c r="E68" i="29"/>
  <c r="H68" i="29" s="1"/>
  <c r="I69" i="29" s="1"/>
  <c r="D68" i="29"/>
  <c r="A68" i="29"/>
  <c r="O67" i="29"/>
  <c r="R68" i="29" s="1"/>
  <c r="N67" i="29"/>
  <c r="W66" i="29"/>
  <c r="E66" i="29"/>
  <c r="H66" i="29" s="1"/>
  <c r="D66" i="29"/>
  <c r="A66" i="29"/>
  <c r="O65" i="29"/>
  <c r="V65" i="29" s="1"/>
  <c r="N65" i="29"/>
  <c r="E64" i="29"/>
  <c r="H64" i="29" s="1"/>
  <c r="D64" i="29"/>
  <c r="E62" i="29"/>
  <c r="H62" i="29" s="1"/>
  <c r="D62" i="29"/>
  <c r="E60" i="29"/>
  <c r="H60" i="29" s="1"/>
  <c r="D60" i="29"/>
  <c r="A60" i="29"/>
  <c r="A62" i="29" s="1"/>
  <c r="A64" i="29" s="1"/>
  <c r="E58" i="29"/>
  <c r="H58" i="29" s="1"/>
  <c r="D58" i="29"/>
  <c r="F58" i="29" s="1"/>
  <c r="AD51" i="29"/>
  <c r="A51" i="29"/>
  <c r="T50" i="29"/>
  <c r="Q50" i="29"/>
  <c r="T49" i="29"/>
  <c r="Q49" i="29"/>
  <c r="E47" i="29"/>
  <c r="H47" i="29" s="1"/>
  <c r="D47" i="29"/>
  <c r="F47" i="29" s="1"/>
  <c r="E45" i="29"/>
  <c r="H45" i="29" s="1"/>
  <c r="D45" i="29"/>
  <c r="E43" i="29"/>
  <c r="H43" i="29" s="1"/>
  <c r="D43" i="29"/>
  <c r="E41" i="29"/>
  <c r="H41" i="29" s="1"/>
  <c r="D41" i="29"/>
  <c r="E39" i="29"/>
  <c r="H39" i="29" s="1"/>
  <c r="D39" i="29"/>
  <c r="F39" i="29" s="1"/>
  <c r="E37" i="29"/>
  <c r="H37" i="29" s="1"/>
  <c r="D37" i="29"/>
  <c r="E35" i="29"/>
  <c r="H35" i="29" s="1"/>
  <c r="D35" i="29"/>
  <c r="E33" i="29"/>
  <c r="H33" i="29" s="1"/>
  <c r="D33" i="29"/>
  <c r="E31" i="29"/>
  <c r="H31" i="29" s="1"/>
  <c r="D31" i="29"/>
  <c r="F31" i="29" s="1"/>
  <c r="E29" i="29"/>
  <c r="H29" i="29" s="1"/>
  <c r="D29" i="29"/>
  <c r="E27" i="29"/>
  <c r="H27" i="29" s="1"/>
  <c r="D27" i="29"/>
  <c r="E25" i="29"/>
  <c r="H25" i="29" s="1"/>
  <c r="D25" i="29"/>
  <c r="F25" i="29" s="1"/>
  <c r="E23" i="29"/>
  <c r="H23" i="29" s="1"/>
  <c r="D23" i="29"/>
  <c r="E21" i="29"/>
  <c r="H21" i="29" s="1"/>
  <c r="D21" i="29"/>
  <c r="E19" i="29"/>
  <c r="H19" i="29" s="1"/>
  <c r="D19" i="29"/>
  <c r="E17" i="29"/>
  <c r="H17" i="29" s="1"/>
  <c r="D17" i="29"/>
  <c r="E15" i="29"/>
  <c r="H15" i="29" s="1"/>
  <c r="D15" i="29"/>
  <c r="G16" i="29" s="1"/>
  <c r="E13" i="29"/>
  <c r="H13" i="29" s="1"/>
  <c r="D13" i="29"/>
  <c r="E11" i="29"/>
  <c r="H11" i="29" s="1"/>
  <c r="D11" i="29"/>
  <c r="E9" i="29"/>
  <c r="H9" i="29" s="1"/>
  <c r="D9" i="29"/>
  <c r="A9" i="29"/>
  <c r="A11" i="29" s="1"/>
  <c r="A13" i="29" s="1"/>
  <c r="A15" i="29" s="1"/>
  <c r="A17" i="29" s="1"/>
  <c r="A19" i="29" s="1"/>
  <c r="A21" i="29" s="1"/>
  <c r="A23" i="29" s="1"/>
  <c r="A25" i="29" s="1"/>
  <c r="A27" i="29" s="1"/>
  <c r="A29" i="29" s="1"/>
  <c r="A31" i="29" s="1"/>
  <c r="A33" i="29" s="1"/>
  <c r="A35" i="29" s="1"/>
  <c r="A37" i="29" s="1"/>
  <c r="A39" i="29" s="1"/>
  <c r="A41" i="29" s="1"/>
  <c r="A43" i="29" s="1"/>
  <c r="A45" i="29" s="1"/>
  <c r="A47" i="29" s="1"/>
  <c r="I91" i="29" l="1"/>
  <c r="V124" i="29"/>
  <c r="V69" i="29"/>
  <c r="G87" i="29"/>
  <c r="V95" i="29"/>
  <c r="Q105" i="29"/>
  <c r="Q107" i="29"/>
  <c r="V161" i="29"/>
  <c r="F188" i="29"/>
  <c r="I142" i="29"/>
  <c r="V67" i="29"/>
  <c r="I89" i="29"/>
  <c r="M89" i="29" s="1"/>
  <c r="I140" i="29"/>
  <c r="G153" i="29"/>
  <c r="K18" i="29"/>
  <c r="L18" i="29" s="1"/>
  <c r="N18" i="29" s="1"/>
  <c r="V91" i="29"/>
  <c r="I136" i="29"/>
  <c r="I61" i="29"/>
  <c r="I12" i="29"/>
  <c r="I22" i="29"/>
  <c r="G110" i="29"/>
  <c r="I120" i="29"/>
  <c r="V153" i="29"/>
  <c r="W21" i="31"/>
  <c r="W23" i="31" s="1"/>
  <c r="W25" i="31" s="1"/>
  <c r="W27" i="31" s="1"/>
  <c r="W29" i="31" s="1"/>
  <c r="W31" i="31" s="1"/>
  <c r="W33" i="31" s="1"/>
  <c r="W35" i="31" s="1"/>
  <c r="W37" i="31" s="1"/>
  <c r="W39" i="31" s="1"/>
  <c r="W41" i="31" s="1"/>
  <c r="W43" i="31" s="1"/>
  <c r="W45" i="31" s="1"/>
  <c r="W47" i="31" s="1"/>
  <c r="I169" i="29"/>
  <c r="G69" i="29"/>
  <c r="V83" i="29"/>
  <c r="V155" i="29"/>
  <c r="V163" i="29"/>
  <c r="G173" i="29"/>
  <c r="I30" i="29"/>
  <c r="G91" i="29"/>
  <c r="M91" i="29" s="1"/>
  <c r="V114" i="29"/>
  <c r="I16" i="29"/>
  <c r="G24" i="29"/>
  <c r="G89" i="29"/>
  <c r="Q96" i="29"/>
  <c r="R121" i="29"/>
  <c r="I155" i="29"/>
  <c r="M155" i="29" s="1"/>
  <c r="G157" i="29"/>
  <c r="G163" i="29"/>
  <c r="Q170" i="29"/>
  <c r="R174" i="29"/>
  <c r="V187" i="29"/>
  <c r="M173" i="29"/>
  <c r="G18" i="29"/>
  <c r="I24" i="29"/>
  <c r="Q92" i="29"/>
  <c r="V106" i="29"/>
  <c r="V110" i="29"/>
  <c r="G116" i="29"/>
  <c r="F152" i="29"/>
  <c r="F154" i="29"/>
  <c r="R160" i="29"/>
  <c r="V87" i="29"/>
  <c r="G95" i="29"/>
  <c r="V77" i="29"/>
  <c r="G124" i="29"/>
  <c r="I77" i="29"/>
  <c r="M77" i="29" s="1"/>
  <c r="Q84" i="29"/>
  <c r="V130" i="29"/>
  <c r="V138" i="29"/>
  <c r="Q152" i="29"/>
  <c r="I187" i="29"/>
  <c r="M187" i="29" s="1"/>
  <c r="I106" i="29"/>
  <c r="Q115" i="29"/>
  <c r="V122" i="29"/>
  <c r="M142" i="29"/>
  <c r="V171" i="29"/>
  <c r="V173" i="29"/>
  <c r="I28" i="29"/>
  <c r="M69" i="29"/>
  <c r="G165" i="29"/>
  <c r="F15" i="29"/>
  <c r="F23" i="29"/>
  <c r="I26" i="29"/>
  <c r="G32" i="29"/>
  <c r="Q68" i="29"/>
  <c r="G71" i="29"/>
  <c r="G73" i="29"/>
  <c r="I75" i="29"/>
  <c r="V75" i="29"/>
  <c r="Q88" i="29"/>
  <c r="R90" i="29"/>
  <c r="I95" i="29"/>
  <c r="M95" i="29" s="1"/>
  <c r="R111" i="29"/>
  <c r="V116" i="29"/>
  <c r="F117" i="29"/>
  <c r="J118" i="29" s="1"/>
  <c r="I122" i="29"/>
  <c r="Q123" i="29"/>
  <c r="I128" i="29"/>
  <c r="Q129" i="29"/>
  <c r="Q139" i="29"/>
  <c r="F141" i="29"/>
  <c r="J142" i="29" s="1"/>
  <c r="K142" i="29" s="1"/>
  <c r="L142" i="29" s="1"/>
  <c r="V142" i="29"/>
  <c r="R156" i="29"/>
  <c r="I161" i="29"/>
  <c r="Q162" i="29"/>
  <c r="I167" i="29"/>
  <c r="Q168" i="29"/>
  <c r="I185" i="29"/>
  <c r="V185" i="29"/>
  <c r="G118" i="29"/>
  <c r="G126" i="29"/>
  <c r="I14" i="29"/>
  <c r="F17" i="29"/>
  <c r="I20" i="29"/>
  <c r="G65" i="29"/>
  <c r="F70" i="29"/>
  <c r="J71" i="29" s="1"/>
  <c r="Q76" i="29"/>
  <c r="F92" i="29"/>
  <c r="Q121" i="29"/>
  <c r="F125" i="29"/>
  <c r="J124" i="29" s="1"/>
  <c r="R129" i="29"/>
  <c r="I153" i="29"/>
  <c r="M153" i="29" s="1"/>
  <c r="Q154" i="29"/>
  <c r="F158" i="29"/>
  <c r="J157" i="29" s="1"/>
  <c r="Q160" i="29"/>
  <c r="F164" i="29"/>
  <c r="R168" i="29"/>
  <c r="F174" i="29"/>
  <c r="J173" i="29" s="1"/>
  <c r="K173" i="29" s="1"/>
  <c r="L173" i="29" s="1"/>
  <c r="R176" i="29"/>
  <c r="V181" i="29"/>
  <c r="F182" i="29"/>
  <c r="J181" i="29" s="1"/>
  <c r="Q186" i="29"/>
  <c r="J79" i="29"/>
  <c r="R82" i="29"/>
  <c r="J110" i="29"/>
  <c r="I116" i="29"/>
  <c r="I171" i="29"/>
  <c r="I179" i="29"/>
  <c r="M179" i="29" s="1"/>
  <c r="G181" i="29"/>
  <c r="J189" i="29"/>
  <c r="W68" i="31"/>
  <c r="W70" i="31" s="1"/>
  <c r="I32" i="29"/>
  <c r="G63" i="29"/>
  <c r="I63" i="29"/>
  <c r="I46" i="29"/>
  <c r="I36" i="29"/>
  <c r="I38" i="29"/>
  <c r="G34" i="29"/>
  <c r="F33" i="29"/>
  <c r="J32" i="29" s="1"/>
  <c r="I44" i="29"/>
  <c r="G40" i="29"/>
  <c r="I42" i="29"/>
  <c r="F41" i="29"/>
  <c r="J40" i="29" s="1"/>
  <c r="I59" i="29"/>
  <c r="F62" i="29"/>
  <c r="F64" i="29"/>
  <c r="F9" i="29"/>
  <c r="G10" i="29"/>
  <c r="G44" i="29"/>
  <c r="F43" i="29"/>
  <c r="F60" i="29"/>
  <c r="Q74" i="29"/>
  <c r="J91" i="29"/>
  <c r="K91" i="29" s="1"/>
  <c r="L91" i="29" s="1"/>
  <c r="F13" i="29"/>
  <c r="J14" i="29" s="1"/>
  <c r="K14" i="29" s="1"/>
  <c r="L14" i="29" s="1"/>
  <c r="N14" i="29" s="1"/>
  <c r="G14" i="29"/>
  <c r="F45" i="29"/>
  <c r="J46" i="29" s="1"/>
  <c r="G46" i="29"/>
  <c r="G61" i="29"/>
  <c r="Q66" i="29"/>
  <c r="M73" i="29"/>
  <c r="R74" i="29"/>
  <c r="V79" i="29"/>
  <c r="G83" i="29"/>
  <c r="M83" i="29" s="1"/>
  <c r="F82" i="29"/>
  <c r="G85" i="29"/>
  <c r="F84" i="29"/>
  <c r="V85" i="29"/>
  <c r="R86" i="29"/>
  <c r="I85" i="29"/>
  <c r="M85" i="29" s="1"/>
  <c r="I87" i="29"/>
  <c r="M87" i="29" s="1"/>
  <c r="G108" i="29"/>
  <c r="M108" i="29" s="1"/>
  <c r="F107" i="29"/>
  <c r="J108" i="29" s="1"/>
  <c r="K108" i="29" s="1"/>
  <c r="L108" i="29" s="1"/>
  <c r="I10" i="29"/>
  <c r="I18" i="29"/>
  <c r="M18" i="29" s="1"/>
  <c r="O18" i="29" s="1"/>
  <c r="G20" i="29"/>
  <c r="F19" i="29"/>
  <c r="J20" i="29" s="1"/>
  <c r="K20" i="29" s="1"/>
  <c r="I34" i="29"/>
  <c r="G36" i="29"/>
  <c r="F35" i="29"/>
  <c r="G59" i="29"/>
  <c r="I65" i="29"/>
  <c r="R66" i="29"/>
  <c r="V71" i="29"/>
  <c r="G75" i="29"/>
  <c r="M75" i="29" s="1"/>
  <c r="F74" i="29"/>
  <c r="F76" i="29"/>
  <c r="J77" i="29" s="1"/>
  <c r="K77" i="29" s="1"/>
  <c r="L77" i="29" s="1"/>
  <c r="I79" i="29"/>
  <c r="M79" i="29" s="1"/>
  <c r="R80" i="29"/>
  <c r="Q86" i="29"/>
  <c r="M116" i="29"/>
  <c r="G132" i="29"/>
  <c r="F131" i="29"/>
  <c r="J132" i="29" s="1"/>
  <c r="G171" i="29"/>
  <c r="F170" i="29"/>
  <c r="J171" i="29" s="1"/>
  <c r="K171" i="29" s="1"/>
  <c r="L171" i="29" s="1"/>
  <c r="G177" i="29"/>
  <c r="M177" i="29" s="1"/>
  <c r="F176" i="29"/>
  <c r="G12" i="29"/>
  <c r="F11" i="29"/>
  <c r="G28" i="29"/>
  <c r="M28" i="29" s="1"/>
  <c r="O28" i="29" s="1"/>
  <c r="K28" i="29"/>
  <c r="L28" i="29" s="1"/>
  <c r="N28" i="29" s="1"/>
  <c r="F27" i="29"/>
  <c r="I40" i="29"/>
  <c r="I67" i="29"/>
  <c r="Q109" i="29"/>
  <c r="R109" i="29"/>
  <c r="V108" i="29"/>
  <c r="Q133" i="29"/>
  <c r="R133" i="29"/>
  <c r="V132" i="29"/>
  <c r="K26" i="29"/>
  <c r="L26" i="29" s="1"/>
  <c r="N26" i="29" s="1"/>
  <c r="F29" i="29"/>
  <c r="J30" i="29" s="1"/>
  <c r="G30" i="29"/>
  <c r="F21" i="29"/>
  <c r="J22" i="29" s="1"/>
  <c r="G22" i="29"/>
  <c r="J24" i="29"/>
  <c r="G26" i="29"/>
  <c r="M26" i="29" s="1"/>
  <c r="O26" i="29" s="1"/>
  <c r="F37" i="29"/>
  <c r="J38" i="29" s="1"/>
  <c r="G38" i="29"/>
  <c r="G42" i="29"/>
  <c r="G67" i="29"/>
  <c r="F66" i="29"/>
  <c r="F68" i="29"/>
  <c r="I71" i="29"/>
  <c r="M71" i="29" s="1"/>
  <c r="R72" i="29"/>
  <c r="G81" i="29"/>
  <c r="M81" i="29" s="1"/>
  <c r="Q82" i="29"/>
  <c r="I93" i="29"/>
  <c r="I110" i="29"/>
  <c r="M110" i="29" s="1"/>
  <c r="I114" i="29"/>
  <c r="I126" i="29"/>
  <c r="M126" i="29" s="1"/>
  <c r="F129" i="29"/>
  <c r="G130" i="29"/>
  <c r="J155" i="29"/>
  <c r="J153" i="29"/>
  <c r="K153" i="29" s="1"/>
  <c r="L153" i="29" s="1"/>
  <c r="I165" i="29"/>
  <c r="M165" i="29" s="1"/>
  <c r="F168" i="29"/>
  <c r="G169" i="29"/>
  <c r="M169" i="29" s="1"/>
  <c r="Q113" i="29"/>
  <c r="R119" i="29"/>
  <c r="Q119" i="29"/>
  <c r="F121" i="29"/>
  <c r="J122" i="29" s="1"/>
  <c r="K122" i="29" s="1"/>
  <c r="L122" i="29" s="1"/>
  <c r="G122" i="29"/>
  <c r="Q127" i="29"/>
  <c r="V126" i="29"/>
  <c r="R127" i="29"/>
  <c r="V183" i="29"/>
  <c r="R184" i="29"/>
  <c r="Q184" i="29"/>
  <c r="Q70" i="29"/>
  <c r="Q78" i="29"/>
  <c r="F86" i="29"/>
  <c r="V89" i="29"/>
  <c r="G93" i="29"/>
  <c r="Q94" i="29"/>
  <c r="I112" i="29"/>
  <c r="M112" i="29" s="1"/>
  <c r="R113" i="29"/>
  <c r="V118" i="29"/>
  <c r="M122" i="29"/>
  <c r="M130" i="29"/>
  <c r="I132" i="29"/>
  <c r="I157" i="29"/>
  <c r="M161" i="29"/>
  <c r="J163" i="29"/>
  <c r="G136" i="29"/>
  <c r="M136" i="29" s="1"/>
  <c r="F135" i="29"/>
  <c r="J134" i="29" s="1"/>
  <c r="K134" i="29" s="1"/>
  <c r="L134" i="29" s="1"/>
  <c r="V136" i="29"/>
  <c r="R137" i="29"/>
  <c r="I138" i="29"/>
  <c r="M138" i="29" s="1"/>
  <c r="R158" i="29"/>
  <c r="Q158" i="29"/>
  <c r="F160" i="29"/>
  <c r="J161" i="29" s="1"/>
  <c r="K161" i="29" s="1"/>
  <c r="L161" i="29" s="1"/>
  <c r="G161" i="29"/>
  <c r="Q166" i="29"/>
  <c r="V165" i="29"/>
  <c r="F178" i="29"/>
  <c r="J179" i="29" s="1"/>
  <c r="F88" i="29"/>
  <c r="J89" i="29" s="1"/>
  <c r="F94" i="29"/>
  <c r="J95" i="29" s="1"/>
  <c r="R94" i="29"/>
  <c r="F105" i="29"/>
  <c r="G106" i="29"/>
  <c r="M106" i="29" s="1"/>
  <c r="G114" i="29"/>
  <c r="F113" i="29"/>
  <c r="J112" i="29" s="1"/>
  <c r="K112" i="29" s="1"/>
  <c r="L112" i="29" s="1"/>
  <c r="F115" i="29"/>
  <c r="J116" i="29" s="1"/>
  <c r="K116" i="29" s="1"/>
  <c r="L116" i="29" s="1"/>
  <c r="I118" i="29"/>
  <c r="M118" i="29" s="1"/>
  <c r="I124" i="29"/>
  <c r="M124" i="29" s="1"/>
  <c r="G128" i="29"/>
  <c r="M128" i="29" s="1"/>
  <c r="F127" i="29"/>
  <c r="G134" i="29"/>
  <c r="M134" i="29" s="1"/>
  <c r="G140" i="29"/>
  <c r="M140" i="29" s="1"/>
  <c r="F139" i="29"/>
  <c r="Q141" i="29"/>
  <c r="V140" i="29"/>
  <c r="I163" i="29"/>
  <c r="M163" i="29" s="1"/>
  <c r="G167" i="29"/>
  <c r="M167" i="29" s="1"/>
  <c r="F166" i="29"/>
  <c r="I181" i="29"/>
  <c r="Q190" i="29"/>
  <c r="V189" i="29"/>
  <c r="Q117" i="29"/>
  <c r="R125" i="29"/>
  <c r="F137" i="29"/>
  <c r="R164" i="29"/>
  <c r="G175" i="29"/>
  <c r="Q176" i="29"/>
  <c r="I183" i="29"/>
  <c r="M183" i="29" s="1"/>
  <c r="G120" i="29"/>
  <c r="M120" i="29" s="1"/>
  <c r="G159" i="29"/>
  <c r="M159" i="29" s="1"/>
  <c r="I175" i="29"/>
  <c r="G185" i="29"/>
  <c r="F184" i="29"/>
  <c r="F186" i="29"/>
  <c r="J187" i="29" s="1"/>
  <c r="K187" i="29" s="1"/>
  <c r="L187" i="29" s="1"/>
  <c r="I189" i="29"/>
  <c r="M189" i="29" s="1"/>
  <c r="Q172" i="29"/>
  <c r="Q180" i="29"/>
  <c r="Q188" i="29"/>
  <c r="W190" i="28"/>
  <c r="E190" i="28"/>
  <c r="H190" i="28" s="1"/>
  <c r="D190" i="28"/>
  <c r="F190" i="28" s="1"/>
  <c r="A190" i="28"/>
  <c r="O189" i="28"/>
  <c r="N189" i="28"/>
  <c r="W188" i="28"/>
  <c r="E188" i="28"/>
  <c r="H188" i="28" s="1"/>
  <c r="D188" i="28"/>
  <c r="F188" i="28" s="1"/>
  <c r="A188" i="28"/>
  <c r="O187" i="28"/>
  <c r="R188" i="28" s="1"/>
  <c r="N187" i="28"/>
  <c r="W186" i="28"/>
  <c r="E186" i="28"/>
  <c r="H186" i="28" s="1"/>
  <c r="D186" i="28"/>
  <c r="A186" i="28"/>
  <c r="O185" i="28"/>
  <c r="N185" i="28"/>
  <c r="W184" i="28"/>
  <c r="E184" i="28"/>
  <c r="H184" i="28" s="1"/>
  <c r="D184" i="28"/>
  <c r="A184" i="28"/>
  <c r="O183" i="28"/>
  <c r="R184" i="28" s="1"/>
  <c r="N183" i="28"/>
  <c r="W182" i="28"/>
  <c r="E182" i="28"/>
  <c r="H182" i="28" s="1"/>
  <c r="D182" i="28"/>
  <c r="F182" i="28" s="1"/>
  <c r="A182" i="28"/>
  <c r="O181" i="28"/>
  <c r="N181" i="28"/>
  <c r="W180" i="28"/>
  <c r="E180" i="28"/>
  <c r="H180" i="28" s="1"/>
  <c r="D180" i="28"/>
  <c r="A180" i="28"/>
  <c r="O179" i="28"/>
  <c r="R180" i="28" s="1"/>
  <c r="N179" i="28"/>
  <c r="W178" i="28"/>
  <c r="E178" i="28"/>
  <c r="H178" i="28" s="1"/>
  <c r="D178" i="28"/>
  <c r="A178" i="28"/>
  <c r="O177" i="28"/>
  <c r="N177" i="28"/>
  <c r="W176" i="28"/>
  <c r="E176" i="28"/>
  <c r="H176" i="28" s="1"/>
  <c r="D176" i="28"/>
  <c r="A176" i="28"/>
  <c r="O175" i="28"/>
  <c r="R176" i="28" s="1"/>
  <c r="N175" i="28"/>
  <c r="W174" i="28"/>
  <c r="E174" i="28"/>
  <c r="H174" i="28" s="1"/>
  <c r="D174" i="28"/>
  <c r="F174" i="28" s="1"/>
  <c r="A174" i="28"/>
  <c r="O173" i="28"/>
  <c r="N173" i="28"/>
  <c r="W172" i="28"/>
  <c r="E172" i="28"/>
  <c r="H172" i="28" s="1"/>
  <c r="D172" i="28"/>
  <c r="F172" i="28" s="1"/>
  <c r="A172" i="28"/>
  <c r="O171" i="28"/>
  <c r="R172" i="28" s="1"/>
  <c r="N171" i="28"/>
  <c r="W170" i="28"/>
  <c r="E170" i="28"/>
  <c r="H170" i="28" s="1"/>
  <c r="D170" i="28"/>
  <c r="G171" i="28" s="1"/>
  <c r="A170" i="28"/>
  <c r="O169" i="28"/>
  <c r="N169" i="28"/>
  <c r="W168" i="28"/>
  <c r="E168" i="28"/>
  <c r="H168" i="28" s="1"/>
  <c r="D168" i="28"/>
  <c r="A168" i="28"/>
  <c r="O167" i="28"/>
  <c r="R168" i="28" s="1"/>
  <c r="N167" i="28"/>
  <c r="W166" i="28"/>
  <c r="E166" i="28"/>
  <c r="H166" i="28" s="1"/>
  <c r="D166" i="28"/>
  <c r="F166" i="28" s="1"/>
  <c r="A166" i="28"/>
  <c r="O165" i="28"/>
  <c r="N165" i="28"/>
  <c r="W164" i="28"/>
  <c r="E164" i="28"/>
  <c r="H164" i="28" s="1"/>
  <c r="D164" i="28"/>
  <c r="F164" i="28" s="1"/>
  <c r="A164" i="28"/>
  <c r="O163" i="28"/>
  <c r="R164" i="28" s="1"/>
  <c r="N163" i="28"/>
  <c r="W162" i="28"/>
  <c r="E162" i="28"/>
  <c r="H162" i="28" s="1"/>
  <c r="D162" i="28"/>
  <c r="A162" i="28"/>
  <c r="O161" i="28"/>
  <c r="N161" i="28"/>
  <c r="W160" i="28"/>
  <c r="E160" i="28"/>
  <c r="H160" i="28" s="1"/>
  <c r="D160" i="28"/>
  <c r="A160" i="28"/>
  <c r="O159" i="28"/>
  <c r="R160" i="28" s="1"/>
  <c r="N159" i="28"/>
  <c r="W158" i="28"/>
  <c r="E158" i="28"/>
  <c r="H158" i="28" s="1"/>
  <c r="D158" i="28"/>
  <c r="F158" i="28" s="1"/>
  <c r="A158" i="28"/>
  <c r="O157" i="28"/>
  <c r="N157" i="28"/>
  <c r="W156" i="28"/>
  <c r="E156" i="28"/>
  <c r="H156" i="28" s="1"/>
  <c r="D156" i="28"/>
  <c r="A156" i="28"/>
  <c r="O155" i="28"/>
  <c r="R156" i="28" s="1"/>
  <c r="N155" i="28"/>
  <c r="W154" i="28"/>
  <c r="E154" i="28"/>
  <c r="H154" i="28" s="1"/>
  <c r="I155" i="28" s="1"/>
  <c r="D154" i="28"/>
  <c r="A154" i="28"/>
  <c r="O153" i="28"/>
  <c r="V153" i="28" s="1"/>
  <c r="N153" i="28"/>
  <c r="E152" i="28"/>
  <c r="H152" i="28" s="1"/>
  <c r="D152" i="28"/>
  <c r="A152" i="28"/>
  <c r="W143" i="28"/>
  <c r="F143" i="28"/>
  <c r="E143" i="28"/>
  <c r="H143" i="28" s="1"/>
  <c r="D143" i="28"/>
  <c r="A143" i="28"/>
  <c r="V142" i="28"/>
  <c r="O142" i="28"/>
  <c r="Q143" i="28" s="1"/>
  <c r="N142" i="28"/>
  <c r="W141" i="28"/>
  <c r="Q141" i="28"/>
  <c r="E141" i="28"/>
  <c r="H141" i="28" s="1"/>
  <c r="D141" i="28"/>
  <c r="A141" i="28"/>
  <c r="O140" i="28"/>
  <c r="R141" i="28" s="1"/>
  <c r="N140" i="28"/>
  <c r="W139" i="28"/>
  <c r="E139" i="28"/>
  <c r="H139" i="28" s="1"/>
  <c r="D139" i="28"/>
  <c r="A139" i="28"/>
  <c r="O138" i="28"/>
  <c r="V138" i="28" s="1"/>
  <c r="N138" i="28"/>
  <c r="W137" i="28"/>
  <c r="E137" i="28"/>
  <c r="H137" i="28" s="1"/>
  <c r="D137" i="28"/>
  <c r="A137" i="28"/>
  <c r="O136" i="28"/>
  <c r="N136" i="28"/>
  <c r="W135" i="28"/>
  <c r="E135" i="28"/>
  <c r="H135" i="28" s="1"/>
  <c r="D135" i="28"/>
  <c r="F135" i="28" s="1"/>
  <c r="A135" i="28"/>
  <c r="O134" i="28"/>
  <c r="Q135" i="28" s="1"/>
  <c r="N134" i="28"/>
  <c r="W133" i="28"/>
  <c r="E133" i="28"/>
  <c r="H133" i="28" s="1"/>
  <c r="D133" i="28"/>
  <c r="A133" i="28"/>
  <c r="O132" i="28"/>
  <c r="R133" i="28" s="1"/>
  <c r="N132" i="28"/>
  <c r="W131" i="28"/>
  <c r="E131" i="28"/>
  <c r="H131" i="28" s="1"/>
  <c r="D131" i="28"/>
  <c r="A131" i="28"/>
  <c r="O130" i="28"/>
  <c r="V130" i="28" s="1"/>
  <c r="N130" i="28"/>
  <c r="W129" i="28"/>
  <c r="E129" i="28"/>
  <c r="H129" i="28" s="1"/>
  <c r="D129" i="28"/>
  <c r="F129" i="28" s="1"/>
  <c r="A129" i="28"/>
  <c r="O128" i="28"/>
  <c r="N128" i="28"/>
  <c r="W127" i="28"/>
  <c r="F127" i="28"/>
  <c r="E127" i="28"/>
  <c r="H127" i="28" s="1"/>
  <c r="D127" i="28"/>
  <c r="A127" i="28"/>
  <c r="V126" i="28"/>
  <c r="O126" i="28"/>
  <c r="Q127" i="28" s="1"/>
  <c r="N126" i="28"/>
  <c r="W125" i="28"/>
  <c r="E125" i="28"/>
  <c r="H125" i="28" s="1"/>
  <c r="D125" i="28"/>
  <c r="F125" i="28" s="1"/>
  <c r="A125" i="28"/>
  <c r="O124" i="28"/>
  <c r="R125" i="28" s="1"/>
  <c r="N124" i="28"/>
  <c r="W123" i="28"/>
  <c r="E123" i="28"/>
  <c r="H123" i="28" s="1"/>
  <c r="D123" i="28"/>
  <c r="A123" i="28"/>
  <c r="O122" i="28"/>
  <c r="N122" i="28"/>
  <c r="W121" i="28"/>
  <c r="E121" i="28"/>
  <c r="H121" i="28" s="1"/>
  <c r="D121" i="28"/>
  <c r="F121" i="28" s="1"/>
  <c r="A121" i="28"/>
  <c r="O120" i="28"/>
  <c r="R121" i="28" s="1"/>
  <c r="N120" i="28"/>
  <c r="W119" i="28"/>
  <c r="E119" i="28"/>
  <c r="H119" i="28" s="1"/>
  <c r="D119" i="28"/>
  <c r="F119" i="28" s="1"/>
  <c r="J120" i="28" s="1"/>
  <c r="A119" i="28"/>
  <c r="V118" i="28"/>
  <c r="O118" i="28"/>
  <c r="Q119" i="28" s="1"/>
  <c r="N118" i="28"/>
  <c r="W117" i="28"/>
  <c r="E117" i="28"/>
  <c r="H117" i="28" s="1"/>
  <c r="I118" i="28" s="1"/>
  <c r="D117" i="28"/>
  <c r="F117" i="28" s="1"/>
  <c r="A117" i="28"/>
  <c r="O116" i="28"/>
  <c r="R117" i="28" s="1"/>
  <c r="N116" i="28"/>
  <c r="W115" i="28"/>
  <c r="E115" i="28"/>
  <c r="H115" i="28" s="1"/>
  <c r="D115" i="28"/>
  <c r="A115" i="28"/>
  <c r="O114" i="28"/>
  <c r="R115" i="28" s="1"/>
  <c r="N114" i="28"/>
  <c r="W113" i="28"/>
  <c r="E113" i="28"/>
  <c r="H113" i="28" s="1"/>
  <c r="D113" i="28"/>
  <c r="A113" i="28"/>
  <c r="O112" i="28"/>
  <c r="V112" i="28" s="1"/>
  <c r="N112" i="28"/>
  <c r="W111" i="28"/>
  <c r="E111" i="28"/>
  <c r="H111" i="28" s="1"/>
  <c r="D111" i="28"/>
  <c r="A111" i="28"/>
  <c r="O110" i="28"/>
  <c r="V110" i="28" s="1"/>
  <c r="N110" i="28"/>
  <c r="W109" i="28"/>
  <c r="E109" i="28"/>
  <c r="H109" i="28" s="1"/>
  <c r="D109" i="28"/>
  <c r="F109" i="28" s="1"/>
  <c r="A109" i="28"/>
  <c r="O108" i="28"/>
  <c r="R109" i="28" s="1"/>
  <c r="N108" i="28"/>
  <c r="W107" i="28"/>
  <c r="E107" i="28"/>
  <c r="H107" i="28" s="1"/>
  <c r="D107" i="28"/>
  <c r="A107" i="28"/>
  <c r="O106" i="28"/>
  <c r="R107" i="28" s="1"/>
  <c r="N106" i="28"/>
  <c r="R105" i="28"/>
  <c r="E105" i="28"/>
  <c r="H105" i="28" s="1"/>
  <c r="D105" i="28"/>
  <c r="A105" i="28"/>
  <c r="W96" i="28"/>
  <c r="E96" i="28"/>
  <c r="H96" i="28" s="1"/>
  <c r="D96" i="28"/>
  <c r="F96" i="28" s="1"/>
  <c r="A96" i="28"/>
  <c r="O95" i="28"/>
  <c r="R96" i="28" s="1"/>
  <c r="N95" i="28"/>
  <c r="W94" i="28"/>
  <c r="E94" i="28"/>
  <c r="H94" i="28" s="1"/>
  <c r="D94" i="28"/>
  <c r="A94" i="28"/>
  <c r="O93" i="28"/>
  <c r="V93" i="28" s="1"/>
  <c r="N93" i="28"/>
  <c r="W92" i="28"/>
  <c r="E92" i="28"/>
  <c r="H92" i="28" s="1"/>
  <c r="D92" i="28"/>
  <c r="F92" i="28" s="1"/>
  <c r="A92" i="28"/>
  <c r="O91" i="28"/>
  <c r="Q92" i="28" s="1"/>
  <c r="N91" i="28"/>
  <c r="W90" i="28"/>
  <c r="E90" i="28"/>
  <c r="H90" i="28" s="1"/>
  <c r="I91" i="28" s="1"/>
  <c r="D90" i="28"/>
  <c r="F90" i="28" s="1"/>
  <c r="A90" i="28"/>
  <c r="O89" i="28"/>
  <c r="R90" i="28" s="1"/>
  <c r="N89" i="28"/>
  <c r="W88" i="28"/>
  <c r="Q88" i="28"/>
  <c r="E88" i="28"/>
  <c r="H88" i="28" s="1"/>
  <c r="D88" i="28"/>
  <c r="A88" i="28"/>
  <c r="O87" i="28"/>
  <c r="R88" i="28" s="1"/>
  <c r="N87" i="28"/>
  <c r="W86" i="28"/>
  <c r="E86" i="28"/>
  <c r="H86" i="28" s="1"/>
  <c r="D86" i="28"/>
  <c r="A86" i="28"/>
  <c r="O85" i="28"/>
  <c r="V85" i="28" s="1"/>
  <c r="N85" i="28"/>
  <c r="W84" i="28"/>
  <c r="E84" i="28"/>
  <c r="H84" i="28" s="1"/>
  <c r="D84" i="28"/>
  <c r="F84" i="28" s="1"/>
  <c r="A84" i="28"/>
  <c r="O83" i="28"/>
  <c r="N83" i="28"/>
  <c r="W82" i="28"/>
  <c r="H82" i="28"/>
  <c r="E82" i="28"/>
  <c r="D82" i="28"/>
  <c r="G83" i="28" s="1"/>
  <c r="A82" i="28"/>
  <c r="V81" i="28"/>
  <c r="O81" i="28"/>
  <c r="R82" i="28" s="1"/>
  <c r="N81" i="28"/>
  <c r="W80" i="28"/>
  <c r="E80" i="28"/>
  <c r="H80" i="28" s="1"/>
  <c r="I81" i="28" s="1"/>
  <c r="D80" i="28"/>
  <c r="A80" i="28"/>
  <c r="O79" i="28"/>
  <c r="R80" i="28" s="1"/>
  <c r="N79" i="28"/>
  <c r="W78" i="28"/>
  <c r="E78" i="28"/>
  <c r="H78" i="28" s="1"/>
  <c r="D78" i="28"/>
  <c r="A78" i="28"/>
  <c r="O77" i="28"/>
  <c r="V77" i="28" s="1"/>
  <c r="N77" i="28"/>
  <c r="W76" i="28"/>
  <c r="E76" i="28"/>
  <c r="H76" i="28" s="1"/>
  <c r="D76" i="28"/>
  <c r="A76" i="28"/>
  <c r="O75" i="28"/>
  <c r="N75" i="28"/>
  <c r="W74" i="28"/>
  <c r="E74" i="28"/>
  <c r="H74" i="28" s="1"/>
  <c r="D74" i="28"/>
  <c r="G75" i="28" s="1"/>
  <c r="A74" i="28"/>
  <c r="O73" i="28"/>
  <c r="Q74" i="28" s="1"/>
  <c r="N73" i="28"/>
  <c r="W72" i="28"/>
  <c r="E72" i="28"/>
  <c r="H72" i="28" s="1"/>
  <c r="D72" i="28"/>
  <c r="A72" i="28"/>
  <c r="O71" i="28"/>
  <c r="R72" i="28" s="1"/>
  <c r="N71" i="28"/>
  <c r="W70" i="28"/>
  <c r="E70" i="28"/>
  <c r="H70" i="28" s="1"/>
  <c r="D70" i="28"/>
  <c r="A70" i="28"/>
  <c r="O69" i="28"/>
  <c r="V69" i="28" s="1"/>
  <c r="N69" i="28"/>
  <c r="W68" i="28"/>
  <c r="E68" i="28"/>
  <c r="H68" i="28" s="1"/>
  <c r="D68" i="28"/>
  <c r="F68" i="28" s="1"/>
  <c r="A68" i="28"/>
  <c r="O67" i="28"/>
  <c r="V67" i="28" s="1"/>
  <c r="N67" i="28"/>
  <c r="W66" i="28"/>
  <c r="E66" i="28"/>
  <c r="H66" i="28" s="1"/>
  <c r="I67" i="28" s="1"/>
  <c r="D66" i="28"/>
  <c r="G67" i="28" s="1"/>
  <c r="A66" i="28"/>
  <c r="O65" i="28"/>
  <c r="Q66" i="28" s="1"/>
  <c r="N65" i="28"/>
  <c r="E64" i="28"/>
  <c r="H64" i="28" s="1"/>
  <c r="D64" i="28"/>
  <c r="F64" i="28" s="1"/>
  <c r="E62" i="28"/>
  <c r="H62" i="28" s="1"/>
  <c r="D62" i="28"/>
  <c r="E60" i="28"/>
  <c r="H60" i="28" s="1"/>
  <c r="D60" i="28"/>
  <c r="A60" i="28"/>
  <c r="A62" i="28" s="1"/>
  <c r="A64" i="28" s="1"/>
  <c r="E58" i="28"/>
  <c r="H58" i="28" s="1"/>
  <c r="D58" i="28"/>
  <c r="AD51" i="28"/>
  <c r="A51" i="28"/>
  <c r="T50" i="28"/>
  <c r="Q50" i="28"/>
  <c r="T49" i="28"/>
  <c r="Q49" i="28"/>
  <c r="E47" i="28"/>
  <c r="H47" i="28" s="1"/>
  <c r="D47" i="28"/>
  <c r="F47" i="28" s="1"/>
  <c r="E45" i="28"/>
  <c r="H45" i="28" s="1"/>
  <c r="D45" i="28"/>
  <c r="E43" i="28"/>
  <c r="H43" i="28" s="1"/>
  <c r="D43" i="28"/>
  <c r="F43" i="28" s="1"/>
  <c r="E41" i="28"/>
  <c r="H41" i="28" s="1"/>
  <c r="D41" i="28"/>
  <c r="E39" i="28"/>
  <c r="H39" i="28" s="1"/>
  <c r="D39" i="28"/>
  <c r="E37" i="28"/>
  <c r="H37" i="28" s="1"/>
  <c r="D37" i="28"/>
  <c r="F37" i="28" s="1"/>
  <c r="E35" i="28"/>
  <c r="H35" i="28" s="1"/>
  <c r="D35" i="28"/>
  <c r="E33" i="28"/>
  <c r="H33" i="28" s="1"/>
  <c r="D33" i="28"/>
  <c r="E31" i="28"/>
  <c r="H31" i="28" s="1"/>
  <c r="D31" i="28"/>
  <c r="E29" i="28"/>
  <c r="H29" i="28" s="1"/>
  <c r="D29" i="28"/>
  <c r="F29" i="28" s="1"/>
  <c r="E27" i="28"/>
  <c r="H27" i="28" s="1"/>
  <c r="D27" i="28"/>
  <c r="E25" i="28"/>
  <c r="H25" i="28" s="1"/>
  <c r="D25" i="28"/>
  <c r="F25" i="28" s="1"/>
  <c r="E23" i="28"/>
  <c r="H23" i="28" s="1"/>
  <c r="D23" i="28"/>
  <c r="F23" i="28" s="1"/>
  <c r="E21" i="28"/>
  <c r="H21" i="28" s="1"/>
  <c r="D21" i="28"/>
  <c r="E19" i="28"/>
  <c r="H19" i="28" s="1"/>
  <c r="D19" i="28"/>
  <c r="E17" i="28"/>
  <c r="H17" i="28" s="1"/>
  <c r="D17" i="28"/>
  <c r="F17" i="28" s="1"/>
  <c r="E15" i="28"/>
  <c r="H15" i="28" s="1"/>
  <c r="D15" i="28"/>
  <c r="F15" i="28" s="1"/>
  <c r="E13" i="28"/>
  <c r="H13" i="28" s="1"/>
  <c r="D13" i="28"/>
  <c r="E11" i="28"/>
  <c r="H11" i="28" s="1"/>
  <c r="D11" i="28"/>
  <c r="E9" i="28"/>
  <c r="H9" i="28" s="1"/>
  <c r="D9" i="28"/>
  <c r="F9" i="28" s="1"/>
  <c r="A9" i="28"/>
  <c r="A11" i="28" s="1"/>
  <c r="A13" i="28" s="1"/>
  <c r="A15" i="28" s="1"/>
  <c r="A17" i="28" s="1"/>
  <c r="A19" i="28" s="1"/>
  <c r="A21" i="28" s="1"/>
  <c r="A23" i="28" s="1"/>
  <c r="A25" i="28" s="1"/>
  <c r="A27" i="28" s="1"/>
  <c r="A29" i="28" s="1"/>
  <c r="A31" i="28" s="1"/>
  <c r="A33" i="28" s="1"/>
  <c r="A35" i="28" s="1"/>
  <c r="A37" i="28" s="1"/>
  <c r="A39" i="28" s="1"/>
  <c r="A41" i="28" s="1"/>
  <c r="A43" i="28" s="1"/>
  <c r="A45" i="28" s="1"/>
  <c r="A47" i="28" s="1"/>
  <c r="G128" i="28" l="1"/>
  <c r="I165" i="28"/>
  <c r="M171" i="29"/>
  <c r="K181" i="29"/>
  <c r="L181" i="29" s="1"/>
  <c r="V171" i="28"/>
  <c r="I75" i="28"/>
  <c r="F74" i="28"/>
  <c r="V155" i="28"/>
  <c r="I169" i="28"/>
  <c r="G179" i="28"/>
  <c r="K89" i="29"/>
  <c r="L89" i="29" s="1"/>
  <c r="K22" i="29"/>
  <c r="L22" i="29" s="1"/>
  <c r="N22" i="29" s="1"/>
  <c r="Q133" i="28"/>
  <c r="J169" i="29"/>
  <c r="K169" i="29" s="1"/>
  <c r="L169" i="29" s="1"/>
  <c r="K46" i="29"/>
  <c r="L46" i="29" s="1"/>
  <c r="N46" i="29" s="1"/>
  <c r="I24" i="28"/>
  <c r="K24" i="28" s="1"/>
  <c r="L24" i="28" s="1"/>
  <c r="N24" i="28" s="1"/>
  <c r="I85" i="28"/>
  <c r="V91" i="28"/>
  <c r="J120" i="29"/>
  <c r="K120" i="29" s="1"/>
  <c r="L120" i="29" s="1"/>
  <c r="F82" i="28"/>
  <c r="J83" i="28" s="1"/>
  <c r="G108" i="28"/>
  <c r="F180" i="28"/>
  <c r="J181" i="28" s="1"/>
  <c r="J185" i="29"/>
  <c r="K185" i="29" s="1"/>
  <c r="L185" i="29" s="1"/>
  <c r="J167" i="29"/>
  <c r="K167" i="29" s="1"/>
  <c r="L167" i="29" s="1"/>
  <c r="M93" i="29"/>
  <c r="K30" i="29"/>
  <c r="I126" i="28"/>
  <c r="G163" i="28"/>
  <c r="I189" i="28"/>
  <c r="M185" i="29"/>
  <c r="J16" i="29"/>
  <c r="K16" i="29" s="1"/>
  <c r="L16" i="29" s="1"/>
  <c r="N16" i="29" s="1"/>
  <c r="G20" i="28"/>
  <c r="I153" i="28"/>
  <c r="G187" i="28"/>
  <c r="K95" i="29"/>
  <c r="L95" i="29" s="1"/>
  <c r="K155" i="29"/>
  <c r="L155" i="29" s="1"/>
  <c r="R92" i="28"/>
  <c r="G134" i="28"/>
  <c r="M157" i="29"/>
  <c r="I161" i="28"/>
  <c r="K179" i="29"/>
  <c r="L179" i="29" s="1"/>
  <c r="M132" i="29"/>
  <c r="K24" i="29"/>
  <c r="I140" i="28"/>
  <c r="G14" i="28"/>
  <c r="M67" i="28"/>
  <c r="Q72" i="28"/>
  <c r="G91" i="28"/>
  <c r="M91" i="28" s="1"/>
  <c r="I108" i="28"/>
  <c r="V108" i="28"/>
  <c r="J118" i="28"/>
  <c r="G126" i="28"/>
  <c r="M126" i="28" s="1"/>
  <c r="V159" i="28"/>
  <c r="Q160" i="28"/>
  <c r="V167" i="28"/>
  <c r="Q168" i="28"/>
  <c r="V179" i="28"/>
  <c r="I187" i="28"/>
  <c r="V187" i="28"/>
  <c r="K189" i="29"/>
  <c r="L189" i="29" s="1"/>
  <c r="J128" i="29"/>
  <c r="K128" i="29" s="1"/>
  <c r="L128" i="29" s="1"/>
  <c r="J183" i="29"/>
  <c r="K183" i="29" s="1"/>
  <c r="L183" i="29" s="1"/>
  <c r="K110" i="29"/>
  <c r="L110" i="29" s="1"/>
  <c r="J69" i="29"/>
  <c r="K69" i="29" s="1"/>
  <c r="L69" i="29" s="1"/>
  <c r="K163" i="29"/>
  <c r="L163" i="29" s="1"/>
  <c r="J10" i="29"/>
  <c r="K10" i="29" s="1"/>
  <c r="J87" i="29"/>
  <c r="I136" i="28"/>
  <c r="J140" i="29"/>
  <c r="K140" i="29" s="1"/>
  <c r="L140" i="29" s="1"/>
  <c r="J175" i="29"/>
  <c r="K175" i="29" s="1"/>
  <c r="L175" i="29" s="1"/>
  <c r="K157" i="29"/>
  <c r="L157" i="29" s="1"/>
  <c r="K124" i="29"/>
  <c r="L124" i="29" s="1"/>
  <c r="J173" i="28"/>
  <c r="I63" i="28"/>
  <c r="I12" i="28"/>
  <c r="V95" i="28"/>
  <c r="F13" i="28"/>
  <c r="J14" i="28" s="1"/>
  <c r="K14" i="28" s="1"/>
  <c r="L14" i="28" s="1"/>
  <c r="N14" i="28" s="1"/>
  <c r="I69" i="28"/>
  <c r="G73" i="28"/>
  <c r="M75" i="28"/>
  <c r="G81" i="28"/>
  <c r="V87" i="28"/>
  <c r="Q96" i="28"/>
  <c r="G110" i="28"/>
  <c r="R119" i="28"/>
  <c r="G124" i="28"/>
  <c r="R131" i="28"/>
  <c r="V132" i="28"/>
  <c r="V140" i="28"/>
  <c r="Q156" i="28"/>
  <c r="I173" i="28"/>
  <c r="I185" i="28"/>
  <c r="G189" i="28"/>
  <c r="M189" i="28" s="1"/>
  <c r="Q188" i="28"/>
  <c r="M181" i="29"/>
  <c r="J159" i="29"/>
  <c r="K159" i="29" s="1"/>
  <c r="L159" i="29" s="1"/>
  <c r="J65" i="29"/>
  <c r="K65" i="29" s="1"/>
  <c r="L65" i="29" s="1"/>
  <c r="K32" i="29"/>
  <c r="L32" i="29" s="1"/>
  <c r="N32" i="29" s="1"/>
  <c r="K38" i="29"/>
  <c r="L38" i="29" s="1"/>
  <c r="N38" i="29" s="1"/>
  <c r="K40" i="29"/>
  <c r="L40" i="29" s="1"/>
  <c r="N40" i="29" s="1"/>
  <c r="J63" i="29"/>
  <c r="K63" i="29" s="1"/>
  <c r="J61" i="29"/>
  <c r="K61" i="29" s="1"/>
  <c r="L61" i="29" s="1"/>
  <c r="N61" i="29" s="1"/>
  <c r="V26" i="29"/>
  <c r="L24" i="29"/>
  <c r="N24" i="29" s="1"/>
  <c r="M24" i="29"/>
  <c r="O24" i="29" s="1"/>
  <c r="L30" i="29"/>
  <c r="N30" i="29" s="1"/>
  <c r="M30" i="29"/>
  <c r="O30" i="29" s="1"/>
  <c r="L20" i="29"/>
  <c r="N20" i="29" s="1"/>
  <c r="M20" i="29"/>
  <c r="O20" i="29" s="1"/>
  <c r="M14" i="29"/>
  <c r="O14" i="29" s="1"/>
  <c r="V28" i="29"/>
  <c r="J85" i="29"/>
  <c r="K85" i="29" s="1"/>
  <c r="L85" i="29" s="1"/>
  <c r="M175" i="29"/>
  <c r="K87" i="29"/>
  <c r="L87" i="29" s="1"/>
  <c r="J165" i="29"/>
  <c r="K165" i="29" s="1"/>
  <c r="L165" i="29" s="1"/>
  <c r="K71" i="29"/>
  <c r="L71" i="29" s="1"/>
  <c r="J138" i="29"/>
  <c r="K138" i="29" s="1"/>
  <c r="L138" i="29" s="1"/>
  <c r="J136" i="29"/>
  <c r="K136" i="29" s="1"/>
  <c r="L136" i="29" s="1"/>
  <c r="J126" i="29"/>
  <c r="K126" i="29" s="1"/>
  <c r="L126" i="29" s="1"/>
  <c r="J83" i="29"/>
  <c r="K83" i="29" s="1"/>
  <c r="L83" i="29" s="1"/>
  <c r="J81" i="29"/>
  <c r="K81" i="29" s="1"/>
  <c r="L81" i="29" s="1"/>
  <c r="J93" i="29"/>
  <c r="K93" i="29" s="1"/>
  <c r="L93" i="29" s="1"/>
  <c r="J59" i="29"/>
  <c r="K59" i="29" s="1"/>
  <c r="L59" i="29" s="1"/>
  <c r="N59" i="29" s="1"/>
  <c r="M67" i="29"/>
  <c r="J114" i="29"/>
  <c r="K114" i="29" s="1"/>
  <c r="L114" i="29" s="1"/>
  <c r="J106" i="29"/>
  <c r="K106" i="29" s="1"/>
  <c r="L106" i="29" s="1"/>
  <c r="J130" i="29"/>
  <c r="K130" i="29" s="1"/>
  <c r="L130" i="29" s="1"/>
  <c r="M114" i="29"/>
  <c r="J67" i="29"/>
  <c r="K67" i="29" s="1"/>
  <c r="L67" i="29" s="1"/>
  <c r="J28" i="29"/>
  <c r="J26" i="29"/>
  <c r="J12" i="29"/>
  <c r="K12" i="29" s="1"/>
  <c r="J177" i="29"/>
  <c r="K177" i="29" s="1"/>
  <c r="L177" i="29" s="1"/>
  <c r="K132" i="29"/>
  <c r="L132" i="29" s="1"/>
  <c r="J73" i="29"/>
  <c r="K73" i="29" s="1"/>
  <c r="L73" i="29" s="1"/>
  <c r="J75" i="29"/>
  <c r="K75" i="29" s="1"/>
  <c r="L75" i="29" s="1"/>
  <c r="J36" i="29"/>
  <c r="K36" i="29" s="1"/>
  <c r="L36" i="29" s="1"/>
  <c r="N36" i="29" s="1"/>
  <c r="V18" i="29"/>
  <c r="K118" i="29"/>
  <c r="L118" i="29" s="1"/>
  <c r="K79" i="29"/>
  <c r="L79" i="29" s="1"/>
  <c r="J42" i="29"/>
  <c r="K42" i="29" s="1"/>
  <c r="J44" i="29"/>
  <c r="K44" i="29" s="1"/>
  <c r="L44" i="29" s="1"/>
  <c r="N44" i="29" s="1"/>
  <c r="J34" i="29"/>
  <c r="K34" i="29" s="1"/>
  <c r="J18" i="29"/>
  <c r="G36" i="28"/>
  <c r="F35" i="28"/>
  <c r="J36" i="28" s="1"/>
  <c r="J24" i="28"/>
  <c r="I106" i="28"/>
  <c r="M81" i="28"/>
  <c r="I116" i="28"/>
  <c r="J128" i="28"/>
  <c r="J189" i="28"/>
  <c r="I71" i="28"/>
  <c r="I79" i="28"/>
  <c r="I89" i="28"/>
  <c r="V89" i="28"/>
  <c r="I112" i="28"/>
  <c r="R113" i="28"/>
  <c r="V114" i="28"/>
  <c r="G118" i="28"/>
  <c r="M118" i="28" s="1"/>
  <c r="V120" i="28"/>
  <c r="V124" i="28"/>
  <c r="J126" i="28"/>
  <c r="I132" i="28"/>
  <c r="I138" i="28"/>
  <c r="Q139" i="28"/>
  <c r="Q154" i="28"/>
  <c r="G159" i="28"/>
  <c r="V163" i="28"/>
  <c r="J165" i="28"/>
  <c r="K165" i="28" s="1"/>
  <c r="L165" i="28" s="1"/>
  <c r="G167" i="28"/>
  <c r="V175" i="28"/>
  <c r="Q176" i="28"/>
  <c r="V183" i="28"/>
  <c r="Q184" i="28"/>
  <c r="I34" i="28"/>
  <c r="V65" i="28"/>
  <c r="F66" i="28"/>
  <c r="J67" i="28" s="1"/>
  <c r="R70" i="28"/>
  <c r="V71" i="28"/>
  <c r="F72" i="28"/>
  <c r="R78" i="28"/>
  <c r="V79" i="28"/>
  <c r="I95" i="28"/>
  <c r="Q105" i="28"/>
  <c r="V106" i="28"/>
  <c r="F111" i="28"/>
  <c r="J110" i="28" s="1"/>
  <c r="Q115" i="28"/>
  <c r="V116" i="28"/>
  <c r="G120" i="28"/>
  <c r="Q121" i="28"/>
  <c r="R127" i="28"/>
  <c r="I130" i="28"/>
  <c r="Q131" i="28"/>
  <c r="V134" i="28"/>
  <c r="R139" i="28"/>
  <c r="Q152" i="28"/>
  <c r="R154" i="28"/>
  <c r="I159" i="28"/>
  <c r="M159" i="28" s="1"/>
  <c r="G173" i="28"/>
  <c r="Q172" i="28"/>
  <c r="G181" i="28"/>
  <c r="Q180" i="28"/>
  <c r="R86" i="28"/>
  <c r="I114" i="28"/>
  <c r="G136" i="28"/>
  <c r="M136" i="28" s="1"/>
  <c r="I163" i="28"/>
  <c r="J16" i="28"/>
  <c r="G22" i="28"/>
  <c r="J65" i="28"/>
  <c r="Q70" i="28"/>
  <c r="V73" i="28"/>
  <c r="I77" i="28"/>
  <c r="Q78" i="28"/>
  <c r="J91" i="28"/>
  <c r="K91" i="28" s="1"/>
  <c r="L91" i="28" s="1"/>
  <c r="I10" i="28"/>
  <c r="I22" i="28"/>
  <c r="Q80" i="28"/>
  <c r="I87" i="28"/>
  <c r="R94" i="28"/>
  <c r="Q107" i="28"/>
  <c r="I120" i="28"/>
  <c r="M120" i="28" s="1"/>
  <c r="Q125" i="28"/>
  <c r="F133" i="28"/>
  <c r="G165" i="28"/>
  <c r="M165" i="28" s="1"/>
  <c r="Q164" i="28"/>
  <c r="I171" i="28"/>
  <c r="M171" i="28" s="1"/>
  <c r="G175" i="28"/>
  <c r="I179" i="28"/>
  <c r="M179" i="28" s="1"/>
  <c r="M187" i="28"/>
  <c r="R66" i="28"/>
  <c r="G65" i="28"/>
  <c r="I61" i="28"/>
  <c r="I46" i="28"/>
  <c r="I16" i="28"/>
  <c r="I40" i="28"/>
  <c r="G26" i="28"/>
  <c r="I28" i="28"/>
  <c r="I38" i="28"/>
  <c r="I44" i="28"/>
  <c r="G24" i="28"/>
  <c r="I20" i="28"/>
  <c r="F21" i="28"/>
  <c r="J22" i="28" s="1"/>
  <c r="G34" i="28"/>
  <c r="F33" i="28"/>
  <c r="G32" i="28"/>
  <c r="F39" i="28"/>
  <c r="G40" i="28"/>
  <c r="G46" i="28"/>
  <c r="F45" i="28"/>
  <c r="J46" i="28" s="1"/>
  <c r="G44" i="28"/>
  <c r="I14" i="28"/>
  <c r="G18" i="28"/>
  <c r="G16" i="28"/>
  <c r="I18" i="28"/>
  <c r="G10" i="28"/>
  <c r="F11" i="28"/>
  <c r="G12" i="28"/>
  <c r="I32" i="28"/>
  <c r="I30" i="28"/>
  <c r="I36" i="28"/>
  <c r="I42" i="28"/>
  <c r="F58" i="28"/>
  <c r="G59" i="28"/>
  <c r="I124" i="28"/>
  <c r="I122" i="28"/>
  <c r="Q158" i="28"/>
  <c r="R158" i="28"/>
  <c r="V157" i="28"/>
  <c r="V169" i="28"/>
  <c r="Q170" i="28"/>
  <c r="R170" i="28"/>
  <c r="Q182" i="28"/>
  <c r="V181" i="28"/>
  <c r="R182" i="28"/>
  <c r="F19" i="28"/>
  <c r="G42" i="28"/>
  <c r="F41" i="28"/>
  <c r="J42" i="28" s="1"/>
  <c r="F62" i="28"/>
  <c r="J63" i="28" s="1"/>
  <c r="K63" i="28" s="1"/>
  <c r="L63" i="28" s="1"/>
  <c r="N63" i="28" s="1"/>
  <c r="G63" i="28"/>
  <c r="K67" i="28"/>
  <c r="L67" i="28" s="1"/>
  <c r="I73" i="28"/>
  <c r="M73" i="28" s="1"/>
  <c r="G77" i="28"/>
  <c r="M77" i="28" s="1"/>
  <c r="F76" i="28"/>
  <c r="Q111" i="28"/>
  <c r="R111" i="28"/>
  <c r="G114" i="28"/>
  <c r="M114" i="28" s="1"/>
  <c r="F113" i="28"/>
  <c r="V122" i="28"/>
  <c r="R123" i="28"/>
  <c r="Q123" i="28"/>
  <c r="Q137" i="28"/>
  <c r="V136" i="28"/>
  <c r="R137" i="28"/>
  <c r="G153" i="28"/>
  <c r="M153" i="28" s="1"/>
  <c r="F152" i="28"/>
  <c r="I177" i="28"/>
  <c r="V177" i="28"/>
  <c r="Q178" i="28"/>
  <c r="R178" i="28"/>
  <c r="G61" i="28"/>
  <c r="F60" i="28"/>
  <c r="J61" i="28" s="1"/>
  <c r="G79" i="28"/>
  <c r="F78" i="28"/>
  <c r="Q84" i="28"/>
  <c r="R84" i="28"/>
  <c r="G87" i="28"/>
  <c r="M87" i="28" s="1"/>
  <c r="F86" i="28"/>
  <c r="J85" i="28" s="1"/>
  <c r="K85" i="28" s="1"/>
  <c r="L85" i="28" s="1"/>
  <c r="F115" i="28"/>
  <c r="J116" i="28" s="1"/>
  <c r="G116" i="28"/>
  <c r="F131" i="28"/>
  <c r="J132" i="28" s="1"/>
  <c r="G132" i="28"/>
  <c r="G142" i="28"/>
  <c r="F141" i="28"/>
  <c r="J142" i="28" s="1"/>
  <c r="F154" i="28"/>
  <c r="G155" i="28"/>
  <c r="M155" i="28" s="1"/>
  <c r="G157" i="28"/>
  <c r="F156" i="28"/>
  <c r="J157" i="28" s="1"/>
  <c r="Q174" i="28"/>
  <c r="V173" i="28"/>
  <c r="R174" i="28"/>
  <c r="G185" i="28"/>
  <c r="F184" i="28"/>
  <c r="G183" i="28"/>
  <c r="I26" i="28"/>
  <c r="G28" i="28"/>
  <c r="F27" i="28"/>
  <c r="J28" i="28" s="1"/>
  <c r="K28" i="28" s="1"/>
  <c r="L28" i="28" s="1"/>
  <c r="N28" i="28" s="1"/>
  <c r="I65" i="28"/>
  <c r="R68" i="28"/>
  <c r="Q68" i="28"/>
  <c r="F70" i="28"/>
  <c r="J71" i="28" s="1"/>
  <c r="G71" i="28"/>
  <c r="Q76" i="28"/>
  <c r="V75" i="28"/>
  <c r="R76" i="28"/>
  <c r="V83" i="28"/>
  <c r="F88" i="28"/>
  <c r="J89" i="28" s="1"/>
  <c r="G89" i="28"/>
  <c r="M89" i="28" s="1"/>
  <c r="G95" i="28"/>
  <c r="F94" i="28"/>
  <c r="J95" i="28" s="1"/>
  <c r="K95" i="28" s="1"/>
  <c r="L95" i="28" s="1"/>
  <c r="K118" i="28"/>
  <c r="L118" i="28" s="1"/>
  <c r="R129" i="28"/>
  <c r="Q129" i="28"/>
  <c r="V128" i="28"/>
  <c r="F139" i="28"/>
  <c r="G140" i="28"/>
  <c r="M140" i="28" s="1"/>
  <c r="G161" i="28"/>
  <c r="F160" i="28"/>
  <c r="I183" i="28"/>
  <c r="I181" i="28"/>
  <c r="G30" i="28"/>
  <c r="R74" i="28"/>
  <c r="F80" i="28"/>
  <c r="J81" i="28" s="1"/>
  <c r="K81" i="28" s="1"/>
  <c r="L81" i="28" s="1"/>
  <c r="I83" i="28"/>
  <c r="M83" i="28" s="1"/>
  <c r="G93" i="28"/>
  <c r="Q94" i="28"/>
  <c r="G106" i="28"/>
  <c r="M106" i="28" s="1"/>
  <c r="F105" i="28"/>
  <c r="F107" i="28"/>
  <c r="J108" i="28" s="1"/>
  <c r="K108" i="28" s="1"/>
  <c r="L108" i="28" s="1"/>
  <c r="I110" i="28"/>
  <c r="K126" i="28"/>
  <c r="L126" i="28" s="1"/>
  <c r="I128" i="28"/>
  <c r="M128" i="28" s="1"/>
  <c r="J134" i="28"/>
  <c r="I142" i="28"/>
  <c r="I167" i="28"/>
  <c r="G169" i="28"/>
  <c r="M169" i="28" s="1"/>
  <c r="F168" i="28"/>
  <c r="V185" i="28"/>
  <c r="Q186" i="28"/>
  <c r="R186" i="28"/>
  <c r="Q190" i="28"/>
  <c r="V189" i="28"/>
  <c r="F31" i="28"/>
  <c r="G38" i="28"/>
  <c r="I59" i="28"/>
  <c r="G69" i="28"/>
  <c r="G85" i="28"/>
  <c r="M85" i="28" s="1"/>
  <c r="Q86" i="28"/>
  <c r="I93" i="28"/>
  <c r="G112" i="28"/>
  <c r="Q113" i="28"/>
  <c r="I134" i="28"/>
  <c r="G138" i="28"/>
  <c r="F137" i="28"/>
  <c r="J138" i="28" s="1"/>
  <c r="I157" i="28"/>
  <c r="V161" i="28"/>
  <c r="Q162" i="28"/>
  <c r="R162" i="28"/>
  <c r="M163" i="28"/>
  <c r="Q166" i="28"/>
  <c r="V165" i="28"/>
  <c r="R166" i="28"/>
  <c r="I175" i="28"/>
  <c r="M175" i="28" s="1"/>
  <c r="G177" i="28"/>
  <c r="F176" i="28"/>
  <c r="Q82" i="28"/>
  <c r="Q90" i="28"/>
  <c r="Q109" i="28"/>
  <c r="Q117" i="28"/>
  <c r="G122" i="28"/>
  <c r="R135" i="28"/>
  <c r="K181" i="28"/>
  <c r="L181" i="28" s="1"/>
  <c r="K189" i="28"/>
  <c r="L189" i="28" s="1"/>
  <c r="F123" i="28"/>
  <c r="J124" i="28" s="1"/>
  <c r="G130" i="28"/>
  <c r="M130" i="28" s="1"/>
  <c r="F162" i="28"/>
  <c r="J163" i="28" s="1"/>
  <c r="F170" i="28"/>
  <c r="J171" i="28" s="1"/>
  <c r="K171" i="28" s="1"/>
  <c r="L171" i="28" s="1"/>
  <c r="F178" i="28"/>
  <c r="F186" i="28"/>
  <c r="J187" i="28" s="1"/>
  <c r="W190" i="26"/>
  <c r="E190" i="26"/>
  <c r="H190" i="26" s="1"/>
  <c r="D190" i="26"/>
  <c r="F190" i="26" s="1"/>
  <c r="A190" i="26"/>
  <c r="O189" i="26"/>
  <c r="Q190" i="26" s="1"/>
  <c r="N189" i="26"/>
  <c r="W188" i="26"/>
  <c r="E188" i="26"/>
  <c r="H188" i="26" s="1"/>
  <c r="I189" i="26" s="1"/>
  <c r="D188" i="26"/>
  <c r="A188" i="26"/>
  <c r="O187" i="26"/>
  <c r="R188" i="26" s="1"/>
  <c r="N187" i="26"/>
  <c r="W186" i="26"/>
  <c r="E186" i="26"/>
  <c r="H186" i="26" s="1"/>
  <c r="D186" i="26"/>
  <c r="A186" i="26"/>
  <c r="O185" i="26"/>
  <c r="N185" i="26"/>
  <c r="W184" i="26"/>
  <c r="E184" i="26"/>
  <c r="H184" i="26" s="1"/>
  <c r="D184" i="26"/>
  <c r="A184" i="26"/>
  <c r="V183" i="26"/>
  <c r="O183" i="26"/>
  <c r="Q184" i="26" s="1"/>
  <c r="N183" i="26"/>
  <c r="W182" i="26"/>
  <c r="E182" i="26"/>
  <c r="H182" i="26" s="1"/>
  <c r="D182" i="26"/>
  <c r="A182" i="26"/>
  <c r="O181" i="26"/>
  <c r="R182" i="26" s="1"/>
  <c r="N181" i="26"/>
  <c r="W180" i="26"/>
  <c r="E180" i="26"/>
  <c r="H180" i="26" s="1"/>
  <c r="D180" i="26"/>
  <c r="A180" i="26"/>
  <c r="O179" i="26"/>
  <c r="R180" i="26" s="1"/>
  <c r="N179" i="26"/>
  <c r="W178" i="26"/>
  <c r="E178" i="26"/>
  <c r="H178" i="26" s="1"/>
  <c r="D178" i="26"/>
  <c r="A178" i="26"/>
  <c r="O177" i="26"/>
  <c r="V177" i="26" s="1"/>
  <c r="N177" i="26"/>
  <c r="W176" i="26"/>
  <c r="E176" i="26"/>
  <c r="H176" i="26" s="1"/>
  <c r="D176" i="26"/>
  <c r="F176" i="26" s="1"/>
  <c r="A176" i="26"/>
  <c r="O175" i="26"/>
  <c r="Q176" i="26" s="1"/>
  <c r="N175" i="26"/>
  <c r="W174" i="26"/>
  <c r="E174" i="26"/>
  <c r="H174" i="26" s="1"/>
  <c r="D174" i="26"/>
  <c r="F174" i="26" s="1"/>
  <c r="A174" i="26"/>
  <c r="O173" i="26"/>
  <c r="R174" i="26" s="1"/>
  <c r="N173" i="26"/>
  <c r="W172" i="26"/>
  <c r="H172" i="26"/>
  <c r="E172" i="26"/>
  <c r="D172" i="26"/>
  <c r="A172" i="26"/>
  <c r="O171" i="26"/>
  <c r="R172" i="26" s="1"/>
  <c r="N171" i="26"/>
  <c r="W170" i="26"/>
  <c r="E170" i="26"/>
  <c r="H170" i="26" s="1"/>
  <c r="D170" i="26"/>
  <c r="A170" i="26"/>
  <c r="O169" i="26"/>
  <c r="V169" i="26" s="1"/>
  <c r="N169" i="26"/>
  <c r="W168" i="26"/>
  <c r="E168" i="26"/>
  <c r="H168" i="26" s="1"/>
  <c r="D168" i="26"/>
  <c r="F168" i="26" s="1"/>
  <c r="A168" i="26"/>
  <c r="O167" i="26"/>
  <c r="V167" i="26" s="1"/>
  <c r="N167" i="26"/>
  <c r="W166" i="26"/>
  <c r="E166" i="26"/>
  <c r="H166" i="26" s="1"/>
  <c r="D166" i="26"/>
  <c r="F166" i="26" s="1"/>
  <c r="A166" i="26"/>
  <c r="O165" i="26"/>
  <c r="R166" i="26" s="1"/>
  <c r="N165" i="26"/>
  <c r="W164" i="26"/>
  <c r="E164" i="26"/>
  <c r="H164" i="26" s="1"/>
  <c r="D164" i="26"/>
  <c r="A164" i="26"/>
  <c r="O163" i="26"/>
  <c r="R164" i="26" s="1"/>
  <c r="N163" i="26"/>
  <c r="W162" i="26"/>
  <c r="E162" i="26"/>
  <c r="H162" i="26" s="1"/>
  <c r="D162" i="26"/>
  <c r="A162" i="26"/>
  <c r="O161" i="26"/>
  <c r="N161" i="26"/>
  <c r="W160" i="26"/>
  <c r="E160" i="26"/>
  <c r="H160" i="26" s="1"/>
  <c r="D160" i="26"/>
  <c r="A160" i="26"/>
  <c r="O159" i="26"/>
  <c r="Q160" i="26" s="1"/>
  <c r="N159" i="26"/>
  <c r="W158" i="26"/>
  <c r="E158" i="26"/>
  <c r="H158" i="26" s="1"/>
  <c r="D158" i="26"/>
  <c r="F158" i="26" s="1"/>
  <c r="A158" i="26"/>
  <c r="O157" i="26"/>
  <c r="V157" i="26" s="1"/>
  <c r="N157" i="26"/>
  <c r="W156" i="26"/>
  <c r="E156" i="26"/>
  <c r="H156" i="26" s="1"/>
  <c r="D156" i="26"/>
  <c r="A156" i="26"/>
  <c r="O155" i="26"/>
  <c r="R156" i="26" s="1"/>
  <c r="N155" i="26"/>
  <c r="W154" i="26"/>
  <c r="E154" i="26"/>
  <c r="H154" i="26" s="1"/>
  <c r="D154" i="26"/>
  <c r="A154" i="26"/>
  <c r="O153" i="26"/>
  <c r="V153" i="26" s="1"/>
  <c r="N153" i="26"/>
  <c r="E152" i="26"/>
  <c r="H152" i="26" s="1"/>
  <c r="D152" i="26"/>
  <c r="A152" i="26"/>
  <c r="W143" i="26"/>
  <c r="E143" i="26"/>
  <c r="H143" i="26" s="1"/>
  <c r="D143" i="26"/>
  <c r="F143" i="26" s="1"/>
  <c r="A143" i="26"/>
  <c r="O142" i="26"/>
  <c r="Q143" i="26" s="1"/>
  <c r="N142" i="26"/>
  <c r="W141" i="26"/>
  <c r="E141" i="26"/>
  <c r="H141" i="26" s="1"/>
  <c r="D141" i="26"/>
  <c r="A141" i="26"/>
  <c r="O140" i="26"/>
  <c r="R141" i="26" s="1"/>
  <c r="N140" i="26"/>
  <c r="W139" i="26"/>
  <c r="E139" i="26"/>
  <c r="H139" i="26" s="1"/>
  <c r="D139" i="26"/>
  <c r="A139" i="26"/>
  <c r="O138" i="26"/>
  <c r="V138" i="26" s="1"/>
  <c r="N138" i="26"/>
  <c r="W137" i="26"/>
  <c r="E137" i="26"/>
  <c r="H137" i="26" s="1"/>
  <c r="D137" i="26"/>
  <c r="A137" i="26"/>
  <c r="O136" i="26"/>
  <c r="N136" i="26"/>
  <c r="W135" i="26"/>
  <c r="E135" i="26"/>
  <c r="H135" i="26" s="1"/>
  <c r="D135" i="26"/>
  <c r="F135" i="26" s="1"/>
  <c r="A135" i="26"/>
  <c r="O134" i="26"/>
  <c r="Q135" i="26" s="1"/>
  <c r="N134" i="26"/>
  <c r="W133" i="26"/>
  <c r="E133" i="26"/>
  <c r="H133" i="26" s="1"/>
  <c r="D133" i="26"/>
  <c r="A133" i="26"/>
  <c r="O132" i="26"/>
  <c r="R133" i="26" s="1"/>
  <c r="N132" i="26"/>
  <c r="W131" i="26"/>
  <c r="E131" i="26"/>
  <c r="H131" i="26" s="1"/>
  <c r="D131" i="26"/>
  <c r="A131" i="26"/>
  <c r="O130" i="26"/>
  <c r="V130" i="26" s="1"/>
  <c r="N130" i="26"/>
  <c r="W129" i="26"/>
  <c r="E129" i="26"/>
  <c r="H129" i="26" s="1"/>
  <c r="D129" i="26"/>
  <c r="F129" i="26" s="1"/>
  <c r="A129" i="26"/>
  <c r="O128" i="26"/>
  <c r="Q129" i="26" s="1"/>
  <c r="N128" i="26"/>
  <c r="W127" i="26"/>
  <c r="E127" i="26"/>
  <c r="H127" i="26" s="1"/>
  <c r="D127" i="26"/>
  <c r="A127" i="26"/>
  <c r="O126" i="26"/>
  <c r="Q127" i="26" s="1"/>
  <c r="N126" i="26"/>
  <c r="W125" i="26"/>
  <c r="E125" i="26"/>
  <c r="H125" i="26" s="1"/>
  <c r="D125" i="26"/>
  <c r="G126" i="26" s="1"/>
  <c r="A125" i="26"/>
  <c r="O124" i="26"/>
  <c r="R125" i="26" s="1"/>
  <c r="N124" i="26"/>
  <c r="W123" i="26"/>
  <c r="E123" i="26"/>
  <c r="H123" i="26" s="1"/>
  <c r="D123" i="26"/>
  <c r="A123" i="26"/>
  <c r="O122" i="26"/>
  <c r="R123" i="26" s="1"/>
  <c r="N122" i="26"/>
  <c r="W121" i="26"/>
  <c r="E121" i="26"/>
  <c r="H121" i="26" s="1"/>
  <c r="D121" i="26"/>
  <c r="F121" i="26" s="1"/>
  <c r="A121" i="26"/>
  <c r="O120" i="26"/>
  <c r="V120" i="26" s="1"/>
  <c r="N120" i="26"/>
  <c r="W119" i="26"/>
  <c r="E119" i="26"/>
  <c r="H119" i="26" s="1"/>
  <c r="D119" i="26"/>
  <c r="F119" i="26" s="1"/>
  <c r="A119" i="26"/>
  <c r="O118" i="26"/>
  <c r="R119" i="26" s="1"/>
  <c r="N118" i="26"/>
  <c r="W117" i="26"/>
  <c r="E117" i="26"/>
  <c r="H117" i="26" s="1"/>
  <c r="I118" i="26" s="1"/>
  <c r="D117" i="26"/>
  <c r="A117" i="26"/>
  <c r="O116" i="26"/>
  <c r="N116" i="26"/>
  <c r="W115" i="26"/>
  <c r="E115" i="26"/>
  <c r="H115" i="26" s="1"/>
  <c r="D115" i="26"/>
  <c r="A115" i="26"/>
  <c r="O114" i="26"/>
  <c r="R115" i="26" s="1"/>
  <c r="N114" i="26"/>
  <c r="W113" i="26"/>
  <c r="E113" i="26"/>
  <c r="H113" i="26" s="1"/>
  <c r="D113" i="26"/>
  <c r="A113" i="26"/>
  <c r="O112" i="26"/>
  <c r="Q113" i="26" s="1"/>
  <c r="N112" i="26"/>
  <c r="W111" i="26"/>
  <c r="E111" i="26"/>
  <c r="H111" i="26" s="1"/>
  <c r="D111" i="26"/>
  <c r="A111" i="26"/>
  <c r="O110" i="26"/>
  <c r="Q111" i="26" s="1"/>
  <c r="N110" i="26"/>
  <c r="W109" i="26"/>
  <c r="E109" i="26"/>
  <c r="H109" i="26" s="1"/>
  <c r="D109" i="26"/>
  <c r="A109" i="26"/>
  <c r="O108" i="26"/>
  <c r="V108" i="26" s="1"/>
  <c r="N108" i="26"/>
  <c r="W107" i="26"/>
  <c r="E107" i="26"/>
  <c r="H107" i="26" s="1"/>
  <c r="D107" i="26"/>
  <c r="A107" i="26"/>
  <c r="O106" i="26"/>
  <c r="R107" i="26" s="1"/>
  <c r="N106" i="26"/>
  <c r="R105" i="26"/>
  <c r="E105" i="26"/>
  <c r="H105" i="26" s="1"/>
  <c r="D105" i="26"/>
  <c r="A105" i="26"/>
  <c r="W96" i="26"/>
  <c r="E96" i="26"/>
  <c r="H96" i="26" s="1"/>
  <c r="D96" i="26"/>
  <c r="F96" i="26" s="1"/>
  <c r="A96" i="26"/>
  <c r="O95" i="26"/>
  <c r="R96" i="26" s="1"/>
  <c r="N95" i="26"/>
  <c r="W94" i="26"/>
  <c r="E94" i="26"/>
  <c r="H94" i="26" s="1"/>
  <c r="D94" i="26"/>
  <c r="A94" i="26"/>
  <c r="O93" i="26"/>
  <c r="N93" i="26"/>
  <c r="W92" i="26"/>
  <c r="E92" i="26"/>
  <c r="H92" i="26" s="1"/>
  <c r="D92" i="26"/>
  <c r="F92" i="26" s="1"/>
  <c r="A92" i="26"/>
  <c r="O91" i="26"/>
  <c r="R92" i="26" s="1"/>
  <c r="N91" i="26"/>
  <c r="W90" i="26"/>
  <c r="E90" i="26"/>
  <c r="H90" i="26" s="1"/>
  <c r="D90" i="26"/>
  <c r="G91" i="26" s="1"/>
  <c r="A90" i="26"/>
  <c r="O89" i="26"/>
  <c r="N89" i="26"/>
  <c r="W88" i="26"/>
  <c r="E88" i="26"/>
  <c r="H88" i="26" s="1"/>
  <c r="D88" i="26"/>
  <c r="A88" i="26"/>
  <c r="O87" i="26"/>
  <c r="R88" i="26" s="1"/>
  <c r="N87" i="26"/>
  <c r="W86" i="26"/>
  <c r="E86" i="26"/>
  <c r="H86" i="26" s="1"/>
  <c r="D86" i="26"/>
  <c r="A86" i="26"/>
  <c r="O85" i="26"/>
  <c r="Q86" i="26" s="1"/>
  <c r="N85" i="26"/>
  <c r="W84" i="26"/>
  <c r="E84" i="26"/>
  <c r="H84" i="26" s="1"/>
  <c r="D84" i="26"/>
  <c r="A84" i="26"/>
  <c r="O83" i="26"/>
  <c r="Q84" i="26" s="1"/>
  <c r="N83" i="26"/>
  <c r="W82" i="26"/>
  <c r="E82" i="26"/>
  <c r="H82" i="26" s="1"/>
  <c r="I83" i="26" s="1"/>
  <c r="D82" i="26"/>
  <c r="G83" i="26" s="1"/>
  <c r="A82" i="26"/>
  <c r="O81" i="26"/>
  <c r="R82" i="26" s="1"/>
  <c r="N81" i="26"/>
  <c r="W80" i="26"/>
  <c r="E80" i="26"/>
  <c r="H80" i="26" s="1"/>
  <c r="D80" i="26"/>
  <c r="A80" i="26"/>
  <c r="O79" i="26"/>
  <c r="V79" i="26" s="1"/>
  <c r="N79" i="26"/>
  <c r="W78" i="26"/>
  <c r="E78" i="26"/>
  <c r="H78" i="26" s="1"/>
  <c r="D78" i="26"/>
  <c r="F78" i="26" s="1"/>
  <c r="A78" i="26"/>
  <c r="O77" i="26"/>
  <c r="Q78" i="26" s="1"/>
  <c r="N77" i="26"/>
  <c r="W76" i="26"/>
  <c r="E76" i="26"/>
  <c r="H76" i="26" s="1"/>
  <c r="D76" i="26"/>
  <c r="A76" i="26"/>
  <c r="O75" i="26"/>
  <c r="R76" i="26" s="1"/>
  <c r="N75" i="26"/>
  <c r="W74" i="26"/>
  <c r="Q74" i="26"/>
  <c r="E74" i="26"/>
  <c r="H74" i="26" s="1"/>
  <c r="D74" i="26"/>
  <c r="G75" i="26" s="1"/>
  <c r="A74" i="26"/>
  <c r="O73" i="26"/>
  <c r="R74" i="26" s="1"/>
  <c r="N73" i="26"/>
  <c r="W72" i="26"/>
  <c r="E72" i="26"/>
  <c r="H72" i="26" s="1"/>
  <c r="D72" i="26"/>
  <c r="E70" i="26"/>
  <c r="H70" i="26" s="1"/>
  <c r="D70" i="26"/>
  <c r="E68" i="26"/>
  <c r="H68" i="26" s="1"/>
  <c r="D68" i="26"/>
  <c r="F68" i="26" s="1"/>
  <c r="E66" i="26"/>
  <c r="H66" i="26" s="1"/>
  <c r="D66" i="26"/>
  <c r="E64" i="26"/>
  <c r="H64" i="26" s="1"/>
  <c r="D64" i="26"/>
  <c r="E62" i="26"/>
  <c r="H62" i="26" s="1"/>
  <c r="D62" i="26"/>
  <c r="F62" i="26" s="1"/>
  <c r="E60" i="26"/>
  <c r="H60" i="26" s="1"/>
  <c r="D60" i="26"/>
  <c r="F60" i="26" s="1"/>
  <c r="A60" i="26"/>
  <c r="A62" i="26" s="1"/>
  <c r="A64" i="26" s="1"/>
  <c r="A66" i="26" s="1"/>
  <c r="A68" i="26" s="1"/>
  <c r="A70" i="26" s="1"/>
  <c r="A72" i="26" s="1"/>
  <c r="E58" i="26"/>
  <c r="H58" i="26" s="1"/>
  <c r="D58" i="26"/>
  <c r="AD51" i="26"/>
  <c r="A51" i="26"/>
  <c r="T50" i="26"/>
  <c r="Q50" i="26"/>
  <c r="T49" i="26"/>
  <c r="Q49" i="26"/>
  <c r="E47" i="26"/>
  <c r="H47" i="26" s="1"/>
  <c r="D47" i="26"/>
  <c r="F47" i="26" s="1"/>
  <c r="E45" i="26"/>
  <c r="H45" i="26" s="1"/>
  <c r="D45" i="26"/>
  <c r="F45" i="26" s="1"/>
  <c r="E43" i="26"/>
  <c r="H43" i="26" s="1"/>
  <c r="D43" i="26"/>
  <c r="E41" i="26"/>
  <c r="H41" i="26" s="1"/>
  <c r="D41" i="26"/>
  <c r="E39" i="26"/>
  <c r="H39" i="26" s="1"/>
  <c r="D39" i="26"/>
  <c r="F39" i="26" s="1"/>
  <c r="E37" i="26"/>
  <c r="H37" i="26" s="1"/>
  <c r="D37" i="26"/>
  <c r="F37" i="26" s="1"/>
  <c r="E35" i="26"/>
  <c r="H35" i="26" s="1"/>
  <c r="D35" i="26"/>
  <c r="E33" i="26"/>
  <c r="H33" i="26" s="1"/>
  <c r="D33" i="26"/>
  <c r="E31" i="26"/>
  <c r="H31" i="26" s="1"/>
  <c r="D31" i="26"/>
  <c r="F31" i="26" s="1"/>
  <c r="E29" i="26"/>
  <c r="H29" i="26" s="1"/>
  <c r="D29" i="26"/>
  <c r="F29" i="26" s="1"/>
  <c r="E27" i="26"/>
  <c r="H27" i="26" s="1"/>
  <c r="D27" i="26"/>
  <c r="F27" i="26" s="1"/>
  <c r="E25" i="26"/>
  <c r="H25" i="26" s="1"/>
  <c r="D25" i="26"/>
  <c r="E23" i="26"/>
  <c r="H23" i="26" s="1"/>
  <c r="D23" i="26"/>
  <c r="E21" i="26"/>
  <c r="H21" i="26" s="1"/>
  <c r="D21" i="26"/>
  <c r="F21" i="26" s="1"/>
  <c r="E19" i="26"/>
  <c r="H19" i="26" s="1"/>
  <c r="D19" i="26"/>
  <c r="F19" i="26" s="1"/>
  <c r="E17" i="26"/>
  <c r="H17" i="26" s="1"/>
  <c r="D17" i="26"/>
  <c r="E15" i="26"/>
  <c r="H15" i="26" s="1"/>
  <c r="D15" i="26"/>
  <c r="E13" i="26"/>
  <c r="H13" i="26" s="1"/>
  <c r="D13" i="26"/>
  <c r="F13" i="26" s="1"/>
  <c r="E11" i="26"/>
  <c r="H11" i="26" s="1"/>
  <c r="D11" i="26"/>
  <c r="F11" i="26" s="1"/>
  <c r="E9" i="26"/>
  <c r="H9" i="26" s="1"/>
  <c r="D9" i="26"/>
  <c r="A9" i="26"/>
  <c r="A11" i="26" s="1"/>
  <c r="A13" i="26" s="1"/>
  <c r="A15" i="26" s="1"/>
  <c r="A17" i="26" s="1"/>
  <c r="A19" i="26" s="1"/>
  <c r="A21" i="26" s="1"/>
  <c r="A23" i="26" s="1"/>
  <c r="A25" i="26" s="1"/>
  <c r="A27" i="26" s="1"/>
  <c r="A29" i="26" s="1"/>
  <c r="A31" i="26" s="1"/>
  <c r="A33" i="26" s="1"/>
  <c r="A35" i="26" s="1"/>
  <c r="A37" i="26" s="1"/>
  <c r="A39" i="26" s="1"/>
  <c r="A41" i="26" s="1"/>
  <c r="A43" i="26" s="1"/>
  <c r="A45" i="26" s="1"/>
  <c r="A47" i="26" s="1"/>
  <c r="K89" i="28" l="1"/>
  <c r="L89" i="28" s="1"/>
  <c r="Q115" i="26"/>
  <c r="Q125" i="26"/>
  <c r="V171" i="26"/>
  <c r="G185" i="26"/>
  <c r="M22" i="29"/>
  <c r="O22" i="29" s="1"/>
  <c r="M69" i="28"/>
  <c r="M124" i="28"/>
  <c r="I112" i="26"/>
  <c r="G165" i="26"/>
  <c r="M181" i="28"/>
  <c r="M79" i="28"/>
  <c r="M173" i="28"/>
  <c r="I116" i="26"/>
  <c r="K116" i="28"/>
  <c r="L116" i="28" s="1"/>
  <c r="M46" i="29"/>
  <c r="O46" i="29" s="1"/>
  <c r="V46" i="29" s="1"/>
  <c r="V132" i="26"/>
  <c r="I73" i="26"/>
  <c r="K61" i="28"/>
  <c r="L61" i="28" s="1"/>
  <c r="N61" i="28" s="1"/>
  <c r="G110" i="26"/>
  <c r="M110" i="26" s="1"/>
  <c r="V124" i="26"/>
  <c r="Q133" i="26"/>
  <c r="M161" i="28"/>
  <c r="J73" i="28"/>
  <c r="K73" i="28" s="1"/>
  <c r="L73" i="28" s="1"/>
  <c r="J155" i="28"/>
  <c r="K155" i="28" s="1"/>
  <c r="L155" i="28" s="1"/>
  <c r="G71" i="26"/>
  <c r="K138" i="28"/>
  <c r="L138" i="28" s="1"/>
  <c r="G128" i="26"/>
  <c r="I157" i="26"/>
  <c r="I165" i="26"/>
  <c r="I175" i="26"/>
  <c r="M138" i="28"/>
  <c r="J12" i="28"/>
  <c r="K12" i="28" s="1"/>
  <c r="L12" i="28" s="1"/>
  <c r="N12" i="28" s="1"/>
  <c r="M40" i="29"/>
  <c r="O40" i="29" s="1"/>
  <c r="V40" i="29" s="1"/>
  <c r="I130" i="26"/>
  <c r="V73" i="26"/>
  <c r="I89" i="26"/>
  <c r="M134" i="28"/>
  <c r="M132" i="28"/>
  <c r="I91" i="26"/>
  <c r="M91" i="26" s="1"/>
  <c r="F90" i="26"/>
  <c r="J91" i="26" s="1"/>
  <c r="I140" i="26"/>
  <c r="G189" i="26"/>
  <c r="K124" i="28"/>
  <c r="L124" i="28" s="1"/>
  <c r="M167" i="28"/>
  <c r="K132" i="28"/>
  <c r="L132" i="28" s="1"/>
  <c r="M16" i="29"/>
  <c r="O16" i="29" s="1"/>
  <c r="V16" i="29" s="1"/>
  <c r="I85" i="26"/>
  <c r="M85" i="26" s="1"/>
  <c r="R139" i="26"/>
  <c r="M112" i="28"/>
  <c r="K173" i="28"/>
  <c r="L173" i="28" s="1"/>
  <c r="V95" i="26"/>
  <c r="F125" i="26"/>
  <c r="Q96" i="26"/>
  <c r="M108" i="28"/>
  <c r="V140" i="26"/>
  <c r="I124" i="26"/>
  <c r="J179" i="28"/>
  <c r="K179" i="28" s="1"/>
  <c r="L179" i="28" s="1"/>
  <c r="L10" i="29"/>
  <c r="N10" i="29" s="1"/>
  <c r="M10" i="29"/>
  <c r="O10" i="29" s="1"/>
  <c r="V10" i="29" s="1"/>
  <c r="W11" i="29" s="1"/>
  <c r="R131" i="26"/>
  <c r="V75" i="26"/>
  <c r="V87" i="26"/>
  <c r="V91" i="26"/>
  <c r="G95" i="26"/>
  <c r="G118" i="26"/>
  <c r="M118" i="26" s="1"/>
  <c r="R129" i="26"/>
  <c r="Q139" i="26"/>
  <c r="R154" i="26"/>
  <c r="V155" i="26"/>
  <c r="I161" i="26"/>
  <c r="G167" i="26"/>
  <c r="J175" i="26"/>
  <c r="G175" i="26"/>
  <c r="G183" i="26"/>
  <c r="M71" i="28"/>
  <c r="K65" i="28"/>
  <c r="L65" i="28" s="1"/>
  <c r="M122" i="28"/>
  <c r="R84" i="26"/>
  <c r="Q88" i="26"/>
  <c r="I106" i="26"/>
  <c r="I142" i="26"/>
  <c r="R160" i="26"/>
  <c r="M165" i="26"/>
  <c r="I169" i="26"/>
  <c r="F184" i="26"/>
  <c r="K187" i="28"/>
  <c r="L187" i="28" s="1"/>
  <c r="M157" i="28"/>
  <c r="K71" i="28"/>
  <c r="L71" i="28" s="1"/>
  <c r="J122" i="28"/>
  <c r="K122" i="28" s="1"/>
  <c r="L122" i="28" s="1"/>
  <c r="R111" i="26"/>
  <c r="Q154" i="26"/>
  <c r="Q188" i="26"/>
  <c r="I32" i="26"/>
  <c r="I79" i="26"/>
  <c r="M83" i="26"/>
  <c r="Q119" i="26"/>
  <c r="I128" i="26"/>
  <c r="Q152" i="26"/>
  <c r="I63" i="26"/>
  <c r="G77" i="26"/>
  <c r="Q105" i="26"/>
  <c r="V106" i="26"/>
  <c r="V114" i="26"/>
  <c r="F117" i="26"/>
  <c r="J118" i="26" s="1"/>
  <c r="K118" i="26" s="1"/>
  <c r="L118" i="26" s="1"/>
  <c r="G124" i="26"/>
  <c r="I136" i="26"/>
  <c r="I155" i="26"/>
  <c r="I159" i="26"/>
  <c r="Q164" i="26"/>
  <c r="V181" i="26"/>
  <c r="R184" i="26"/>
  <c r="M189" i="26"/>
  <c r="K120" i="28"/>
  <c r="L120" i="28" s="1"/>
  <c r="M185" i="28"/>
  <c r="M116" i="28"/>
  <c r="K16" i="28"/>
  <c r="L16" i="28" s="1"/>
  <c r="N16" i="28" s="1"/>
  <c r="M95" i="28"/>
  <c r="G34" i="26"/>
  <c r="I24" i="26"/>
  <c r="M32" i="29"/>
  <c r="O32" i="29" s="1"/>
  <c r="V32" i="29" s="1"/>
  <c r="M38" i="29"/>
  <c r="O38" i="29" s="1"/>
  <c r="V38" i="29" s="1"/>
  <c r="M61" i="29"/>
  <c r="O61" i="29" s="1"/>
  <c r="V61" i="29" s="1"/>
  <c r="M59" i="29"/>
  <c r="O59" i="29" s="1"/>
  <c r="L42" i="29"/>
  <c r="N42" i="29" s="1"/>
  <c r="M42" i="29"/>
  <c r="O42" i="29" s="1"/>
  <c r="V42" i="29" s="1"/>
  <c r="L63" i="29"/>
  <c r="N63" i="29" s="1"/>
  <c r="M63" i="29"/>
  <c r="O63" i="29" s="1"/>
  <c r="M65" i="29"/>
  <c r="L34" i="29"/>
  <c r="N34" i="29" s="1"/>
  <c r="M34" i="29"/>
  <c r="O34" i="29" s="1"/>
  <c r="L12" i="29"/>
  <c r="N12" i="29" s="1"/>
  <c r="M12" i="29"/>
  <c r="O12" i="29" s="1"/>
  <c r="V14" i="29"/>
  <c r="V20" i="29"/>
  <c r="V24" i="29"/>
  <c r="Q9" i="29"/>
  <c r="Q11" i="29" s="1"/>
  <c r="M36" i="29"/>
  <c r="O36" i="29" s="1"/>
  <c r="M44" i="29"/>
  <c r="O44" i="29" s="1"/>
  <c r="V22" i="29"/>
  <c r="V30" i="29"/>
  <c r="K36" i="28"/>
  <c r="L36" i="28" s="1"/>
  <c r="N36" i="28" s="1"/>
  <c r="J34" i="28"/>
  <c r="K34" i="28" s="1"/>
  <c r="L34" i="28" s="1"/>
  <c r="N34" i="28" s="1"/>
  <c r="K42" i="28"/>
  <c r="L42" i="28" s="1"/>
  <c r="N42" i="28" s="1"/>
  <c r="K22" i="28"/>
  <c r="L22" i="28" s="1"/>
  <c r="N22" i="28" s="1"/>
  <c r="I181" i="26"/>
  <c r="I75" i="26"/>
  <c r="M75" i="26" s="1"/>
  <c r="F70" i="26"/>
  <c r="J69" i="26" s="1"/>
  <c r="F76" i="26"/>
  <c r="J77" i="26" s="1"/>
  <c r="Q82" i="26"/>
  <c r="F109" i="26"/>
  <c r="I132" i="26"/>
  <c r="R170" i="26"/>
  <c r="I173" i="26"/>
  <c r="R176" i="26"/>
  <c r="Q180" i="26"/>
  <c r="F182" i="26"/>
  <c r="J183" i="26" s="1"/>
  <c r="V83" i="26"/>
  <c r="Q92" i="26"/>
  <c r="Q107" i="26"/>
  <c r="V110" i="26"/>
  <c r="V118" i="26"/>
  <c r="V126" i="26"/>
  <c r="F127" i="26"/>
  <c r="J128" i="26" s="1"/>
  <c r="V128" i="26"/>
  <c r="Q131" i="26"/>
  <c r="Q141" i="26"/>
  <c r="V142" i="26"/>
  <c r="Q156" i="26"/>
  <c r="V159" i="26"/>
  <c r="V163" i="26"/>
  <c r="Q172" i="26"/>
  <c r="V173" i="26"/>
  <c r="G181" i="26"/>
  <c r="M181" i="26" s="1"/>
  <c r="I187" i="26"/>
  <c r="V187" i="26"/>
  <c r="K163" i="28"/>
  <c r="L163" i="28" s="1"/>
  <c r="M142" i="28"/>
  <c r="M183" i="28"/>
  <c r="M63" i="28"/>
  <c r="O63" i="28" s="1"/>
  <c r="V63" i="28" s="1"/>
  <c r="J93" i="28"/>
  <c r="K93" i="28" s="1"/>
  <c r="L93" i="28" s="1"/>
  <c r="G69" i="26"/>
  <c r="I134" i="26"/>
  <c r="I138" i="26"/>
  <c r="M138" i="26" s="1"/>
  <c r="I153" i="26"/>
  <c r="M24" i="28"/>
  <c r="O24" i="28" s="1"/>
  <c r="V24" i="28" s="1"/>
  <c r="G26" i="26"/>
  <c r="G79" i="26"/>
  <c r="M79" i="26" s="1"/>
  <c r="I81" i="26"/>
  <c r="V81" i="26"/>
  <c r="I110" i="26"/>
  <c r="G120" i="26"/>
  <c r="I126" i="26"/>
  <c r="M126" i="26" s="1"/>
  <c r="R127" i="26"/>
  <c r="V134" i="26"/>
  <c r="V165" i="26"/>
  <c r="J167" i="26"/>
  <c r="I171" i="26"/>
  <c r="V175" i="26"/>
  <c r="R178" i="26"/>
  <c r="V179" i="26"/>
  <c r="V189" i="26"/>
  <c r="J130" i="28"/>
  <c r="K130" i="28" s="1"/>
  <c r="L130" i="28" s="1"/>
  <c r="J20" i="28"/>
  <c r="K20" i="28" s="1"/>
  <c r="L20" i="28" s="1"/>
  <c r="N20" i="28" s="1"/>
  <c r="K46" i="28"/>
  <c r="L46" i="28" s="1"/>
  <c r="N46" i="28" s="1"/>
  <c r="J44" i="28"/>
  <c r="K44" i="28" s="1"/>
  <c r="L44" i="28" s="1"/>
  <c r="N44" i="28" s="1"/>
  <c r="M28" i="28"/>
  <c r="O28" i="28" s="1"/>
  <c r="V28" i="28" s="1"/>
  <c r="J18" i="28"/>
  <c r="J40" i="28"/>
  <c r="K40" i="28" s="1"/>
  <c r="M40" i="28" s="1"/>
  <c r="O40" i="28" s="1"/>
  <c r="M34" i="28"/>
  <c r="O34" i="28" s="1"/>
  <c r="V34" i="28" s="1"/>
  <c r="M16" i="28"/>
  <c r="O16" i="28" s="1"/>
  <c r="V16" i="28" s="1"/>
  <c r="J30" i="26"/>
  <c r="I28" i="26"/>
  <c r="I20" i="26"/>
  <c r="G24" i="26"/>
  <c r="I34" i="26"/>
  <c r="G28" i="26"/>
  <c r="I59" i="26"/>
  <c r="I67" i="26"/>
  <c r="I65" i="26"/>
  <c r="J61" i="26"/>
  <c r="G18" i="26"/>
  <c r="J38" i="26"/>
  <c r="G30" i="26"/>
  <c r="G38" i="26"/>
  <c r="I42" i="26"/>
  <c r="G46" i="26"/>
  <c r="I22" i="26"/>
  <c r="I26" i="26"/>
  <c r="J20" i="26"/>
  <c r="J28" i="26"/>
  <c r="I36" i="26"/>
  <c r="G59" i="26"/>
  <c r="G61" i="26"/>
  <c r="G63" i="26"/>
  <c r="I61" i="26"/>
  <c r="M61" i="28"/>
  <c r="O61" i="28" s="1"/>
  <c r="M93" i="28"/>
  <c r="J32" i="28"/>
  <c r="K32" i="28" s="1"/>
  <c r="J30" i="28"/>
  <c r="K30" i="28" s="1"/>
  <c r="L30" i="28" s="1"/>
  <c r="N30" i="28" s="1"/>
  <c r="J161" i="28"/>
  <c r="K161" i="28" s="1"/>
  <c r="L161" i="28" s="1"/>
  <c r="J159" i="28"/>
  <c r="K159" i="28" s="1"/>
  <c r="L159" i="28" s="1"/>
  <c r="K157" i="28"/>
  <c r="L157" i="28" s="1"/>
  <c r="J136" i="28"/>
  <c r="K136" i="28" s="1"/>
  <c r="L136" i="28" s="1"/>
  <c r="K142" i="28"/>
  <c r="L142" i="28" s="1"/>
  <c r="K134" i="28"/>
  <c r="L134" i="28" s="1"/>
  <c r="J185" i="28"/>
  <c r="K185" i="28" s="1"/>
  <c r="L185" i="28" s="1"/>
  <c r="J183" i="28"/>
  <c r="K183" i="28" s="1"/>
  <c r="L183" i="28" s="1"/>
  <c r="M177" i="28"/>
  <c r="J114" i="28"/>
  <c r="K114" i="28" s="1"/>
  <c r="L114" i="28" s="1"/>
  <c r="K83" i="28"/>
  <c r="L83" i="28" s="1"/>
  <c r="M42" i="28"/>
  <c r="O42" i="28" s="1"/>
  <c r="J26" i="28"/>
  <c r="K26" i="28" s="1"/>
  <c r="L26" i="28" s="1"/>
  <c r="N26" i="28" s="1"/>
  <c r="M18" i="28"/>
  <c r="O18" i="28" s="1"/>
  <c r="K18" i="28"/>
  <c r="L18" i="28" s="1"/>
  <c r="N18" i="28" s="1"/>
  <c r="M14" i="28"/>
  <c r="O14" i="28" s="1"/>
  <c r="J10" i="28"/>
  <c r="K10" i="28" s="1"/>
  <c r="L10" i="28" s="1"/>
  <c r="N10" i="28" s="1"/>
  <c r="J177" i="28"/>
  <c r="K177" i="28" s="1"/>
  <c r="L177" i="28" s="1"/>
  <c r="J175" i="28"/>
  <c r="K175" i="28" s="1"/>
  <c r="L175" i="28" s="1"/>
  <c r="J79" i="28"/>
  <c r="K79" i="28" s="1"/>
  <c r="L79" i="28" s="1"/>
  <c r="J77" i="28"/>
  <c r="K77" i="28" s="1"/>
  <c r="L77" i="28" s="1"/>
  <c r="J59" i="28"/>
  <c r="J169" i="28"/>
  <c r="K169" i="28" s="1"/>
  <c r="L169" i="28" s="1"/>
  <c r="J167" i="28"/>
  <c r="K167" i="28" s="1"/>
  <c r="L167" i="28" s="1"/>
  <c r="M110" i="28"/>
  <c r="K110" i="28"/>
  <c r="L110" i="28" s="1"/>
  <c r="J106" i="28"/>
  <c r="K106" i="28" s="1"/>
  <c r="L106" i="28" s="1"/>
  <c r="J140" i="28"/>
  <c r="K140" i="28" s="1"/>
  <c r="L140" i="28" s="1"/>
  <c r="M65" i="28"/>
  <c r="K128" i="28"/>
  <c r="L128" i="28" s="1"/>
  <c r="J87" i="28"/>
  <c r="K87" i="28" s="1"/>
  <c r="L87" i="28" s="1"/>
  <c r="J153" i="28"/>
  <c r="K153" i="28" s="1"/>
  <c r="L153" i="28" s="1"/>
  <c r="J38" i="28"/>
  <c r="K38" i="28" s="1"/>
  <c r="L38" i="28" s="1"/>
  <c r="N38" i="28" s="1"/>
  <c r="J69" i="28"/>
  <c r="K69" i="28" s="1"/>
  <c r="L69" i="28" s="1"/>
  <c r="K59" i="28"/>
  <c r="L59" i="28" s="1"/>
  <c r="N59" i="28" s="1"/>
  <c r="J112" i="28"/>
  <c r="K112" i="28" s="1"/>
  <c r="L112" i="28" s="1"/>
  <c r="J75" i="28"/>
  <c r="K75" i="28" s="1"/>
  <c r="L75" i="28" s="1"/>
  <c r="I18" i="26"/>
  <c r="G20" i="26"/>
  <c r="I16" i="26"/>
  <c r="I12" i="26"/>
  <c r="J12" i="26"/>
  <c r="G12" i="26"/>
  <c r="G10" i="26"/>
  <c r="I10" i="26"/>
  <c r="F9" i="26"/>
  <c r="J10" i="26" s="1"/>
  <c r="I46" i="26"/>
  <c r="G14" i="26"/>
  <c r="I30" i="26"/>
  <c r="F66" i="26"/>
  <c r="J67" i="26" s="1"/>
  <c r="K67" i="26" s="1"/>
  <c r="L67" i="26" s="1"/>
  <c r="N67" i="26" s="1"/>
  <c r="G67" i="26"/>
  <c r="I95" i="26"/>
  <c r="I93" i="26"/>
  <c r="I14" i="26"/>
  <c r="G36" i="26"/>
  <c r="F35" i="26"/>
  <c r="J36" i="26" s="1"/>
  <c r="I69" i="26"/>
  <c r="G16" i="26"/>
  <c r="F15" i="26"/>
  <c r="I40" i="26"/>
  <c r="F41" i="26"/>
  <c r="G42" i="26"/>
  <c r="I44" i="26"/>
  <c r="G89" i="26"/>
  <c r="F88" i="26"/>
  <c r="Q90" i="26"/>
  <c r="V89" i="26"/>
  <c r="G116" i="26"/>
  <c r="M116" i="26" s="1"/>
  <c r="F115" i="26"/>
  <c r="Q117" i="26"/>
  <c r="V116" i="26"/>
  <c r="I38" i="26"/>
  <c r="G65" i="26"/>
  <c r="F64" i="26"/>
  <c r="R80" i="26"/>
  <c r="G87" i="26"/>
  <c r="G114" i="26"/>
  <c r="R117" i="26"/>
  <c r="I122" i="26"/>
  <c r="F131" i="26"/>
  <c r="J130" i="26" s="1"/>
  <c r="K130" i="26" s="1"/>
  <c r="L130" i="26" s="1"/>
  <c r="G132" i="26"/>
  <c r="I163" i="26"/>
  <c r="I179" i="26"/>
  <c r="G22" i="26"/>
  <c r="F25" i="26"/>
  <c r="J26" i="26" s="1"/>
  <c r="G32" i="26"/>
  <c r="F58" i="26"/>
  <c r="J59" i="26" s="1"/>
  <c r="I71" i="26"/>
  <c r="V77" i="26"/>
  <c r="G81" i="26"/>
  <c r="M81" i="26" s="1"/>
  <c r="F80" i="26"/>
  <c r="F82" i="26"/>
  <c r="G85" i="26"/>
  <c r="F84" i="26"/>
  <c r="V85" i="26"/>
  <c r="R86" i="26"/>
  <c r="I87" i="26"/>
  <c r="V93" i="26"/>
  <c r="R94" i="26"/>
  <c r="Q94" i="26"/>
  <c r="G106" i="26"/>
  <c r="M106" i="26" s="1"/>
  <c r="F105" i="26"/>
  <c r="G112" i="26"/>
  <c r="M112" i="26" s="1"/>
  <c r="F111" i="26"/>
  <c r="J110" i="26" s="1"/>
  <c r="K110" i="26" s="1"/>
  <c r="L110" i="26" s="1"/>
  <c r="V112" i="26"/>
  <c r="R113" i="26"/>
  <c r="I114" i="26"/>
  <c r="R121" i="26"/>
  <c r="Q121" i="26"/>
  <c r="V161" i="26"/>
  <c r="R162" i="26"/>
  <c r="Q162" i="26"/>
  <c r="Q80" i="26"/>
  <c r="V122" i="26"/>
  <c r="Q123" i="26"/>
  <c r="G138" i="26"/>
  <c r="F137" i="26"/>
  <c r="F180" i="26"/>
  <c r="J181" i="26" s="1"/>
  <c r="M89" i="26"/>
  <c r="R90" i="26"/>
  <c r="G108" i="26"/>
  <c r="F107" i="26"/>
  <c r="J108" i="26" s="1"/>
  <c r="Q109" i="26"/>
  <c r="R109" i="26"/>
  <c r="F17" i="26"/>
  <c r="J18" i="26" s="1"/>
  <c r="F23" i="26"/>
  <c r="F33" i="26"/>
  <c r="G40" i="26"/>
  <c r="F43" i="26"/>
  <c r="J44" i="26" s="1"/>
  <c r="G44" i="26"/>
  <c r="J46" i="26"/>
  <c r="G73" i="26"/>
  <c r="F72" i="26"/>
  <c r="F74" i="26"/>
  <c r="J75" i="26" s="1"/>
  <c r="I77" i="26"/>
  <c r="M77" i="26" s="1"/>
  <c r="R78" i="26"/>
  <c r="I108" i="26"/>
  <c r="J120" i="26"/>
  <c r="G134" i="26"/>
  <c r="F133" i="26"/>
  <c r="J134" i="26" s="1"/>
  <c r="K134" i="26" s="1"/>
  <c r="L134" i="26" s="1"/>
  <c r="G136" i="26"/>
  <c r="G161" i="26"/>
  <c r="F160" i="26"/>
  <c r="J159" i="26" s="1"/>
  <c r="K159" i="26" s="1"/>
  <c r="L159" i="26" s="1"/>
  <c r="G159" i="26"/>
  <c r="M159" i="26" s="1"/>
  <c r="V185" i="26"/>
  <c r="R186" i="26"/>
  <c r="Q186" i="26"/>
  <c r="Q76" i="26"/>
  <c r="F86" i="26"/>
  <c r="G93" i="26"/>
  <c r="F113" i="26"/>
  <c r="J114" i="26" s="1"/>
  <c r="K114" i="26" s="1"/>
  <c r="L114" i="26" s="1"/>
  <c r="F123" i="26"/>
  <c r="J124" i="26" s="1"/>
  <c r="G130" i="26"/>
  <c r="M130" i="26" s="1"/>
  <c r="F139" i="26"/>
  <c r="G140" i="26"/>
  <c r="G142" i="26"/>
  <c r="F141" i="26"/>
  <c r="J142" i="26" s="1"/>
  <c r="G153" i="26"/>
  <c r="F152" i="26"/>
  <c r="Q168" i="26"/>
  <c r="R168" i="26"/>
  <c r="G171" i="26"/>
  <c r="F170" i="26"/>
  <c r="I183" i="26"/>
  <c r="M183" i="26" s="1"/>
  <c r="F94" i="26"/>
  <c r="J95" i="26" s="1"/>
  <c r="I120" i="26"/>
  <c r="Q137" i="26"/>
  <c r="V136" i="26"/>
  <c r="R137" i="26"/>
  <c r="F154" i="26"/>
  <c r="G155" i="26"/>
  <c r="G157" i="26"/>
  <c r="M157" i="26" s="1"/>
  <c r="F156" i="26"/>
  <c r="J157" i="26" s="1"/>
  <c r="K157" i="26" s="1"/>
  <c r="L157" i="26" s="1"/>
  <c r="Q158" i="26"/>
  <c r="R158" i="26"/>
  <c r="F172" i="26"/>
  <c r="J173" i="26" s="1"/>
  <c r="G173" i="26"/>
  <c r="G179" i="26"/>
  <c r="F178" i="26"/>
  <c r="G122" i="26"/>
  <c r="R135" i="26"/>
  <c r="G163" i="26"/>
  <c r="F162" i="26"/>
  <c r="F164" i="26"/>
  <c r="J165" i="26" s="1"/>
  <c r="K165" i="26" s="1"/>
  <c r="L165" i="26" s="1"/>
  <c r="I167" i="26"/>
  <c r="G177" i="26"/>
  <c r="Q178" i="26"/>
  <c r="I185" i="26"/>
  <c r="M185" i="26" s="1"/>
  <c r="G169" i="26"/>
  <c r="M169" i="26" s="1"/>
  <c r="Q170" i="26"/>
  <c r="I177" i="26"/>
  <c r="G187" i="26"/>
  <c r="M187" i="26" s="1"/>
  <c r="F186" i="26"/>
  <c r="F188" i="26"/>
  <c r="J189" i="26" s="1"/>
  <c r="K189" i="26" s="1"/>
  <c r="L189" i="26" s="1"/>
  <c r="Q166" i="26"/>
  <c r="Q174" i="26"/>
  <c r="Q182" i="26"/>
  <c r="M173" i="26" l="1"/>
  <c r="M161" i="26"/>
  <c r="J106" i="26"/>
  <c r="K106" i="26" s="1"/>
  <c r="L106" i="26" s="1"/>
  <c r="K26" i="26"/>
  <c r="L26" i="26" s="1"/>
  <c r="N26" i="26" s="1"/>
  <c r="K10" i="26"/>
  <c r="L10" i="26" s="1"/>
  <c r="N10" i="26" s="1"/>
  <c r="R11" i="29"/>
  <c r="M155" i="26"/>
  <c r="J83" i="26"/>
  <c r="K83" i="26" s="1"/>
  <c r="L83" i="26" s="1"/>
  <c r="K128" i="26"/>
  <c r="L128" i="26" s="1"/>
  <c r="M175" i="26"/>
  <c r="K175" i="26"/>
  <c r="L175" i="26" s="1"/>
  <c r="K124" i="26"/>
  <c r="L124" i="26" s="1"/>
  <c r="K91" i="26"/>
  <c r="L91" i="26" s="1"/>
  <c r="K28" i="26"/>
  <c r="L28" i="26" s="1"/>
  <c r="N28" i="26" s="1"/>
  <c r="M10" i="28"/>
  <c r="O10" i="28" s="1"/>
  <c r="V10" i="28" s="1"/>
  <c r="W11" i="28" s="1"/>
  <c r="M124" i="26"/>
  <c r="J89" i="26"/>
  <c r="K89" i="26" s="1"/>
  <c r="L89" i="26" s="1"/>
  <c r="M128" i="26"/>
  <c r="K142" i="26"/>
  <c r="L142" i="26" s="1"/>
  <c r="M153" i="26"/>
  <c r="M12" i="28"/>
  <c r="O12" i="28" s="1"/>
  <c r="V12" i="28" s="1"/>
  <c r="M136" i="26"/>
  <c r="M142" i="26"/>
  <c r="M140" i="26"/>
  <c r="J116" i="26"/>
  <c r="K116" i="26" s="1"/>
  <c r="L116" i="26" s="1"/>
  <c r="M171" i="26"/>
  <c r="M132" i="26"/>
  <c r="K181" i="26"/>
  <c r="L181" i="26" s="1"/>
  <c r="J87" i="26"/>
  <c r="K87" i="26" s="1"/>
  <c r="L87" i="26" s="1"/>
  <c r="M95" i="26"/>
  <c r="J126" i="26"/>
  <c r="K126" i="26" s="1"/>
  <c r="L126" i="26" s="1"/>
  <c r="K30" i="26"/>
  <c r="L30" i="26" s="1"/>
  <c r="N30" i="26" s="1"/>
  <c r="J34" i="26"/>
  <c r="K34" i="26" s="1"/>
  <c r="M34" i="26" s="1"/>
  <c r="O34" i="26" s="1"/>
  <c r="K36" i="26"/>
  <c r="L36" i="26" s="1"/>
  <c r="N36" i="26" s="1"/>
  <c r="Q60" i="29"/>
  <c r="Q62" i="29" s="1"/>
  <c r="Q64" i="29" s="1"/>
  <c r="R60" i="29"/>
  <c r="R62" i="29" s="1"/>
  <c r="R64" i="29" s="1"/>
  <c r="V59" i="29"/>
  <c r="W60" i="29" s="1"/>
  <c r="W62" i="29" s="1"/>
  <c r="V63" i="29"/>
  <c r="V36" i="29"/>
  <c r="V12" i="29"/>
  <c r="W13" i="29" s="1"/>
  <c r="W15" i="29" s="1"/>
  <c r="W17" i="29" s="1"/>
  <c r="W19" i="29" s="1"/>
  <c r="W21" i="29" s="1"/>
  <c r="W23" i="29" s="1"/>
  <c r="W25" i="29" s="1"/>
  <c r="W27" i="29" s="1"/>
  <c r="W29" i="29" s="1"/>
  <c r="W31" i="29" s="1"/>
  <c r="W33" i="29" s="1"/>
  <c r="R13" i="29"/>
  <c r="R15" i="29" s="1"/>
  <c r="R17" i="29" s="1"/>
  <c r="R19" i="29" s="1"/>
  <c r="R21" i="29" s="1"/>
  <c r="R23" i="29" s="1"/>
  <c r="R25" i="29" s="1"/>
  <c r="R27" i="29" s="1"/>
  <c r="R29" i="29" s="1"/>
  <c r="R31" i="29" s="1"/>
  <c r="R33" i="29" s="1"/>
  <c r="R35" i="29" s="1"/>
  <c r="R37" i="29" s="1"/>
  <c r="R39" i="29" s="1"/>
  <c r="R41" i="29" s="1"/>
  <c r="R43" i="29" s="1"/>
  <c r="R45" i="29" s="1"/>
  <c r="R47" i="29" s="1"/>
  <c r="Q13" i="29"/>
  <c r="Q15" i="29" s="1"/>
  <c r="Q17" i="29" s="1"/>
  <c r="Q19" i="29" s="1"/>
  <c r="Q21" i="29" s="1"/>
  <c r="Q23" i="29" s="1"/>
  <c r="Q25" i="29" s="1"/>
  <c r="Q27" i="29" s="1"/>
  <c r="Q29" i="29" s="1"/>
  <c r="Q31" i="29" s="1"/>
  <c r="Q33" i="29" s="1"/>
  <c r="Q35" i="29" s="1"/>
  <c r="Q37" i="29" s="1"/>
  <c r="Q39" i="29" s="1"/>
  <c r="Q41" i="29" s="1"/>
  <c r="Q43" i="29" s="1"/>
  <c r="Q45" i="29" s="1"/>
  <c r="Q47" i="29" s="1"/>
  <c r="V44" i="29"/>
  <c r="V34" i="29"/>
  <c r="M36" i="28"/>
  <c r="O36" i="28" s="1"/>
  <c r="V36" i="28" s="1"/>
  <c r="M30" i="28"/>
  <c r="O30" i="28" s="1"/>
  <c r="V30" i="28" s="1"/>
  <c r="M22" i="28"/>
  <c r="O22" i="28" s="1"/>
  <c r="V22" i="28" s="1"/>
  <c r="K173" i="26"/>
  <c r="L173" i="26" s="1"/>
  <c r="J153" i="26"/>
  <c r="K153" i="26" s="1"/>
  <c r="L153" i="26" s="1"/>
  <c r="M108" i="26"/>
  <c r="K75" i="26"/>
  <c r="L75" i="26" s="1"/>
  <c r="K38" i="26"/>
  <c r="L38" i="26" s="1"/>
  <c r="N38" i="26" s="1"/>
  <c r="J73" i="26"/>
  <c r="K73" i="26" s="1"/>
  <c r="L73" i="26" s="1"/>
  <c r="J138" i="26"/>
  <c r="K138" i="26" s="1"/>
  <c r="L138" i="26" s="1"/>
  <c r="M134" i="26"/>
  <c r="K12" i="26"/>
  <c r="L12" i="26" s="1"/>
  <c r="N12" i="26" s="1"/>
  <c r="L40" i="28"/>
  <c r="N40" i="28" s="1"/>
  <c r="M46" i="28"/>
  <c r="O46" i="28" s="1"/>
  <c r="V46" i="28" s="1"/>
  <c r="M20" i="28"/>
  <c r="O20" i="28" s="1"/>
  <c r="V20" i="28" s="1"/>
  <c r="M44" i="28"/>
  <c r="O44" i="28" s="1"/>
  <c r="V44" i="28" s="1"/>
  <c r="M38" i="28"/>
  <c r="O38" i="28" s="1"/>
  <c r="V38" i="28" s="1"/>
  <c r="K20" i="26"/>
  <c r="L20" i="26" s="1"/>
  <c r="N20" i="26" s="1"/>
  <c r="K59" i="26"/>
  <c r="L59" i="26" s="1"/>
  <c r="N59" i="26" s="1"/>
  <c r="K61" i="26"/>
  <c r="L61" i="26" s="1"/>
  <c r="N61" i="26" s="1"/>
  <c r="K18" i="26"/>
  <c r="L18" i="26" s="1"/>
  <c r="N18" i="26" s="1"/>
  <c r="K44" i="26"/>
  <c r="L44" i="26" s="1"/>
  <c r="N44" i="26" s="1"/>
  <c r="K46" i="26"/>
  <c r="L46" i="26" s="1"/>
  <c r="N46" i="26" s="1"/>
  <c r="J42" i="26"/>
  <c r="K42" i="26" s="1"/>
  <c r="L42" i="26" s="1"/>
  <c r="N42" i="26" s="1"/>
  <c r="M67" i="26"/>
  <c r="O67" i="26" s="1"/>
  <c r="L32" i="28"/>
  <c r="N32" i="28" s="1"/>
  <c r="M32" i="28"/>
  <c r="O32" i="28" s="1"/>
  <c r="V14" i="28"/>
  <c r="V42" i="28"/>
  <c r="M59" i="28"/>
  <c r="O59" i="28" s="1"/>
  <c r="V61" i="28"/>
  <c r="R11" i="28"/>
  <c r="V40" i="28"/>
  <c r="V18" i="28"/>
  <c r="M26" i="28"/>
  <c r="O26" i="28" s="1"/>
  <c r="J71" i="26"/>
  <c r="K71" i="26" s="1"/>
  <c r="L71" i="26" s="1"/>
  <c r="N71" i="26" s="1"/>
  <c r="J171" i="26"/>
  <c r="K171" i="26" s="1"/>
  <c r="L171" i="26" s="1"/>
  <c r="J169" i="26"/>
  <c r="K169" i="26" s="1"/>
  <c r="L169" i="26" s="1"/>
  <c r="J16" i="26"/>
  <c r="K16" i="26" s="1"/>
  <c r="L16" i="26" s="1"/>
  <c r="N16" i="26" s="1"/>
  <c r="J14" i="26"/>
  <c r="K14" i="26" s="1"/>
  <c r="L14" i="26" s="1"/>
  <c r="N14" i="26" s="1"/>
  <c r="J136" i="26"/>
  <c r="K136" i="26" s="1"/>
  <c r="L136" i="26" s="1"/>
  <c r="J40" i="26"/>
  <c r="K40" i="26" s="1"/>
  <c r="L40" i="26" s="1"/>
  <c r="N40" i="26" s="1"/>
  <c r="M177" i="26"/>
  <c r="J179" i="26"/>
  <c r="K179" i="26" s="1"/>
  <c r="L179" i="26" s="1"/>
  <c r="J155" i="26"/>
  <c r="K155" i="26" s="1"/>
  <c r="L155" i="26" s="1"/>
  <c r="K95" i="26"/>
  <c r="L95" i="26" s="1"/>
  <c r="J140" i="26"/>
  <c r="K140" i="26" s="1"/>
  <c r="L140" i="26" s="1"/>
  <c r="J22" i="26"/>
  <c r="K22" i="26" s="1"/>
  <c r="L22" i="26" s="1"/>
  <c r="N22" i="26" s="1"/>
  <c r="J24" i="26"/>
  <c r="K24" i="26" s="1"/>
  <c r="M87" i="26"/>
  <c r="J85" i="26"/>
  <c r="K85" i="26" s="1"/>
  <c r="L85" i="26" s="1"/>
  <c r="J79" i="26"/>
  <c r="K79" i="26" s="1"/>
  <c r="L79" i="26" s="1"/>
  <c r="J81" i="26"/>
  <c r="K81" i="26" s="1"/>
  <c r="L81" i="26" s="1"/>
  <c r="M179" i="26"/>
  <c r="M122" i="26"/>
  <c r="J93" i="26"/>
  <c r="K93" i="26" s="1"/>
  <c r="L93" i="26" s="1"/>
  <c r="M10" i="26"/>
  <c r="O10" i="26" s="1"/>
  <c r="K69" i="26"/>
  <c r="L69" i="26" s="1"/>
  <c r="N69" i="26" s="1"/>
  <c r="M30" i="26"/>
  <c r="O30" i="26" s="1"/>
  <c r="J122" i="26"/>
  <c r="K122" i="26" s="1"/>
  <c r="L122" i="26" s="1"/>
  <c r="M167" i="26"/>
  <c r="K167" i="26"/>
  <c r="L167" i="26" s="1"/>
  <c r="M120" i="26"/>
  <c r="K120" i="26"/>
  <c r="L120" i="26" s="1"/>
  <c r="J112" i="26"/>
  <c r="K112" i="26" s="1"/>
  <c r="L112" i="26" s="1"/>
  <c r="J187" i="26"/>
  <c r="K187" i="26" s="1"/>
  <c r="L187" i="26" s="1"/>
  <c r="J163" i="26"/>
  <c r="K163" i="26" s="1"/>
  <c r="L163" i="26" s="1"/>
  <c r="K183" i="26"/>
  <c r="L183" i="26" s="1"/>
  <c r="J185" i="26"/>
  <c r="K185" i="26" s="1"/>
  <c r="L185" i="26" s="1"/>
  <c r="J161" i="26"/>
  <c r="K161" i="26" s="1"/>
  <c r="L161" i="26" s="1"/>
  <c r="J177" i="26"/>
  <c r="K177" i="26" s="1"/>
  <c r="L177" i="26" s="1"/>
  <c r="M114" i="26"/>
  <c r="M163" i="26"/>
  <c r="J132" i="26"/>
  <c r="K132" i="26" s="1"/>
  <c r="L132" i="26" s="1"/>
  <c r="J63" i="26"/>
  <c r="K63" i="26" s="1"/>
  <c r="J65" i="26"/>
  <c r="K65" i="26" s="1"/>
  <c r="L65" i="26" s="1"/>
  <c r="N65" i="26" s="1"/>
  <c r="K77" i="26"/>
  <c r="L77" i="26" s="1"/>
  <c r="J32" i="26"/>
  <c r="K32" i="26" s="1"/>
  <c r="L32" i="26" s="1"/>
  <c r="N32" i="26" s="1"/>
  <c r="M93" i="26"/>
  <c r="M28" i="26"/>
  <c r="O28" i="26" s="1"/>
  <c r="K108" i="26"/>
  <c r="L108" i="26" s="1"/>
  <c r="Q9" i="28" l="1"/>
  <c r="Q11" i="28" s="1"/>
  <c r="M26" i="26"/>
  <c r="O26" i="26" s="1"/>
  <c r="V26" i="26" s="1"/>
  <c r="M38" i="26"/>
  <c r="O38" i="26" s="1"/>
  <c r="V38" i="26" s="1"/>
  <c r="M61" i="26"/>
  <c r="O61" i="26" s="1"/>
  <c r="V61" i="26" s="1"/>
  <c r="M73" i="26"/>
  <c r="M36" i="26"/>
  <c r="O36" i="26" s="1"/>
  <c r="V36" i="26" s="1"/>
  <c r="L34" i="26"/>
  <c r="N34" i="26" s="1"/>
  <c r="M71" i="26"/>
  <c r="O71" i="26" s="1"/>
  <c r="R13" i="28"/>
  <c r="R15" i="28" s="1"/>
  <c r="R17" i="28" s="1"/>
  <c r="R19" i="28" s="1"/>
  <c r="R21" i="28" s="1"/>
  <c r="Q13" i="28"/>
  <c r="Q15" i="28" s="1"/>
  <c r="Q17" i="28" s="1"/>
  <c r="Q19" i="28" s="1"/>
  <c r="W64" i="29"/>
  <c r="M42" i="26"/>
  <c r="O42" i="26" s="1"/>
  <c r="V42" i="26" s="1"/>
  <c r="R23" i="28"/>
  <c r="R25" i="28" s="1"/>
  <c r="M46" i="26"/>
  <c r="O46" i="26" s="1"/>
  <c r="V46" i="26" s="1"/>
  <c r="W35" i="29"/>
  <c r="W37" i="29" s="1"/>
  <c r="W39" i="29" s="1"/>
  <c r="W41" i="29" s="1"/>
  <c r="W43" i="29" s="1"/>
  <c r="W45" i="29" s="1"/>
  <c r="W47" i="29" s="1"/>
  <c r="M12" i="26"/>
  <c r="O12" i="26" s="1"/>
  <c r="V12" i="26" s="1"/>
  <c r="M20" i="26"/>
  <c r="O20" i="26" s="1"/>
  <c r="V20" i="26" s="1"/>
  <c r="Q21" i="28"/>
  <c r="Q23" i="28" s="1"/>
  <c r="Q25" i="28" s="1"/>
  <c r="M59" i="26"/>
  <c r="O59" i="26" s="1"/>
  <c r="M22" i="26"/>
  <c r="O22" i="26" s="1"/>
  <c r="V22" i="26" s="1"/>
  <c r="V67" i="26"/>
  <c r="M69" i="26"/>
  <c r="O69" i="26" s="1"/>
  <c r="M18" i="26"/>
  <c r="O18" i="26" s="1"/>
  <c r="V18" i="26" s="1"/>
  <c r="M44" i="26"/>
  <c r="O44" i="26" s="1"/>
  <c r="V44" i="26" s="1"/>
  <c r="V32" i="28"/>
  <c r="V26" i="28"/>
  <c r="Q27" i="28"/>
  <c r="Q29" i="28" s="1"/>
  <c r="R27" i="28"/>
  <c r="R29" i="28" s="1"/>
  <c r="R31" i="28" s="1"/>
  <c r="R33" i="28" s="1"/>
  <c r="R35" i="28" s="1"/>
  <c r="R37" i="28" s="1"/>
  <c r="R39" i="28" s="1"/>
  <c r="R41" i="28" s="1"/>
  <c r="R43" i="28" s="1"/>
  <c r="R45" i="28" s="1"/>
  <c r="R47" i="28" s="1"/>
  <c r="W13" i="28"/>
  <c r="W15" i="28" s="1"/>
  <c r="W17" i="28" s="1"/>
  <c r="W19" i="28" s="1"/>
  <c r="W21" i="28" s="1"/>
  <c r="W23" i="28" s="1"/>
  <c r="W25" i="28" s="1"/>
  <c r="Q60" i="28"/>
  <c r="Q62" i="28" s="1"/>
  <c r="Q64" i="28" s="1"/>
  <c r="V59" i="28"/>
  <c r="W60" i="28" s="1"/>
  <c r="W62" i="28" s="1"/>
  <c r="W64" i="28" s="1"/>
  <c r="R60" i="28"/>
  <c r="R62" i="28" s="1"/>
  <c r="R64" i="28" s="1"/>
  <c r="M14" i="26"/>
  <c r="O14" i="26" s="1"/>
  <c r="V14" i="26" s="1"/>
  <c r="V28" i="26"/>
  <c r="L63" i="26"/>
  <c r="N63" i="26" s="1"/>
  <c r="M63" i="26"/>
  <c r="O63" i="26" s="1"/>
  <c r="V30" i="26"/>
  <c r="M32" i="26"/>
  <c r="O32" i="26" s="1"/>
  <c r="M16" i="26"/>
  <c r="O16" i="26" s="1"/>
  <c r="R11" i="26"/>
  <c r="Q9" i="26"/>
  <c r="Q11" i="26" s="1"/>
  <c r="V10" i="26"/>
  <c r="M40" i="26"/>
  <c r="O40" i="26" s="1"/>
  <c r="L24" i="26"/>
  <c r="N24" i="26" s="1"/>
  <c r="M24" i="26"/>
  <c r="O24" i="26" s="1"/>
  <c r="V34" i="26"/>
  <c r="M65" i="26"/>
  <c r="O65" i="26" s="1"/>
  <c r="V71" i="26" l="1"/>
  <c r="V69" i="26"/>
  <c r="R13" i="26"/>
  <c r="R15" i="26" s="1"/>
  <c r="R17" i="26" s="1"/>
  <c r="R19" i="26" s="1"/>
  <c r="R21" i="26" s="1"/>
  <c r="R23" i="26" s="1"/>
  <c r="R25" i="26" s="1"/>
  <c r="R27" i="26" s="1"/>
  <c r="R29" i="26" s="1"/>
  <c r="R31" i="26" s="1"/>
  <c r="R33" i="26" s="1"/>
  <c r="R35" i="26" s="1"/>
  <c r="R37" i="26" s="1"/>
  <c r="R39" i="26" s="1"/>
  <c r="R41" i="26" s="1"/>
  <c r="R43" i="26" s="1"/>
  <c r="R45" i="26" s="1"/>
  <c r="R47" i="26" s="1"/>
  <c r="Q13" i="26"/>
  <c r="Q15" i="26" s="1"/>
  <c r="Q17" i="26" s="1"/>
  <c r="Q19" i="26" s="1"/>
  <c r="Q21" i="26" s="1"/>
  <c r="Q23" i="26" s="1"/>
  <c r="Q25" i="26" s="1"/>
  <c r="Q27" i="26" s="1"/>
  <c r="Q29" i="26" s="1"/>
  <c r="Q31" i="26" s="1"/>
  <c r="Q33" i="26" s="1"/>
  <c r="Q35" i="26" s="1"/>
  <c r="Q37" i="26" s="1"/>
  <c r="Q39" i="26" s="1"/>
  <c r="Q41" i="26" s="1"/>
  <c r="Q43" i="26" s="1"/>
  <c r="Q45" i="26" s="1"/>
  <c r="Q47" i="26" s="1"/>
  <c r="Q31" i="28"/>
  <c r="Q33" i="28" s="1"/>
  <c r="Q35" i="28" s="1"/>
  <c r="Q37" i="28" s="1"/>
  <c r="Q39" i="28" s="1"/>
  <c r="Q41" i="28" s="1"/>
  <c r="Q43" i="28" s="1"/>
  <c r="Q45" i="28" s="1"/>
  <c r="Q47" i="28" s="1"/>
  <c r="Q60" i="26"/>
  <c r="Q62" i="26" s="1"/>
  <c r="Q64" i="26" s="1"/>
  <c r="Q66" i="26" s="1"/>
  <c r="Q68" i="26" s="1"/>
  <c r="Q70" i="26" s="1"/>
  <c r="Q72" i="26" s="1"/>
  <c r="R60" i="26"/>
  <c r="R62" i="26" s="1"/>
  <c r="R64" i="26" s="1"/>
  <c r="R66" i="26" s="1"/>
  <c r="R68" i="26" s="1"/>
  <c r="R70" i="26" s="1"/>
  <c r="R72" i="26" s="1"/>
  <c r="V59" i="26"/>
  <c r="W60" i="26" s="1"/>
  <c r="W62" i="26" s="1"/>
  <c r="V65" i="26"/>
  <c r="W27" i="28"/>
  <c r="W29" i="28" s="1"/>
  <c r="W31" i="28" s="1"/>
  <c r="W33" i="28" s="1"/>
  <c r="W35" i="28" s="1"/>
  <c r="W37" i="28" s="1"/>
  <c r="W39" i="28" s="1"/>
  <c r="W41" i="28" s="1"/>
  <c r="W43" i="28" s="1"/>
  <c r="W45" i="28" s="1"/>
  <c r="W47" i="28" s="1"/>
  <c r="W13" i="26"/>
  <c r="W15" i="26" s="1"/>
  <c r="V24" i="26"/>
  <c r="V16" i="26"/>
  <c r="V63" i="26"/>
  <c r="V32" i="26"/>
  <c r="V40" i="26"/>
  <c r="W64" i="26" l="1"/>
  <c r="W66" i="26" s="1"/>
  <c r="W68" i="26" s="1"/>
  <c r="W70" i="26" s="1"/>
  <c r="W17" i="26"/>
  <c r="W19" i="26" s="1"/>
  <c r="W21" i="26" s="1"/>
  <c r="W23" i="26" s="1"/>
  <c r="W25" i="26" s="1"/>
  <c r="W27" i="26" s="1"/>
  <c r="W29" i="26" s="1"/>
  <c r="W31" i="26" s="1"/>
  <c r="W33" i="26" s="1"/>
  <c r="W35" i="26" s="1"/>
  <c r="W37" i="26" s="1"/>
  <c r="W39" i="26" s="1"/>
  <c r="W41" i="26" s="1"/>
  <c r="W43" i="26" s="1"/>
  <c r="W45" i="26" s="1"/>
  <c r="W47" i="26" s="1"/>
</calcChain>
</file>

<file path=xl/sharedStrings.xml><?xml version="1.0" encoding="utf-8"?>
<sst xmlns="http://schemas.openxmlformats.org/spreadsheetml/2006/main" count="2653" uniqueCount="300">
  <si>
    <t>漸長緯度</t>
  </si>
  <si>
    <t>緯差</t>
  </si>
  <si>
    <t>経差</t>
  </si>
  <si>
    <t>漸長緯度差</t>
  </si>
  <si>
    <t>CO.</t>
  </si>
  <si>
    <t>DIST</t>
  </si>
  <si>
    <t>TO</t>
  </si>
  <si>
    <t>RADAR</t>
  </si>
  <si>
    <t>PASSAGE PLAN</t>
  </si>
  <si>
    <t>FROM:</t>
  </si>
  <si>
    <t>TO    :</t>
  </si>
  <si>
    <t>NO.</t>
  </si>
  <si>
    <t>WAY POINT &amp; POSITION</t>
  </si>
  <si>
    <t>SP'D</t>
  </si>
  <si>
    <t>F'M</t>
  </si>
  <si>
    <t>TIME CORR.
(min.)</t>
  </si>
  <si>
    <t>ETA/ETP
(L.T.)</t>
  </si>
  <si>
    <t>Lat</t>
  </si>
  <si>
    <t>Long</t>
  </si>
  <si>
    <t>Long (360)</t>
  </si>
  <si>
    <t>針路</t>
  </si>
  <si>
    <t>距離</t>
  </si>
  <si>
    <t>EVERY 15 MIN</t>
  </si>
  <si>
    <t>EVERY 5 MIN</t>
  </si>
  <si>
    <t>EVERY 5MIN.</t>
  </si>
  <si>
    <t>RADAR/GPS</t>
  </si>
  <si>
    <t xml:space="preserve">GPS </t>
  </si>
  <si>
    <t>EVERY 30 MIN</t>
  </si>
  <si>
    <t xml:space="preserve"> </t>
  </si>
  <si>
    <t>EVERY 1 HR.</t>
  </si>
  <si>
    <t>RADR/GPS</t>
  </si>
  <si>
    <t>BRIDGE NOTE BOOK (CONFINED WATERS PASSAGE PLAN)</t>
  </si>
  <si>
    <t>Y</t>
  </si>
  <si>
    <t xml:space="preserve">POSITION </t>
  </si>
  <si>
    <t>POSITION FIX</t>
  </si>
  <si>
    <t xml:space="preserve">CALL </t>
  </si>
  <si>
    <t>WATCH</t>
  </si>
  <si>
    <t>CHART NO.</t>
  </si>
  <si>
    <t>REMARKS:</t>
  </si>
  <si>
    <t>FIX SYSTEM</t>
  </si>
  <si>
    <t>SYSTEM</t>
  </si>
  <si>
    <t>FIXING</t>
  </si>
  <si>
    <t>CAPT.</t>
  </si>
  <si>
    <t>LEVEL</t>
  </si>
  <si>
    <t>PRIMARY</t>
  </si>
  <si>
    <t>FREQUENCY</t>
  </si>
  <si>
    <t>Y:</t>
  </si>
  <si>
    <t>SECONDARY</t>
  </si>
  <si>
    <t>(MIN)</t>
  </si>
  <si>
    <t>YES</t>
  </si>
  <si>
    <t>(MV PLUTO LEADER)</t>
  </si>
  <si>
    <t xml:space="preserve">    3/O  ________________________________                                        2/O  _____________________________                                      C/O  ________________________________                                       MASTER  ________________________________</t>
  </si>
  <si>
    <t>ESTIMATED</t>
  </si>
  <si>
    <r>
      <t>MINIMUM (</t>
    </r>
    <r>
      <rPr>
        <b/>
        <sz val="9"/>
        <color indexed="8"/>
        <rFont val="Arial Narrow"/>
        <family val="2"/>
      </rPr>
      <t>UKC</t>
    </r>
    <r>
      <rPr>
        <sz val="9"/>
        <color indexed="8"/>
        <rFont val="Arial Narrow"/>
        <family val="2"/>
      </rPr>
      <t>)</t>
    </r>
  </si>
  <si>
    <r>
      <rPr>
        <b/>
        <sz val="9"/>
        <color indexed="8"/>
        <rFont val="Arial Narrow"/>
        <family val="2"/>
      </rPr>
      <t>E</t>
    </r>
    <r>
      <rPr>
        <sz val="9"/>
        <color indexed="8"/>
        <rFont val="Arial Narrow"/>
        <family val="2"/>
      </rPr>
      <t xml:space="preserve"> (ENOUGH) OR</t>
    </r>
  </si>
  <si>
    <t>ACTUAL METER</t>
  </si>
  <si>
    <t>E</t>
  </si>
  <si>
    <t>OFF BERTH</t>
  </si>
  <si>
    <t>GARBAGE/</t>
  </si>
  <si>
    <t>SEWAGE/</t>
  </si>
  <si>
    <t>DISPOSAL</t>
  </si>
  <si>
    <t>15-30</t>
  </si>
  <si>
    <t>NAGOYA BERTH  (KINJO)</t>
  </si>
  <si>
    <t>JP80</t>
  </si>
  <si>
    <t>JP90</t>
  </si>
  <si>
    <t>JP1062</t>
  </si>
  <si>
    <t>JP66</t>
  </si>
  <si>
    <t>O SHIMA</t>
  </si>
  <si>
    <t>OMAE SAKI</t>
  </si>
  <si>
    <t>JP1051</t>
  </si>
  <si>
    <t>JP1064</t>
  </si>
  <si>
    <r>
      <rPr>
        <b/>
        <sz val="11"/>
        <color rgb="FFFF0000"/>
        <rFont val="Arial Narrow"/>
        <family val="2"/>
      </rPr>
      <t xml:space="preserve">LEGEND: </t>
    </r>
    <r>
      <rPr>
        <b/>
        <sz val="11"/>
        <color rgb="FF0070C0"/>
        <rFont val="Arial Narrow"/>
        <family val="2"/>
      </rPr>
      <t xml:space="preserve">   </t>
    </r>
    <r>
      <rPr>
        <b/>
        <sz val="11"/>
        <color rgb="FFFF0000"/>
        <rFont val="Arial Narrow"/>
        <family val="2"/>
      </rPr>
      <t>E</t>
    </r>
    <r>
      <rPr>
        <b/>
        <sz val="11"/>
        <color rgb="FF0070C0"/>
        <rFont val="Arial Narrow"/>
        <family val="2"/>
      </rPr>
      <t xml:space="preserve">=ENOUGH     </t>
    </r>
    <r>
      <rPr>
        <b/>
        <sz val="11"/>
        <color rgb="FFFF0000"/>
        <rFont val="Arial Narrow"/>
        <family val="2"/>
      </rPr>
      <t>Y</t>
    </r>
    <r>
      <rPr>
        <b/>
        <sz val="11"/>
        <color rgb="FF0070C0"/>
        <rFont val="Arial Narrow"/>
        <family val="2"/>
      </rPr>
      <t xml:space="preserve">=YES </t>
    </r>
    <r>
      <rPr>
        <b/>
        <sz val="11"/>
        <color rgb="FFFF0000"/>
        <rFont val="Arial Narrow"/>
        <family val="2"/>
      </rPr>
      <t xml:space="preserve">   VIS</t>
    </r>
    <r>
      <rPr>
        <b/>
        <sz val="11"/>
        <color rgb="FF0070C0"/>
        <rFont val="Arial Narrow"/>
        <family val="2"/>
      </rPr>
      <t xml:space="preserve">=VISUAL </t>
    </r>
    <r>
      <rPr>
        <b/>
        <sz val="11"/>
        <color rgb="FFFF0000"/>
        <rFont val="Arial Narrow"/>
        <family val="2"/>
      </rPr>
      <t xml:space="preserve">  RD</t>
    </r>
    <r>
      <rPr>
        <b/>
        <sz val="11"/>
        <color rgb="FF0070C0"/>
        <rFont val="Arial Narrow"/>
        <family val="2"/>
      </rPr>
      <t xml:space="preserve">=RADAR  </t>
    </r>
    <r>
      <rPr>
        <b/>
        <sz val="11"/>
        <color rgb="FFFF0000"/>
        <rFont val="Arial Narrow"/>
        <family val="2"/>
      </rPr>
      <t>XD</t>
    </r>
    <r>
      <rPr>
        <b/>
        <sz val="11"/>
        <color rgb="FF0070C0"/>
        <rFont val="Arial Narrow"/>
        <family val="2"/>
      </rPr>
      <t xml:space="preserve">=CROSS BEARING  </t>
    </r>
    <r>
      <rPr>
        <b/>
        <sz val="11"/>
        <color rgb="FFFF0000"/>
        <rFont val="Arial Narrow"/>
        <family val="2"/>
      </rPr>
      <t xml:space="preserve"> GPS</t>
    </r>
    <r>
      <rPr>
        <b/>
        <sz val="11"/>
        <color rgb="FF0070C0"/>
        <rFont val="Arial Narrow"/>
        <family val="2"/>
      </rPr>
      <t xml:space="preserve">=GLOBAL POSITIONING SYSTEM   </t>
    </r>
    <r>
      <rPr>
        <b/>
        <sz val="11"/>
        <color rgb="FFFF0000"/>
        <rFont val="Arial Narrow"/>
        <family val="2"/>
      </rPr>
      <t>N</t>
    </r>
    <r>
      <rPr>
        <b/>
        <sz val="11"/>
        <color rgb="FF0070C0"/>
        <rFont val="Arial Narrow"/>
        <family val="2"/>
      </rPr>
      <t>=NO</t>
    </r>
  </si>
  <si>
    <t>1, 2 &amp;3</t>
  </si>
  <si>
    <t>Y/N</t>
  </si>
  <si>
    <t>JP1055A</t>
  </si>
  <si>
    <t>JP1055B</t>
  </si>
  <si>
    <t>JP95</t>
  </si>
  <si>
    <t>JP1053</t>
  </si>
  <si>
    <t>SUNO SAKI</t>
  </si>
  <si>
    <t>DAIN KAIHO</t>
  </si>
  <si>
    <t>FAIRWAY EXIT</t>
  </si>
  <si>
    <t>TOKYO GAS TERMINAL</t>
  </si>
  <si>
    <t>JP70</t>
  </si>
  <si>
    <t>N</t>
  </si>
  <si>
    <t>REPORT TO TOKYO MARTIS ON VHF CH.16 OR 13 WHEN CROSSING LINE OR ABEAM OF HAMAKANAYA</t>
  </si>
  <si>
    <t>NAKANOSE ROUTE</t>
  </si>
  <si>
    <t>JP1081</t>
  </si>
  <si>
    <t>VIS, XB</t>
  </si>
  <si>
    <t>RD, GPS</t>
  </si>
  <si>
    <t>5-15</t>
  </si>
  <si>
    <t>ASSIST PILOT FOR EMBARKATION &amp; DISEMBARKATION</t>
  </si>
  <si>
    <t>MAINTAIN LISTEN W/ NAGOYA KO VESSEL TRAFFIC ROUTES THRU VHF CH. 16 FOR SAFETY OF NAVIGATION</t>
  </si>
  <si>
    <t>KEEP CLEAR OF "NO GO AREA" EXECUTE EXTREME CAUTION WHEN PASSING NARROW/SHALLOW AREAS</t>
  </si>
  <si>
    <t>AWARE OF PARALLEL INDEX INDICATED IN THE CHART</t>
  </si>
  <si>
    <t>CHECK FOR REPORTING LINE/POINT AND REPORT TO ITS DESIGNATED PORT RADIO STATIONS'</t>
  </si>
  <si>
    <t>ADVISE TO MASTER AND PILOT ANY DOUBT MOVEMENT</t>
  </si>
  <si>
    <t>WATCH OUT FOR DOMESTIC &amp; FERRIES VESSEL WHEN TRANSITING IN THE CHANNEL</t>
  </si>
  <si>
    <t>DON'T HESITATE TO ADVISE ANY DOUBT OBSERVED TO MASTER OR PILOT</t>
  </si>
  <si>
    <t>REGULARLY CHECK INMARSAT, MF, HF, NAVTEX DURING NAVIGATION</t>
  </si>
  <si>
    <t>CHECK ALL NAVIGATIONAL EQUIPMENT THAT ALL ARE IN GOOD CONDITION</t>
  </si>
  <si>
    <t xml:space="preserve">MAINTAIN A SHARP LOOK OUT WHEN TRANSITTING AT URAGA TRAFFIC DUE  HEAVY TRAFFIC </t>
  </si>
  <si>
    <t>ALWAYS KEEP SHARP LOOK OUT AND GIV E WIDE BERTH TO MEETING/CROSSING VESSEL &amp; FISHING BOATS.</t>
  </si>
  <si>
    <t>CHECK NAVTEX RECIEVER FOR OTHER INFORMATION REGARDING SAFETY OF NAVIGATION</t>
  </si>
  <si>
    <t>YOKOHAMA P/STATION</t>
  </si>
  <si>
    <r>
      <t>TO:</t>
    </r>
    <r>
      <rPr>
        <sz val="14"/>
        <color rgb="FF00B0F0"/>
        <rFont val="Arial Narrow"/>
        <family val="2"/>
      </rPr>
      <t xml:space="preserve"> </t>
    </r>
    <r>
      <rPr>
        <b/>
        <sz val="14"/>
        <color rgb="FF0070C0"/>
        <rFont val="Arial Narrow"/>
        <family val="2"/>
      </rPr>
      <t>YOKOHAMA, DAIKUKO</t>
    </r>
  </si>
  <si>
    <t>EAST PASSAGE BY'   NO. 11 &amp; 12</t>
  </si>
  <si>
    <t>YOKOHAMA BERTH  DAIKOKU</t>
  </si>
  <si>
    <r>
      <t>AVE.SPD.</t>
    </r>
    <r>
      <rPr>
        <b/>
        <sz val="14"/>
        <color rgb="FF0070C0"/>
        <rFont val="Arial Narrow"/>
        <family val="2"/>
      </rPr>
      <t>16.0 KTS</t>
    </r>
  </si>
  <si>
    <t>NORTH FAIRWAY BY     NO. 3 &amp; 4</t>
  </si>
  <si>
    <t>MEIKO EAST BRIDGE</t>
  </si>
  <si>
    <t>TOKAI BERTH C5</t>
  </si>
  <si>
    <t>NGO P/STN INNER OUT BOUND</t>
  </si>
  <si>
    <r>
      <rPr>
        <sz val="14"/>
        <color theme="1"/>
        <rFont val="Arial Narrow"/>
        <family val="2"/>
      </rPr>
      <t>FROM:</t>
    </r>
    <r>
      <rPr>
        <b/>
        <sz val="14"/>
        <color rgb="FF00B0F0"/>
        <rFont val="Arial Narrow"/>
        <family val="2"/>
      </rPr>
      <t xml:space="preserve"> </t>
    </r>
    <r>
      <rPr>
        <b/>
        <sz val="14"/>
        <color rgb="FF0070C0"/>
        <rFont val="Arial Narrow"/>
        <family val="2"/>
      </rPr>
      <t>NAGOYA, TOKAI</t>
    </r>
  </si>
  <si>
    <t>30-60</t>
  </si>
  <si>
    <t>ISEWAN BY BY' NO. 6</t>
  </si>
  <si>
    <t>ISEWAN BY' NO. 4</t>
  </si>
  <si>
    <t>ISEWAN BY' NO. 3</t>
  </si>
  <si>
    <t>ISEWAN BY' NO. 1 (SEABUOY)</t>
  </si>
  <si>
    <t>IRAGO P/STN (SOUTH BOUND)</t>
  </si>
  <si>
    <r>
      <t xml:space="preserve">DATE :  </t>
    </r>
    <r>
      <rPr>
        <b/>
        <sz val="14"/>
        <color rgb="FF0070C0"/>
        <rFont val="Arial Narrow"/>
        <family val="2"/>
      </rPr>
      <t>04-05 JUNE 2018</t>
    </r>
  </si>
  <si>
    <r>
      <t>TO:</t>
    </r>
    <r>
      <rPr>
        <sz val="14"/>
        <color rgb="FF00B0F0"/>
        <rFont val="Arial Narrow"/>
        <family val="2"/>
      </rPr>
      <t xml:space="preserve"> </t>
    </r>
    <r>
      <rPr>
        <b/>
        <sz val="14"/>
        <color rgb="FF0070C0"/>
        <rFont val="Arial Narrow"/>
        <family val="2"/>
      </rPr>
      <t>TAIPEI, TAIWAN</t>
    </r>
  </si>
  <si>
    <r>
      <t xml:space="preserve">MAX DRAFT:  </t>
    </r>
    <r>
      <rPr>
        <b/>
        <sz val="14"/>
        <color rgb="FF0070C0"/>
        <rFont val="Arial Narrow"/>
        <family val="2"/>
      </rPr>
      <t>9.0M</t>
    </r>
  </si>
  <si>
    <t>DAIO SAKI</t>
  </si>
  <si>
    <t>KASHINO SAKI</t>
  </si>
  <si>
    <t>ERABU SHIMA</t>
  </si>
  <si>
    <t>NORTH COAST OF TAIWAN</t>
  </si>
  <si>
    <t>PASS POINT (H)</t>
  </si>
  <si>
    <t>TAIPEI P/STN</t>
  </si>
  <si>
    <t>ENTRANCE B/WATER</t>
  </si>
  <si>
    <t>B/WATER (EAST)</t>
  </si>
  <si>
    <t>TAIPEI BERTH (E02)</t>
  </si>
  <si>
    <t>JP1221</t>
  </si>
  <si>
    <t>JP1222</t>
  </si>
  <si>
    <t>JP93</t>
  </si>
  <si>
    <t>PILOTS: CALL TAIPEI PILOT 2HRS. PRIOR &amp; 6NM ON VHF CH. 16:11</t>
  </si>
  <si>
    <t>NAVIGATING WITHIN THE VTS AREA SHOULD MAINTAIN A CONTINUOUS LISTENING ON VHF CH. 68</t>
  </si>
  <si>
    <t xml:space="preserve">REPORT TO TAIPEI PORT CONTROL WHEN ENTERING &amp; LEAVING THE VTS AREA </t>
  </si>
  <si>
    <t>REPORT ANY ENCOUNTERING INCIDENTS TO THE VTS FOR SAFETY OF NAVIGATION AS PER LOCAL RULES</t>
  </si>
  <si>
    <r>
      <rPr>
        <sz val="14"/>
        <color theme="1"/>
        <rFont val="Arial Narrow"/>
        <family val="2"/>
      </rPr>
      <t xml:space="preserve">VOY. NO. : </t>
    </r>
    <r>
      <rPr>
        <b/>
        <sz val="14"/>
        <color theme="1"/>
        <rFont val="Arial Narrow"/>
        <family val="2"/>
      </rPr>
      <t xml:space="preserve"> </t>
    </r>
    <r>
      <rPr>
        <b/>
        <sz val="14"/>
        <color rgb="FF0070C0"/>
        <rFont val="Arial Narrow"/>
        <family val="2"/>
      </rPr>
      <t>001</t>
    </r>
  </si>
  <si>
    <t>ROUTE ECDIS NAME : NGO-TPEa VOY. 001 (VIA OSUMI)</t>
  </si>
  <si>
    <t>TONDA LT.</t>
  </si>
  <si>
    <t>MISAKI</t>
  </si>
  <si>
    <t>MAGE SHIMA</t>
  </si>
  <si>
    <t>ROUTE ECDIS NAME : NGO-TPEb VOY. 001 (VIA OSUMI-CURRENT FREE)</t>
  </si>
  <si>
    <t xml:space="preserve">IF VISIBILITY ZERO DON’T HESITATE CALL MASTER ALL THE TIME </t>
  </si>
  <si>
    <t>JP1220</t>
  </si>
  <si>
    <r>
      <t>AVE.SPD.</t>
    </r>
    <r>
      <rPr>
        <b/>
        <sz val="14"/>
        <color rgb="FF0070C0"/>
        <rFont val="Arial Narrow"/>
        <family val="2"/>
      </rPr>
      <t>16.00 KTS</t>
    </r>
  </si>
  <si>
    <t>ASSIST PILOT FOR EMBARKATION</t>
  </si>
  <si>
    <r>
      <rPr>
        <b/>
        <sz val="11"/>
        <color rgb="FFFF0000"/>
        <rFont val="Arial Narrow"/>
        <family val="2"/>
      </rPr>
      <t xml:space="preserve">LEGEND: </t>
    </r>
    <r>
      <rPr>
        <b/>
        <sz val="11"/>
        <color rgb="FF0070C0"/>
        <rFont val="Arial Narrow"/>
        <family val="2"/>
      </rPr>
      <t xml:space="preserve">   </t>
    </r>
    <r>
      <rPr>
        <b/>
        <sz val="11"/>
        <color rgb="FFFF0000"/>
        <rFont val="Arial Narrow"/>
        <family val="2"/>
      </rPr>
      <t>E</t>
    </r>
    <r>
      <rPr>
        <b/>
        <sz val="11"/>
        <color rgb="FF0070C0"/>
        <rFont val="Arial Narrow"/>
        <family val="2"/>
      </rPr>
      <t xml:space="preserve">=ENOUGH    </t>
    </r>
    <r>
      <rPr>
        <b/>
        <sz val="11"/>
        <color rgb="FFFF0000"/>
        <rFont val="Arial Narrow"/>
        <family val="2"/>
      </rPr>
      <t>Y</t>
    </r>
    <r>
      <rPr>
        <b/>
        <sz val="11"/>
        <color rgb="FF0070C0"/>
        <rFont val="Arial Narrow"/>
        <family val="2"/>
      </rPr>
      <t xml:space="preserve">=YES    </t>
    </r>
    <r>
      <rPr>
        <b/>
        <sz val="11"/>
        <color rgb="FFFF0000"/>
        <rFont val="Arial Narrow"/>
        <family val="2"/>
      </rPr>
      <t>N</t>
    </r>
    <r>
      <rPr>
        <b/>
        <sz val="11"/>
        <color rgb="FF0070C0"/>
        <rFont val="Arial Narrow"/>
        <family val="2"/>
      </rPr>
      <t>=NO</t>
    </r>
    <r>
      <rPr>
        <b/>
        <sz val="11"/>
        <color rgb="FFFF0000"/>
        <rFont val="Arial Narrow"/>
        <family val="2"/>
      </rPr>
      <t xml:space="preserve">   VIS</t>
    </r>
    <r>
      <rPr>
        <b/>
        <sz val="11"/>
        <color rgb="FF0070C0"/>
        <rFont val="Arial Narrow"/>
        <family val="2"/>
      </rPr>
      <t xml:space="preserve">=VISUAL </t>
    </r>
    <r>
      <rPr>
        <b/>
        <sz val="11"/>
        <color rgb="FFFF0000"/>
        <rFont val="Arial Narrow"/>
        <family val="2"/>
      </rPr>
      <t xml:space="preserve">  RD</t>
    </r>
    <r>
      <rPr>
        <b/>
        <sz val="11"/>
        <color rgb="FF0070C0"/>
        <rFont val="Arial Narrow"/>
        <family val="2"/>
      </rPr>
      <t xml:space="preserve">=RADAR     </t>
    </r>
    <r>
      <rPr>
        <b/>
        <sz val="11"/>
        <color rgb="FFFF0000"/>
        <rFont val="Arial Narrow"/>
        <family val="2"/>
      </rPr>
      <t>XB</t>
    </r>
    <r>
      <rPr>
        <b/>
        <sz val="11"/>
        <color rgb="FF0070C0"/>
        <rFont val="Arial Narrow"/>
        <family val="2"/>
      </rPr>
      <t xml:space="preserve">=CROSS BEARING  </t>
    </r>
    <r>
      <rPr>
        <b/>
        <sz val="11"/>
        <color rgb="FFFF0000"/>
        <rFont val="Arial Narrow"/>
        <family val="2"/>
      </rPr>
      <t xml:space="preserve">          GPS</t>
    </r>
    <r>
      <rPr>
        <b/>
        <sz val="11"/>
        <color rgb="FF0070C0"/>
        <rFont val="Arial Narrow"/>
        <family val="2"/>
      </rPr>
      <t xml:space="preserve">=GLOBAL POSITIONING SYSTEM </t>
    </r>
  </si>
  <si>
    <t>KINJO WHARF NO. 76 &amp; 77</t>
  </si>
  <si>
    <t>ISEWAN BY' NO. 1 (SEABUOY)P/STN</t>
  </si>
  <si>
    <t>URAGA P/STATION</t>
  </si>
  <si>
    <r>
      <rPr>
        <sz val="14"/>
        <color theme="1"/>
        <rFont val="Arial Narrow"/>
        <family val="2"/>
      </rPr>
      <t>FROM:</t>
    </r>
    <r>
      <rPr>
        <b/>
        <sz val="14"/>
        <color rgb="FF00B0F0"/>
        <rFont val="Arial Narrow"/>
        <family val="2"/>
      </rPr>
      <t xml:space="preserve"> </t>
    </r>
    <r>
      <rPr>
        <b/>
        <sz val="14"/>
        <color rgb="FF0070C0"/>
        <rFont val="Arial Narrow"/>
        <family val="2"/>
      </rPr>
      <t>NAKANOSEKI, JP</t>
    </r>
  </si>
  <si>
    <r>
      <t>TO:</t>
    </r>
    <r>
      <rPr>
        <sz val="14"/>
        <color rgb="FF00B0F0"/>
        <rFont val="Arial Narrow"/>
        <family val="2"/>
      </rPr>
      <t xml:space="preserve"> </t>
    </r>
    <r>
      <rPr>
        <b/>
        <sz val="14"/>
        <color rgb="FF0070C0"/>
        <rFont val="Arial Narrow"/>
        <family val="2"/>
      </rPr>
      <t>YOKOHAMA, JP</t>
    </r>
  </si>
  <si>
    <r>
      <t xml:space="preserve">MAX DRAFT:  </t>
    </r>
    <r>
      <rPr>
        <b/>
        <sz val="14"/>
        <color rgb="FF0070C0"/>
        <rFont val="Arial Narrow"/>
        <family val="2"/>
      </rPr>
      <t>9.00M</t>
    </r>
  </si>
  <si>
    <t>NAKANOSEKI BERTH</t>
  </si>
  <si>
    <t>USHI GA KUBI</t>
  </si>
  <si>
    <t>JP126</t>
  </si>
  <si>
    <t>HIME SHIMA</t>
  </si>
  <si>
    <t xml:space="preserve">AVOID ENTERING IN RESTRICTED AREAS AS INDICATED ON CHART </t>
  </si>
  <si>
    <t>JP1102</t>
  </si>
  <si>
    <t>TAKA SHIMA</t>
  </si>
  <si>
    <t>SEKI-SAKI P/STN</t>
  </si>
  <si>
    <t>PLOT MANUALLY POSITION THROUGH ECDIS AND COMPARE TO CHART</t>
  </si>
  <si>
    <t>JP151</t>
  </si>
  <si>
    <t>OFF P/STN (SEKI-SAKI)</t>
  </si>
  <si>
    <t>DON'T RELY OVER GPS POS. PERFORM VISUALLY TO FIXING POSITION</t>
  </si>
  <si>
    <t>MIZUNOKO SAKI</t>
  </si>
  <si>
    <t>ALWAYS CHECK THE ENGINE AND STEERING RESPONSES &amp; ALL NAVIGATIONAL EQUIPMENT ARE IN GOOD WORKING CONDITION</t>
  </si>
  <si>
    <t>JP108</t>
  </si>
  <si>
    <t>OKI NO SHIMA</t>
  </si>
  <si>
    <t>REPORT TO MASTER ANY DOUBTFUL MOVEMENT &amp; OBSERVATION'S</t>
  </si>
  <si>
    <t>ASHIZURI MIZAKI</t>
  </si>
  <si>
    <t>VARIOUS VESSEL'S CROSSING THE TSS &amp; PRECAUTIONARY AREAS DURING THE HOURS OF DARKNESS, ALWAYS PAY ATTENTION</t>
  </si>
  <si>
    <t>SHIONO SAKI</t>
  </si>
  <si>
    <t xml:space="preserve">VARIOUS SHALLOW WATER AT BAY KEEP PRECAUTION ALL THE TIME </t>
  </si>
  <si>
    <t>MIOKOMOTO SAKI</t>
  </si>
  <si>
    <t>3 HRS PRIOR CALL URAGA CHANNEL PILOT ON VHF CH. 12/68 &amp; TOKYO MARTIS VHF CH. 16/13/14/22</t>
  </si>
  <si>
    <t>TOSHIMA KO</t>
  </si>
  <si>
    <t>ALWAYS CHECK ALL NAVIGATIONAL EQUIPMENT SUCH AS STEEEING GEAR, MAGNETIC COMPASS ETC.</t>
  </si>
  <si>
    <t>CHECK COMPASS ERROR ATLEAST ONCE DURING DUTY PERIOD</t>
  </si>
  <si>
    <t>ALWAYS CHECK THE CHART SATELITE DERIVED POSITION CORRECTION MAY APPLY WHEN NEEDED</t>
  </si>
  <si>
    <t>CONTINUES LISTENING WATCH ON VHF CH. 16 WHILE IN INLAND SEA FOR FURTHER SAFETY INFORMATION</t>
  </si>
  <si>
    <t>URAGA BY' NO. 1</t>
  </si>
  <si>
    <t>CHECK RADAR, ECDIS, GPS, GYRO COMPASS &amp; OTEHER NAV. EQUIPMENT REGULARLY</t>
  </si>
  <si>
    <t>URAGA BY' NO. 2</t>
  </si>
  <si>
    <t>AWARE OF NO GO AREAS INDICATED ON THE CHART</t>
  </si>
  <si>
    <t>AWARE OF PARALLEL INDEX ATTACHED IN THE CHART</t>
  </si>
  <si>
    <t>TSURUMI BY' NO. 1 &amp; 2</t>
  </si>
  <si>
    <t>USE LARGE SCALE CHARTS FOR FIXING GOOD POSITION</t>
  </si>
  <si>
    <r>
      <rPr>
        <sz val="14"/>
        <color theme="1"/>
        <rFont val="Arial Narrow"/>
        <family val="2"/>
      </rPr>
      <t xml:space="preserve">VOY. NO. : </t>
    </r>
    <r>
      <rPr>
        <b/>
        <sz val="14"/>
        <color theme="1"/>
        <rFont val="Arial Narrow"/>
        <family val="2"/>
      </rPr>
      <t xml:space="preserve"> </t>
    </r>
    <r>
      <rPr>
        <b/>
        <sz val="14"/>
        <color rgb="FF0070C0"/>
        <rFont val="Arial Narrow"/>
        <family val="2"/>
      </rPr>
      <t>007</t>
    </r>
  </si>
  <si>
    <r>
      <t xml:space="preserve">DATE :  </t>
    </r>
    <r>
      <rPr>
        <b/>
        <sz val="14"/>
        <color rgb="FF0070C0"/>
        <rFont val="Arial Narrow"/>
        <family val="2"/>
      </rPr>
      <t>17 FEB. 2019</t>
    </r>
  </si>
  <si>
    <t>ROUTE ECDIS NAME : NAKA-YOK VOY. 007 (PILOT WAYPOINTS)</t>
  </si>
  <si>
    <r>
      <rPr>
        <sz val="14"/>
        <color theme="1"/>
        <rFont val="Arial Narrow"/>
        <family val="2"/>
      </rPr>
      <t>FROM:</t>
    </r>
    <r>
      <rPr>
        <b/>
        <sz val="14"/>
        <color rgb="FF00B0F0"/>
        <rFont val="Arial Narrow"/>
        <family val="2"/>
      </rPr>
      <t xml:space="preserve"> </t>
    </r>
    <r>
      <rPr>
        <b/>
        <sz val="14"/>
        <color rgb="FF0070C0"/>
        <rFont val="Arial Narrow"/>
        <family val="2"/>
      </rPr>
      <t>NAGOYA, KINJYO</t>
    </r>
  </si>
  <si>
    <t xml:space="preserve">OFF KINJO BERTH </t>
  </si>
  <si>
    <t>E-PASSAGE BY'   NO. 11 &amp; 12 (N)</t>
  </si>
  <si>
    <t xml:space="preserve">E-PASSAGE BY'   NO. 2 </t>
  </si>
  <si>
    <t>NGO P/STN (INNER-OUT BOUND)</t>
  </si>
  <si>
    <t>ISEWAN BY BY' NO. 5</t>
  </si>
  <si>
    <t>CONTINUES LISTENING WATCH ON VHF CH. 16 WHILE INSIDE IN ISEWAN BAY FOR FURTHER SAFETY INFORMATION</t>
  </si>
  <si>
    <t>KEEP A SHARP LOOKOUT WHEN PASSING IRAGO CHANNEL VARIOUS VESSEL CROSSING</t>
  </si>
  <si>
    <t>MIKOMOTO SHIMA</t>
  </si>
  <si>
    <t>JP70 / 996</t>
  </si>
  <si>
    <t>ECDIS ROUTE NAME: 1) NGO - OUT (OUTBOUND) ---&gt;2) NGO-YOK VOY. 028 (AUG. 2021) ---&gt; 3) YOK-IN ( INBOUND)</t>
  </si>
  <si>
    <r>
      <rPr>
        <sz val="14"/>
        <color theme="1"/>
        <rFont val="Arial Narrow"/>
        <family val="2"/>
      </rPr>
      <t xml:space="preserve">VOY. NO. : </t>
    </r>
    <r>
      <rPr>
        <b/>
        <sz val="14"/>
        <color theme="1"/>
        <rFont val="Arial Narrow"/>
        <family val="2"/>
      </rPr>
      <t xml:space="preserve"> </t>
    </r>
    <r>
      <rPr>
        <b/>
        <sz val="14"/>
        <color rgb="FF0070C0"/>
        <rFont val="Arial Narrow"/>
        <family val="2"/>
      </rPr>
      <t>028</t>
    </r>
  </si>
  <si>
    <r>
      <t>DATE :</t>
    </r>
    <r>
      <rPr>
        <b/>
        <sz val="14"/>
        <color rgb="FF0070C0"/>
        <rFont val="Arial Narrow"/>
        <family val="2"/>
      </rPr>
      <t>17  AUG. 2021</t>
    </r>
  </si>
  <si>
    <t>FISH HAVEN</t>
  </si>
  <si>
    <t>UKI SHIMA</t>
  </si>
  <si>
    <t>SECURE MOORING STATIONS W/ RAT GUARDS AND KEEP TIGHT ALL LINES. COMPLY W/ MARSEC 1</t>
  </si>
  <si>
    <r>
      <rPr>
        <b/>
        <sz val="22"/>
        <color theme="1"/>
        <rFont val="Amasis MT Pro"/>
        <family val="1"/>
      </rPr>
      <t>PIMSAT COLLEGES, INC.</t>
    </r>
    <r>
      <rPr>
        <sz val="16"/>
        <color theme="1"/>
        <rFont val="Arial Narrow"/>
        <family val="2"/>
      </rPr>
      <t xml:space="preserve">
</t>
    </r>
    <r>
      <rPr>
        <sz val="16"/>
        <color theme="1"/>
        <rFont val="Calibri"/>
        <family val="2"/>
        <scheme val="minor"/>
      </rPr>
      <t xml:space="preserve">McArthur Highway, Bolosan District, Dagupan City  </t>
    </r>
    <r>
      <rPr>
        <sz val="16"/>
        <color theme="1"/>
        <rFont val="Arial Narrow"/>
        <family val="2"/>
      </rPr>
      <t xml:space="preserve">
</t>
    </r>
    <r>
      <rPr>
        <b/>
        <sz val="16"/>
        <color theme="1"/>
        <rFont val="Amasis MT Pro"/>
        <family val="1"/>
      </rPr>
      <t xml:space="preserve">COLLEGE OF MARITIME EDUCATION </t>
    </r>
    <r>
      <rPr>
        <sz val="16"/>
        <color theme="1"/>
        <rFont val="Arial Narrow"/>
        <family val="2"/>
      </rPr>
      <t xml:space="preserve">
</t>
    </r>
    <r>
      <rPr>
        <sz val="16"/>
        <color theme="1"/>
        <rFont val="Calibri"/>
        <family val="2"/>
        <scheme val="minor"/>
      </rPr>
      <t xml:space="preserve">Bachelor of Science in Marine Transportation </t>
    </r>
  </si>
  <si>
    <t>T/CO</t>
  </si>
  <si>
    <t xml:space="preserve">ESTIMATED MINIMUM UKC   /    E (ENOUGH) </t>
  </si>
  <si>
    <t>METHODS OF OBTAINING POSITION</t>
  </si>
  <si>
    <t>POSITION FIXING INTERVAL</t>
  </si>
  <si>
    <t xml:space="preserve">WATCH LEVEL </t>
  </si>
  <si>
    <t>GARBAGE/SEWAGE DISPOSAL</t>
  </si>
  <si>
    <t>NAME/ REFERENCE</t>
  </si>
  <si>
    <t xml:space="preserve">NAV 7 - VOYAGE PLANNING </t>
  </si>
  <si>
    <t>YEAR &amp; SECTION:</t>
  </si>
  <si>
    <t>GROUP NO:</t>
  </si>
  <si>
    <t>MEMBERS:</t>
  </si>
  <si>
    <t>DEPARTURE PORT: Passage from Berth to Pilot Station</t>
  </si>
  <si>
    <t>NAME OF VESSEL:</t>
  </si>
  <si>
    <t>VOYAGE NO:</t>
  </si>
  <si>
    <t>ETA/ETP
(L.T.) DD/MM/YY</t>
  </si>
  <si>
    <t xml:space="preserve">CALL    MASTER  </t>
  </si>
  <si>
    <t>ARRIVAL:</t>
  </si>
  <si>
    <t>DEPARTURE:</t>
  </si>
  <si>
    <t xml:space="preserve"> Sea Passage from Pilot  to Pilot </t>
  </si>
  <si>
    <t xml:space="preserve"> ARRIVAL PORT - Passage from Pilot Station to Berth</t>
  </si>
  <si>
    <t xml:space="preserve">NAVIGATION 7 - VOYAGE PLANNING </t>
  </si>
  <si>
    <t xml:space="preserve">GENERAL INFORMATION </t>
  </si>
  <si>
    <t>VESSEL'S CONDITION:</t>
  </si>
  <si>
    <t>TARGET SPEED:</t>
  </si>
  <si>
    <t>TOTAL STEAMING TIME:</t>
  </si>
  <si>
    <t>TOTAL DISTANCE:</t>
  </si>
  <si>
    <t>DEPARTURE DRAFT</t>
  </si>
  <si>
    <t xml:space="preserve">ARRIVAL DRAFT </t>
  </si>
  <si>
    <t>DEPARTURE PORT INFORMATION</t>
  </si>
  <si>
    <t>ARRIVAL PORT INFORMATION</t>
  </si>
  <si>
    <t>NAME OF PORT:</t>
  </si>
  <si>
    <t>ETD:</t>
  </si>
  <si>
    <t>TIME ZONE:</t>
  </si>
  <si>
    <t>MID:</t>
  </si>
  <si>
    <t>AFT:</t>
  </si>
  <si>
    <t>MAX. HEIGHT ABOVE KEEL:</t>
  </si>
  <si>
    <t>MAX. SUMMER DRAFT:</t>
  </si>
  <si>
    <t>MAX. BEAM OF VESSEL</t>
  </si>
  <si>
    <r>
      <rPr>
        <b/>
        <sz val="14"/>
        <rFont val="Amasis MT Pro"/>
        <family val="1"/>
      </rPr>
      <t>PIMSAT COLLEGES, INC.</t>
    </r>
    <r>
      <rPr>
        <sz val="11"/>
        <rFont val="Calibri"/>
        <family val="2"/>
        <scheme val="minor"/>
      </rPr>
      <t xml:space="preserve">
McArthur Highway, Bolosan District, Dagupan City  
</t>
    </r>
    <r>
      <rPr>
        <b/>
        <sz val="11"/>
        <rFont val="Calibri"/>
        <family val="2"/>
        <scheme val="minor"/>
      </rPr>
      <t xml:space="preserve">COLLEGE OF MARITIME EDUCATION </t>
    </r>
    <r>
      <rPr>
        <sz val="11"/>
        <rFont val="Calibri"/>
        <family val="2"/>
        <scheme val="minor"/>
      </rPr>
      <t xml:space="preserve">
Bachelor of Science in Marine Transportation 
</t>
    </r>
  </si>
  <si>
    <t>DEPTH PARAMETERS</t>
  </si>
  <si>
    <t>MINIMUM UNDER KEEL CLEARANCE  (UKC)</t>
  </si>
  <si>
    <t>M</t>
  </si>
  <si>
    <t>METERS</t>
  </si>
  <si>
    <t>A) In Deep Coastal waters / Ocean Passages:</t>
  </si>
  <si>
    <t>B) In Shallow Coastal / Port waters:</t>
  </si>
  <si>
    <t>SQUAT</t>
  </si>
  <si>
    <t>OPEN WATERS</t>
  </si>
  <si>
    <t>CONFINED WATERS</t>
  </si>
  <si>
    <t>BLOCK COEFFICIENT:</t>
  </si>
  <si>
    <t>A) In Deep Coastal waters / Ocean Passages:
A minimum under keel clearance of twice the maximum summer draft of the vessel shall be maintained at all times during the voyage.
B) In Shallow Coastal / Port waters:
A minimum under-keel clearance amounting to 10 per cent of ship's deepest draft or one meter, whichever is greater, shall be maintained at all times.</t>
  </si>
  <si>
    <r>
      <t xml:space="preserve">The vessel can determine the squat by using the formula </t>
    </r>
    <r>
      <rPr>
        <b/>
        <sz val="9"/>
        <rFont val="Calibri"/>
        <family val="2"/>
        <scheme val="minor"/>
      </rPr>
      <t xml:space="preserve">S= cb x v2/100 for Open Waters </t>
    </r>
    <r>
      <rPr>
        <sz val="9"/>
        <rFont val="Calibri"/>
        <family val="2"/>
        <scheme val="minor"/>
      </rPr>
      <t xml:space="preserve">and </t>
    </r>
    <r>
      <rPr>
        <b/>
        <sz val="9"/>
        <rFont val="Calibri"/>
        <family val="2"/>
        <scheme val="minor"/>
      </rPr>
      <t xml:space="preserve">S = 2 x cb x v2/100 for Confined Waters </t>
    </r>
    <r>
      <rPr>
        <sz val="9"/>
        <rFont val="Calibri"/>
        <family val="2"/>
        <scheme val="minor"/>
      </rPr>
      <t>where Cb is the block coefficient of the vessel and v2 is the square of the speed the vessel.</t>
    </r>
  </si>
  <si>
    <t>SHALLOW CONTOUR</t>
  </si>
  <si>
    <t>SAFETY CONTOUR</t>
  </si>
  <si>
    <t>SAFETY DEPTH</t>
  </si>
  <si>
    <t>DEEP CONTOUR</t>
  </si>
  <si>
    <t xml:space="preserve"> = Max. Dynamic Draft in dock water - Height of Tide</t>
  </si>
  <si>
    <t>Safety Depth = Safety Depth</t>
  </si>
  <si>
    <t xml:space="preserve"> = Max. Dynamic Draft + reqd UKC in Shallow water +CATZOC Accuracy - Height of Tide</t>
  </si>
  <si>
    <t xml:space="preserve">  = Max. Dynamic Draft + Max. Static Draft</t>
  </si>
  <si>
    <t>FWA:</t>
  </si>
  <si>
    <t>FWD:</t>
  </si>
  <si>
    <t>ETA:</t>
  </si>
  <si>
    <r>
      <rPr>
        <b/>
        <sz val="18"/>
        <rFont val="Amasis MT Pro"/>
        <family val="1"/>
      </rPr>
      <t>PIMSAT COLLEGES, INC.</t>
    </r>
    <r>
      <rPr>
        <sz val="16"/>
        <rFont val="Calibri"/>
        <family val="2"/>
        <scheme val="minor"/>
      </rPr>
      <t xml:space="preserve">
McArthur Highway, Bolosan District, Dagupan City  
</t>
    </r>
    <r>
      <rPr>
        <b/>
        <sz val="16"/>
        <rFont val="Calibri"/>
        <family val="2"/>
        <scheme val="minor"/>
      </rPr>
      <t xml:space="preserve">COLLEGE OF MARITIME EDUCATION </t>
    </r>
    <r>
      <rPr>
        <sz val="16"/>
        <rFont val="Calibri"/>
        <family val="2"/>
        <scheme val="minor"/>
      </rPr>
      <t xml:space="preserve">
Bachelor of Science in Marine Transportation </t>
    </r>
  </si>
  <si>
    <t xml:space="preserve">PASSAGE PLAN </t>
  </si>
  <si>
    <t>NAVIGATION 7 - VOYAGE PLANNING</t>
  </si>
  <si>
    <t>A.Y. 2025-2026 2ND SEMESTER</t>
  </si>
  <si>
    <t>PORT OF DEPARTURE:</t>
  </si>
  <si>
    <t>PORT OF ARRIVAL:</t>
  </si>
  <si>
    <t>2/M CHRISTIAN PAUL R. FERNANDEZ</t>
  </si>
  <si>
    <t>Instructor</t>
  </si>
  <si>
    <t>NAME OF VESSEL</t>
  </si>
  <si>
    <t>CHARTS &amp; PUBLICATIONS</t>
  </si>
  <si>
    <t xml:space="preserve">LIST OF NAUTICAL CHARTS USE IN VOYAGE </t>
  </si>
  <si>
    <t>TITLE</t>
  </si>
  <si>
    <t>SCALE</t>
  </si>
  <si>
    <t xml:space="preserve">CHART NO. </t>
  </si>
  <si>
    <t>ADMIRALTY LIST OF RADIO SIGNALS</t>
  </si>
  <si>
    <t>NP NO.</t>
  </si>
  <si>
    <t>VOLUME</t>
  </si>
  <si>
    <t xml:space="preserve">ADMIRALTY SAILING DIRECTION </t>
  </si>
  <si>
    <t>ADMIRALTY LIST OF LIGHTS AND FOG SIGNALS</t>
  </si>
  <si>
    <t>ADMIRALTY TIDE TABLES / TOTAL TIDE / TIDAL STREAM ATLAS</t>
  </si>
  <si>
    <t xml:space="preserve">LIST OF NAUTICAL PUBLICATIONS USE IN VOYAGE </t>
  </si>
  <si>
    <t>PREPARED BY:</t>
  </si>
  <si>
    <t>VALIDATED BY:</t>
  </si>
  <si>
    <t>APPROVED BY:</t>
  </si>
  <si>
    <t>CAPT. CHARLIE V. ZAPANTA</t>
  </si>
  <si>
    <t>DEAN VALENTINO H. FERRE</t>
  </si>
  <si>
    <t>Assessor</t>
  </si>
  <si>
    <t xml:space="preserve">Dean, College of Maritime Education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</si>
</sst>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m/d"/>
    <numFmt numFmtId="165" formatCode="0.000000000000000_);[Red]\(0.000000000000000\)"/>
    <numFmt numFmtId="166" formatCode="0.0_);[Red]\(0.0\)"/>
    <numFmt numFmtId="167" formatCode="0.00_);[Red]\(0.00\)"/>
    <numFmt numFmtId="168" formatCode="000"/>
    <numFmt numFmtId="169" formatCode="0.00000_);[Red]\(0.00000\)"/>
    <numFmt numFmtId="170" formatCode="0.&quot;-&quot;00.0#&quot;N&quot;;0.&quot;-&quot;00.0#&quot;S&quot;"/>
    <numFmt numFmtId="171" formatCode="0.&quot;-&quot;00.0#&quot;E&quot;;0.&quot;-&quot;00.0#&quot;W&quot;"/>
    <numFmt numFmtId="172" formatCode="0.0"/>
    <numFmt numFmtId="173" formatCode="0.0_ "/>
    <numFmt numFmtId="174" formatCode="000.0"/>
    <numFmt numFmtId="175" formatCode="&quot;+ &quot;00&quot; min.&quot;;&quot;- &quot;00\ &quot;min.&quot;"/>
    <numFmt numFmtId="176" formatCode="m/d/yy\ h:mm;@"/>
  </numFmts>
  <fonts count="64"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2"/>
      <name val="Arial Narrow"/>
      <family val="2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sz val="11"/>
      <name val="Arial Narrow"/>
      <family val="2"/>
    </font>
    <font>
      <sz val="16"/>
      <name val="Arial Narrow"/>
      <family val="2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ＭＳ Ｐ明朝"/>
      <family val="1"/>
      <charset val="128"/>
    </font>
    <font>
      <sz val="12"/>
      <color theme="1"/>
      <name val="Calibri"/>
      <family val="2"/>
      <scheme val="minor"/>
    </font>
    <font>
      <b/>
      <i/>
      <sz val="14"/>
      <color theme="1"/>
      <name val="Arial Narrow"/>
      <family val="2"/>
    </font>
    <font>
      <u/>
      <sz val="11"/>
      <color theme="1"/>
      <name val="Arial Narrow"/>
      <family val="2"/>
    </font>
    <font>
      <u/>
      <sz val="10"/>
      <color theme="1"/>
      <name val="Arial Narrow"/>
      <family val="2"/>
    </font>
    <font>
      <b/>
      <sz val="14"/>
      <color theme="1"/>
      <name val="Arial Narrow"/>
      <family val="2"/>
    </font>
    <font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b/>
      <sz val="11"/>
      <color rgb="FF0070C0"/>
      <name val="Arial Narrow"/>
      <family val="2"/>
    </font>
    <font>
      <b/>
      <sz val="11"/>
      <color rgb="FFFF0000"/>
      <name val="Arial Narrow"/>
      <family val="2"/>
    </font>
    <font>
      <b/>
      <sz val="14"/>
      <color rgb="FF00B0F0"/>
      <name val="Arial Narrow"/>
      <family val="2"/>
    </font>
    <font>
      <sz val="14"/>
      <color rgb="FF00B0F0"/>
      <name val="Arial Narrow"/>
      <family val="2"/>
    </font>
    <font>
      <b/>
      <sz val="14"/>
      <color rgb="FF0070C0"/>
      <name val="Arial Narrow"/>
      <family val="2"/>
    </font>
    <font>
      <b/>
      <sz val="12"/>
      <color rgb="FFFF0000"/>
      <name val="Arial Narrow"/>
      <family val="2"/>
    </font>
    <font>
      <b/>
      <sz val="12"/>
      <color rgb="FF0070C0"/>
      <name val="Arial Narrow"/>
      <family val="2"/>
    </font>
    <font>
      <sz val="16"/>
      <color theme="1"/>
      <name val="Arial Narrow"/>
      <family val="2"/>
    </font>
    <font>
      <sz val="16"/>
      <color theme="1"/>
      <name val="Arial Narrow"/>
      <family val="1"/>
    </font>
    <font>
      <b/>
      <sz val="22"/>
      <color theme="1"/>
      <name val="Amasis MT Pro"/>
      <family val="1"/>
    </font>
    <font>
      <b/>
      <sz val="16"/>
      <color theme="1"/>
      <name val="Amasis MT Pro"/>
      <family val="1"/>
    </font>
    <font>
      <sz val="16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6"/>
      <name val="Arial Narrow"/>
      <family val="2"/>
    </font>
    <font>
      <b/>
      <u/>
      <sz val="16"/>
      <color rgb="FFFF0000"/>
      <name val="Arial Narrow"/>
      <family val="2"/>
    </font>
    <font>
      <sz val="10"/>
      <color theme="1"/>
      <name val="Calibri"/>
      <family val="2"/>
      <scheme val="minor"/>
    </font>
    <font>
      <sz val="8"/>
      <name val="ＭＳ Ｐゴシック"/>
      <family val="3"/>
      <charset val="128"/>
    </font>
    <font>
      <sz val="14"/>
      <name val="Arial Narrow"/>
      <family val="2"/>
    </font>
    <font>
      <b/>
      <sz val="14"/>
      <name val="Arial Narrow"/>
      <family val="2"/>
    </font>
    <font>
      <b/>
      <u/>
      <sz val="18"/>
      <color rgb="FFFF0000"/>
      <name val="Arial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1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name val="Amasis MT Pro"/>
      <family val="1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1"/>
      <scheme val="minor"/>
    </font>
    <font>
      <b/>
      <sz val="18"/>
      <name val="Amasis MT Pro"/>
      <family val="1"/>
    </font>
    <font>
      <b/>
      <sz val="16"/>
      <name val="Calibri"/>
      <family val="2"/>
      <scheme val="minor"/>
    </font>
    <font>
      <b/>
      <sz val="24"/>
      <name val="Calibri"/>
      <family val="2"/>
      <scheme val="minor"/>
    </font>
    <font>
      <b/>
      <sz val="72"/>
      <name val="Aharoni"/>
      <charset val="177"/>
    </font>
    <font>
      <b/>
      <sz val="16"/>
      <color rgb="FFFF0000"/>
      <name val="Calibri"/>
      <family val="2"/>
      <scheme val="minor"/>
    </font>
    <font>
      <b/>
      <sz val="70"/>
      <name val="Aharoni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38">
    <xf numFmtId="0" fontId="0" fillId="0" borderId="0" xfId="0"/>
    <xf numFmtId="0" fontId="7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2" borderId="0" xfId="0" applyFont="1" applyFill="1" applyAlignment="1">
      <alignment vertical="center"/>
    </xf>
    <xf numFmtId="168" fontId="8" fillId="0" borderId="0" xfId="0" applyNumberFormat="1" applyFont="1" applyAlignment="1">
      <alignment vertical="center"/>
    </xf>
    <xf numFmtId="172" fontId="8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64" fontId="7" fillId="0" borderId="0" xfId="0" applyNumberFormat="1" applyFont="1"/>
    <xf numFmtId="14" fontId="8" fillId="0" borderId="3" xfId="0" applyNumberFormat="1" applyFont="1" applyBorder="1" applyAlignment="1" applyProtection="1">
      <alignment vertical="center"/>
      <protection locked="0"/>
    </xf>
    <xf numFmtId="14" fontId="8" fillId="0" borderId="3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0" fillId="2" borderId="4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2" borderId="4" xfId="0" applyFont="1" applyFill="1" applyBorder="1" applyAlignment="1">
      <alignment horizontal="center" vertical="center"/>
    </xf>
    <xf numFmtId="167" fontId="12" fillId="2" borderId="4" xfId="0" applyNumberFormat="1" applyFont="1" applyFill="1" applyBorder="1" applyAlignment="1">
      <alignment horizontal="center" vertical="center"/>
    </xf>
    <xf numFmtId="165" fontId="12" fillId="2" borderId="4" xfId="0" applyNumberFormat="1" applyFont="1" applyFill="1" applyBorder="1" applyAlignment="1">
      <alignment horizontal="center" vertical="center"/>
    </xf>
    <xf numFmtId="167" fontId="10" fillId="2" borderId="4" xfId="0" applyNumberFormat="1" applyFont="1" applyFill="1" applyBorder="1" applyAlignment="1">
      <alignment vertical="center"/>
    </xf>
    <xf numFmtId="175" fontId="13" fillId="0" borderId="2" xfId="0" applyNumberFormat="1" applyFont="1" applyBorder="1" applyAlignment="1" applyProtection="1">
      <alignment vertical="center"/>
      <protection locked="0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right"/>
    </xf>
    <xf numFmtId="0" fontId="7" fillId="0" borderId="3" xfId="0" applyFont="1" applyBorder="1" applyAlignment="1">
      <alignment horizontal="left" indent="1"/>
    </xf>
    <xf numFmtId="0" fontId="7" fillId="0" borderId="3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164" fontId="15" fillId="0" borderId="0" xfId="0" applyNumberFormat="1" applyFont="1" applyAlignment="1">
      <alignment vertical="center"/>
    </xf>
    <xf numFmtId="164" fontId="7" fillId="0" borderId="3" xfId="0" applyNumberFormat="1" applyFont="1" applyBorder="1" applyAlignment="1">
      <alignment horizontal="right"/>
    </xf>
    <xf numFmtId="164" fontId="7" fillId="0" borderId="3" xfId="0" applyNumberFormat="1" applyFont="1" applyBorder="1" applyAlignment="1">
      <alignment horizontal="left" indent="1"/>
    </xf>
    <xf numFmtId="164" fontId="15" fillId="0" borderId="3" xfId="0" applyNumberFormat="1" applyFont="1" applyBorder="1"/>
    <xf numFmtId="164" fontId="15" fillId="0" borderId="3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4" fontId="7" fillId="0" borderId="3" xfId="0" applyNumberFormat="1" applyFont="1" applyBorder="1" applyAlignment="1">
      <alignment vertical="center"/>
    </xf>
    <xf numFmtId="168" fontId="7" fillId="0" borderId="0" xfId="0" applyNumberFormat="1" applyFont="1" applyAlignment="1">
      <alignment vertical="center"/>
    </xf>
    <xf numFmtId="172" fontId="7" fillId="0" borderId="0" xfId="0" applyNumberFormat="1" applyFont="1" applyAlignment="1">
      <alignment vertical="center"/>
    </xf>
    <xf numFmtId="173" fontId="7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168" fontId="10" fillId="0" borderId="0" xfId="0" applyNumberFormat="1" applyFont="1" applyAlignment="1">
      <alignment vertical="center"/>
    </xf>
    <xf numFmtId="172" fontId="10" fillId="0" borderId="0" xfId="0" applyNumberFormat="1" applyFont="1" applyAlignment="1">
      <alignment vertical="center"/>
    </xf>
    <xf numFmtId="173" fontId="10" fillId="0" borderId="0" xfId="0" applyNumberFormat="1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0" fontId="18" fillId="0" borderId="1" xfId="0" applyNumberFormat="1" applyFont="1" applyBorder="1" applyAlignment="1" applyProtection="1">
      <alignment horizontal="center"/>
      <protection locked="0"/>
    </xf>
    <xf numFmtId="171" fontId="18" fillId="0" borderId="2" xfId="0" applyNumberFormat="1" applyFont="1" applyBorder="1" applyAlignment="1" applyProtection="1">
      <alignment horizontal="center"/>
      <protection locked="0"/>
    </xf>
    <xf numFmtId="173" fontId="8" fillId="0" borderId="0" xfId="0" applyNumberFormat="1" applyFont="1" applyAlignment="1">
      <alignment vertical="center"/>
    </xf>
    <xf numFmtId="1" fontId="13" fillId="0" borderId="2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2" xfId="0" applyNumberFormat="1" applyFont="1" applyBorder="1" applyAlignment="1" applyProtection="1">
      <alignment horizontal="center" vertical="center"/>
      <protection locked="0"/>
    </xf>
    <xf numFmtId="170" fontId="2" fillId="0" borderId="1" xfId="0" applyNumberFormat="1" applyFont="1" applyBorder="1" applyAlignment="1" applyProtection="1">
      <alignment horizontal="center"/>
      <protection locked="0"/>
    </xf>
    <xf numFmtId="171" fontId="2" fillId="0" borderId="2" xfId="0" applyNumberFormat="1" applyFont="1" applyBorder="1" applyAlignment="1" applyProtection="1">
      <alignment horizontal="center"/>
      <protection locked="0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167" fontId="2" fillId="2" borderId="4" xfId="0" applyNumberFormat="1" applyFont="1" applyFill="1" applyBorder="1" applyAlignment="1">
      <alignment vertical="center"/>
    </xf>
    <xf numFmtId="168" fontId="2" fillId="0" borderId="4" xfId="0" applyNumberFormat="1" applyFont="1" applyBorder="1" applyAlignment="1">
      <alignment vertical="center"/>
    </xf>
    <xf numFmtId="172" fontId="2" fillId="0" borderId="4" xfId="0" applyNumberFormat="1" applyFont="1" applyBorder="1" applyAlignment="1">
      <alignment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175" fontId="22" fillId="0" borderId="6" xfId="0" applyNumberFormat="1" applyFont="1" applyBorder="1" applyAlignment="1">
      <alignment horizontal="center" vertical="center"/>
    </xf>
    <xf numFmtId="175" fontId="2" fillId="2" borderId="0" xfId="0" applyNumberFormat="1" applyFont="1" applyFill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vertical="center"/>
    </xf>
    <xf numFmtId="0" fontId="8" fillId="0" borderId="0" xfId="0" applyFont="1" applyAlignment="1">
      <alignment horizontal="center"/>
    </xf>
    <xf numFmtId="1" fontId="2" fillId="0" borderId="7" xfId="0" applyNumberFormat="1" applyFont="1" applyBorder="1" applyAlignment="1" applyProtection="1">
      <alignment horizontal="center" vertical="center"/>
      <protection locked="0"/>
    </xf>
    <xf numFmtId="1" fontId="2" fillId="0" borderId="11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170" fontId="29" fillId="0" borderId="1" xfId="0" applyNumberFormat="1" applyFont="1" applyBorder="1" applyAlignment="1" applyProtection="1">
      <alignment horizontal="center"/>
      <protection locked="0"/>
    </xf>
    <xf numFmtId="171" fontId="29" fillId="0" borderId="2" xfId="0" applyNumberFormat="1" applyFont="1" applyBorder="1" applyAlignment="1" applyProtection="1">
      <alignment horizontal="center"/>
      <protection locked="0"/>
    </xf>
    <xf numFmtId="1" fontId="5" fillId="0" borderId="2" xfId="0" quotePrefix="1" applyNumberFormat="1" applyFont="1" applyBorder="1" applyAlignment="1" applyProtection="1">
      <alignment horizontal="center" vertical="center"/>
      <protection locked="0"/>
    </xf>
    <xf numFmtId="170" fontId="30" fillId="0" borderId="1" xfId="0" applyNumberFormat="1" applyFont="1" applyBorder="1" applyAlignment="1" applyProtection="1">
      <alignment horizontal="center"/>
      <protection locked="0"/>
    </xf>
    <xf numFmtId="171" fontId="30" fillId="0" borderId="2" xfId="0" applyNumberFormat="1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7" fontId="10" fillId="2" borderId="4" xfId="0" applyNumberFormat="1" applyFont="1" applyFill="1" applyBorder="1" applyAlignment="1">
      <alignment horizontal="center" vertical="center"/>
    </xf>
    <xf numFmtId="165" fontId="10" fillId="2" borderId="4" xfId="0" applyNumberFormat="1" applyFont="1" applyFill="1" applyBorder="1" applyAlignment="1">
      <alignment vertical="center"/>
    </xf>
    <xf numFmtId="0" fontId="8" fillId="0" borderId="0" xfId="0" applyFont="1" applyAlignment="1" applyProtection="1">
      <alignment horizontal="left" vertical="center"/>
      <protection locked="0"/>
    </xf>
    <xf numFmtId="165" fontId="2" fillId="2" borderId="4" xfId="0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70" fontId="2" fillId="3" borderId="1" xfId="0" applyNumberFormat="1" applyFont="1" applyFill="1" applyBorder="1" applyAlignment="1" applyProtection="1">
      <alignment horizontal="center"/>
      <protection locked="0"/>
    </xf>
    <xf numFmtId="171" fontId="2" fillId="3" borderId="2" xfId="0" applyNumberFormat="1" applyFont="1" applyFill="1" applyBorder="1" applyAlignment="1" applyProtection="1">
      <alignment horizont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5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hidden="1"/>
    </xf>
    <xf numFmtId="164" fontId="6" fillId="6" borderId="4" xfId="0" applyNumberFormat="1" applyFont="1" applyFill="1" applyBorder="1" applyAlignment="1" applyProtection="1">
      <alignment horizontal="center" vertical="center"/>
      <protection hidden="1"/>
    </xf>
    <xf numFmtId="1" fontId="42" fillId="6" borderId="4" xfId="0" applyNumberFormat="1" applyFont="1" applyFill="1" applyBorder="1" applyAlignment="1" applyProtection="1">
      <alignment horizontal="center" vertical="center"/>
      <protection hidden="1"/>
    </xf>
    <xf numFmtId="164" fontId="6" fillId="0" borderId="4" xfId="0" applyNumberFormat="1" applyFont="1" applyBorder="1" applyAlignment="1" applyProtection="1">
      <alignment horizontal="center" vertical="center"/>
      <protection hidden="1"/>
    </xf>
    <xf numFmtId="164" fontId="38" fillId="4" borderId="18" xfId="0" applyNumberFormat="1" applyFont="1" applyFill="1" applyBorder="1" applyAlignment="1" applyProtection="1">
      <alignment vertical="center"/>
      <protection hidden="1"/>
    </xf>
    <xf numFmtId="164" fontId="38" fillId="6" borderId="0" xfId="0" applyNumberFormat="1" applyFont="1" applyFill="1" applyAlignment="1" applyProtection="1">
      <alignment horizontal="center" vertical="center"/>
      <protection hidden="1"/>
    </xf>
    <xf numFmtId="0" fontId="39" fillId="6" borderId="4" xfId="0" applyFont="1" applyFill="1" applyBorder="1" applyAlignment="1" applyProtection="1">
      <alignment horizontal="center" vertical="center"/>
      <protection hidden="1"/>
    </xf>
    <xf numFmtId="0" fontId="39" fillId="6" borderId="4" xfId="0" applyFont="1" applyFill="1" applyBorder="1" applyAlignment="1" applyProtection="1">
      <alignment vertical="center"/>
      <protection hidden="1"/>
    </xf>
    <xf numFmtId="0" fontId="39" fillId="6" borderId="5" xfId="0" applyFont="1" applyFill="1" applyBorder="1" applyAlignment="1" applyProtection="1">
      <alignment horizontal="center" vertical="center" wrapText="1"/>
      <protection hidden="1"/>
    </xf>
    <xf numFmtId="0" fontId="39" fillId="6" borderId="0" xfId="0" applyFont="1" applyFill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vertical="center"/>
      <protection hidden="1"/>
    </xf>
    <xf numFmtId="167" fontId="39" fillId="6" borderId="4" xfId="0" applyNumberFormat="1" applyFont="1" applyFill="1" applyBorder="1" applyAlignment="1" applyProtection="1">
      <alignment horizontal="center" vertical="center"/>
      <protection hidden="1"/>
    </xf>
    <xf numFmtId="165" fontId="39" fillId="6" borderId="4" xfId="0" applyNumberFormat="1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167" fontId="39" fillId="6" borderId="4" xfId="0" applyNumberFormat="1" applyFont="1" applyFill="1" applyBorder="1" applyAlignment="1" applyProtection="1">
      <alignment vertical="center"/>
      <protection hidden="1"/>
    </xf>
    <xf numFmtId="165" fontId="39" fillId="6" borderId="4" xfId="0" applyNumberFormat="1" applyFont="1" applyFill="1" applyBorder="1" applyAlignment="1" applyProtection="1">
      <alignment vertical="center"/>
      <protection hidden="1"/>
    </xf>
    <xf numFmtId="0" fontId="39" fillId="6" borderId="2" xfId="0" applyFont="1" applyFill="1" applyBorder="1" applyAlignment="1" applyProtection="1">
      <alignment horizontal="center" vertical="center" wrapText="1"/>
      <protection hidden="1"/>
    </xf>
    <xf numFmtId="170" fontId="29" fillId="0" borderId="1" xfId="0" applyNumberFormat="1" applyFont="1" applyBorder="1" applyAlignment="1" applyProtection="1">
      <alignment horizontal="center"/>
      <protection hidden="1"/>
    </xf>
    <xf numFmtId="167" fontId="2" fillId="2" borderId="4" xfId="0" applyNumberFormat="1" applyFont="1" applyFill="1" applyBorder="1" applyAlignment="1" applyProtection="1">
      <alignment vertical="center"/>
      <protection hidden="1"/>
    </xf>
    <xf numFmtId="165" fontId="2" fillId="2" borderId="4" xfId="0" applyNumberFormat="1" applyFont="1" applyFill="1" applyBorder="1" applyAlignment="1" applyProtection="1">
      <alignment vertical="center"/>
      <protection hidden="1"/>
    </xf>
    <xf numFmtId="168" fontId="2" fillId="5" borderId="4" xfId="0" applyNumberFormat="1" applyFont="1" applyFill="1" applyBorder="1" applyAlignment="1" applyProtection="1">
      <alignment vertical="center"/>
      <protection hidden="1"/>
    </xf>
    <xf numFmtId="172" fontId="2" fillId="5" borderId="4" xfId="0" applyNumberFormat="1" applyFont="1" applyFill="1" applyBorder="1" applyAlignment="1" applyProtection="1">
      <alignment vertical="center"/>
      <protection hidden="1"/>
    </xf>
    <xf numFmtId="172" fontId="2" fillId="0" borderId="4" xfId="0" applyNumberFormat="1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175" fontId="2" fillId="2" borderId="0" xfId="0" applyNumberFormat="1" applyFont="1" applyFill="1" applyAlignment="1" applyProtection="1">
      <alignment horizontal="center" vertical="center"/>
      <protection hidden="1"/>
    </xf>
    <xf numFmtId="1" fontId="2" fillId="0" borderId="1" xfId="0" applyNumberFormat="1" applyFont="1" applyBorder="1" applyAlignment="1" applyProtection="1">
      <alignment horizontal="center" vertical="center"/>
      <protection hidden="1"/>
    </xf>
    <xf numFmtId="171" fontId="29" fillId="0" borderId="2" xfId="0" applyNumberFormat="1" applyFont="1" applyBorder="1" applyAlignment="1" applyProtection="1">
      <alignment horizontal="center"/>
      <protection hidden="1"/>
    </xf>
    <xf numFmtId="172" fontId="2" fillId="5" borderId="4" xfId="0" applyNumberFormat="1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1" fontId="2" fillId="0" borderId="2" xfId="0" applyNumberFormat="1" applyFont="1" applyBorder="1" applyAlignment="1" applyProtection="1">
      <alignment horizontal="center" vertical="center"/>
      <protection hidden="1"/>
    </xf>
    <xf numFmtId="170" fontId="2" fillId="0" borderId="1" xfId="0" applyNumberFormat="1" applyFont="1" applyBorder="1" applyAlignment="1" applyProtection="1">
      <alignment horizontal="center"/>
      <protection hidden="1"/>
    </xf>
    <xf numFmtId="171" fontId="2" fillId="0" borderId="2" xfId="0" applyNumberFormat="1" applyFont="1" applyBorder="1" applyAlignment="1" applyProtection="1">
      <alignment horizontal="center"/>
      <protection hidden="1"/>
    </xf>
    <xf numFmtId="1" fontId="5" fillId="0" borderId="2" xfId="0" applyNumberFormat="1" applyFont="1" applyBorder="1" applyAlignment="1" applyProtection="1">
      <alignment horizontal="center" vertical="center"/>
      <protection hidden="1"/>
    </xf>
    <xf numFmtId="1" fontId="5" fillId="0" borderId="1" xfId="0" applyNumberFormat="1" applyFont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vertical="center"/>
      <protection hidden="1"/>
    </xf>
    <xf numFmtId="175" fontId="22" fillId="0" borderId="6" xfId="0" applyNumberFormat="1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vertical="center"/>
      <protection hidden="1"/>
    </xf>
    <xf numFmtId="170" fontId="18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right"/>
      <protection hidden="1"/>
    </xf>
    <xf numFmtId="0" fontId="7" fillId="0" borderId="3" xfId="0" applyFont="1" applyBorder="1" applyAlignment="1" applyProtection="1">
      <alignment horizontal="left" indent="1"/>
      <protection hidden="1"/>
    </xf>
    <xf numFmtId="0" fontId="7" fillId="0" borderId="3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176" fontId="7" fillId="0" borderId="0" xfId="0" applyNumberFormat="1" applyFont="1" applyAlignment="1" applyProtection="1">
      <alignment horizontal="center" vertical="center"/>
      <protection hidden="1"/>
    </xf>
    <xf numFmtId="1" fontId="13" fillId="0" borderId="2" xfId="0" applyNumberFormat="1" applyFont="1" applyBorder="1" applyAlignment="1" applyProtection="1">
      <alignment horizontal="center" vertical="center"/>
      <protection hidden="1"/>
    </xf>
    <xf numFmtId="175" fontId="13" fillId="0" borderId="2" xfId="0" applyNumberFormat="1" applyFont="1" applyBorder="1" applyAlignment="1" applyProtection="1">
      <alignment vertical="center"/>
      <protection hidden="1"/>
    </xf>
    <xf numFmtId="171" fontId="18" fillId="0" borderId="2" xfId="0" applyNumberFormat="1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164" fontId="15" fillId="0" borderId="0" xfId="0" applyNumberFormat="1" applyFont="1" applyAlignment="1" applyProtection="1">
      <alignment vertical="center"/>
      <protection hidden="1"/>
    </xf>
    <xf numFmtId="164" fontId="7" fillId="0" borderId="3" xfId="0" applyNumberFormat="1" applyFont="1" applyBorder="1" applyAlignment="1" applyProtection="1">
      <alignment horizontal="right"/>
      <protection hidden="1"/>
    </xf>
    <xf numFmtId="164" fontId="7" fillId="0" borderId="3" xfId="0" applyNumberFormat="1" applyFont="1" applyBorder="1" applyAlignment="1" applyProtection="1">
      <alignment horizontal="left" indent="1"/>
      <protection hidden="1"/>
    </xf>
    <xf numFmtId="164" fontId="15" fillId="0" borderId="3" xfId="0" applyNumberFormat="1" applyFont="1" applyBorder="1" applyProtection="1">
      <protection hidden="1"/>
    </xf>
    <xf numFmtId="164" fontId="15" fillId="0" borderId="3" xfId="0" applyNumberFormat="1" applyFont="1" applyBorder="1" applyAlignment="1" applyProtection="1">
      <alignment horizontal="center"/>
      <protection hidden="1"/>
    </xf>
    <xf numFmtId="164" fontId="16" fillId="0" borderId="0" xfId="0" applyNumberFormat="1" applyFont="1" applyAlignment="1" applyProtection="1">
      <alignment horizontal="center" vertical="center"/>
      <protection hidden="1"/>
    </xf>
    <xf numFmtId="164" fontId="15" fillId="2" borderId="0" xfId="0" applyNumberFormat="1" applyFont="1" applyFill="1" applyAlignment="1" applyProtection="1">
      <alignment horizontal="center" vertical="center"/>
      <protection hidden="1"/>
    </xf>
    <xf numFmtId="176" fontId="15" fillId="0" borderId="0" xfId="0" applyNumberFormat="1" applyFont="1" applyAlignment="1" applyProtection="1">
      <alignment horizontal="center" vertical="center"/>
      <protection hidden="1"/>
    </xf>
    <xf numFmtId="164" fontId="15" fillId="0" borderId="0" xfId="0" applyNumberFormat="1" applyFont="1" applyAlignment="1" applyProtection="1">
      <alignment horizontal="center" vertical="center"/>
      <protection hidden="1"/>
    </xf>
    <xf numFmtId="14" fontId="7" fillId="0" borderId="3" xfId="0" applyNumberFormat="1" applyFont="1" applyBorder="1" applyAlignment="1" applyProtection="1">
      <alignment vertical="center"/>
      <protection hidden="1"/>
    </xf>
    <xf numFmtId="168" fontId="7" fillId="0" borderId="0" xfId="0" applyNumberFormat="1" applyFont="1" applyAlignment="1" applyProtection="1">
      <alignment vertical="center"/>
      <protection hidden="1"/>
    </xf>
    <xf numFmtId="172" fontId="7" fillId="0" borderId="0" xfId="0" applyNumberFormat="1" applyFont="1" applyAlignment="1" applyProtection="1">
      <alignment vertical="center"/>
      <protection hidden="1"/>
    </xf>
    <xf numFmtId="173" fontId="7" fillId="0" borderId="0" xfId="0" applyNumberFormat="1" applyFont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72" fontId="2" fillId="0" borderId="4" xfId="0" applyNumberFormat="1" applyFont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168" fontId="10" fillId="0" borderId="0" xfId="0" applyNumberFormat="1" applyFont="1" applyAlignment="1" applyProtection="1">
      <alignment vertical="center"/>
      <protection hidden="1"/>
    </xf>
    <xf numFmtId="172" fontId="10" fillId="0" borderId="0" xfId="0" applyNumberFormat="1" applyFont="1" applyAlignment="1" applyProtection="1">
      <alignment vertical="center"/>
      <protection hidden="1"/>
    </xf>
    <xf numFmtId="173" fontId="10" fillId="0" borderId="0" xfId="0" applyNumberFormat="1" applyFont="1" applyAlignment="1" applyProtection="1">
      <alignment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176" fontId="10" fillId="0" borderId="0" xfId="0" applyNumberFormat="1" applyFont="1" applyAlignment="1" applyProtection="1">
      <alignment horizontal="center" vertical="center"/>
      <protection hidden="1"/>
    </xf>
    <xf numFmtId="175" fontId="22" fillId="0" borderId="4" xfId="0" applyNumberFormat="1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164" fontId="15" fillId="0" borderId="0" xfId="0" applyNumberFormat="1" applyFont="1" applyAlignment="1" applyProtection="1">
      <alignment horizontal="center" vertical="center"/>
      <protection locked="0"/>
    </xf>
    <xf numFmtId="164" fontId="15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4" fontId="8" fillId="0" borderId="0" xfId="0" applyNumberFormat="1" applyFont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center"/>
      <protection hidden="1"/>
    </xf>
    <xf numFmtId="172" fontId="8" fillId="0" borderId="0" xfId="0" applyNumberFormat="1" applyFont="1" applyAlignment="1" applyProtection="1">
      <alignment vertical="center"/>
      <protection hidden="1"/>
    </xf>
    <xf numFmtId="173" fontId="8" fillId="0" borderId="0" xfId="0" applyNumberFormat="1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/>
      <protection hidden="1"/>
    </xf>
    <xf numFmtId="14" fontId="8" fillId="0" borderId="3" xfId="0" applyNumberFormat="1" applyFont="1" applyBorder="1" applyAlignment="1" applyProtection="1">
      <alignment vertical="center"/>
      <protection hidden="1"/>
    </xf>
    <xf numFmtId="168" fontId="8" fillId="0" borderId="0" xfId="0" applyNumberFormat="1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right" vertical="center"/>
      <protection hidden="1"/>
    </xf>
    <xf numFmtId="176" fontId="8" fillId="0" borderId="0" xfId="0" applyNumberFormat="1" applyFont="1" applyAlignment="1" applyProtection="1">
      <alignment horizontal="left" vertical="center"/>
      <protection hidden="1"/>
    </xf>
    <xf numFmtId="164" fontId="7" fillId="0" borderId="0" xfId="0" applyNumberFormat="1" applyFont="1" applyProtection="1"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2" borderId="4" xfId="0" applyFont="1" applyFill="1" applyBorder="1" applyAlignment="1" applyProtection="1">
      <alignment vertical="center"/>
      <protection hidden="1"/>
    </xf>
    <xf numFmtId="0" fontId="11" fillId="0" borderId="1" xfId="0" applyFont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1" fillId="0" borderId="5" xfId="0" applyFont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 applyProtection="1">
      <alignment horizontal="center" vertical="center" wrapText="1"/>
      <protection hidden="1"/>
    </xf>
    <xf numFmtId="0" fontId="10" fillId="2" borderId="4" xfId="0" applyFont="1" applyFill="1" applyBorder="1" applyAlignment="1" applyProtection="1">
      <alignment horizontal="center" vertical="center"/>
      <protection hidden="1"/>
    </xf>
    <xf numFmtId="167" fontId="12" fillId="2" borderId="4" xfId="0" applyNumberFormat="1" applyFont="1" applyFill="1" applyBorder="1" applyAlignment="1" applyProtection="1">
      <alignment horizontal="center" vertical="center"/>
      <protection hidden="1"/>
    </xf>
    <xf numFmtId="167" fontId="10" fillId="2" borderId="4" xfId="0" applyNumberFormat="1" applyFont="1" applyFill="1" applyBorder="1" applyAlignment="1" applyProtection="1">
      <alignment horizontal="center" vertical="center"/>
      <protection hidden="1"/>
    </xf>
    <xf numFmtId="165" fontId="12" fillId="2" borderId="4" xfId="0" applyNumberFormat="1" applyFont="1" applyFill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167" fontId="10" fillId="2" borderId="4" xfId="0" applyNumberFormat="1" applyFont="1" applyFill="1" applyBorder="1" applyAlignment="1" applyProtection="1">
      <alignment vertical="center"/>
      <protection hidden="1"/>
    </xf>
    <xf numFmtId="165" fontId="10" fillId="2" borderId="4" xfId="0" applyNumberFormat="1" applyFont="1" applyFill="1" applyBorder="1" applyAlignment="1" applyProtection="1">
      <alignment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 wrapText="1"/>
      <protection hidden="1"/>
    </xf>
    <xf numFmtId="168" fontId="2" fillId="0" borderId="4" xfId="0" applyNumberFormat="1" applyFont="1" applyBorder="1" applyAlignment="1" applyProtection="1">
      <alignment vertical="center"/>
      <protection hidden="1"/>
    </xf>
    <xf numFmtId="49" fontId="2" fillId="0" borderId="1" xfId="0" applyNumberFormat="1" applyFont="1" applyBorder="1" applyAlignment="1" applyProtection="1">
      <alignment horizontal="center" vertical="center"/>
      <protection hidden="1"/>
    </xf>
    <xf numFmtId="49" fontId="2" fillId="0" borderId="2" xfId="0" applyNumberFormat="1" applyFont="1" applyBorder="1" applyAlignment="1" applyProtection="1">
      <alignment horizontal="center" vertical="center"/>
      <protection hidden="1"/>
    </xf>
    <xf numFmtId="170" fontId="30" fillId="0" borderId="1" xfId="0" applyNumberFormat="1" applyFont="1" applyBorder="1" applyAlignment="1" applyProtection="1">
      <alignment horizontal="center"/>
      <protection hidden="1"/>
    </xf>
    <xf numFmtId="171" fontId="30" fillId="0" borderId="2" xfId="0" applyNumberFormat="1" applyFont="1" applyBorder="1" applyAlignment="1" applyProtection="1">
      <alignment horizontal="center"/>
      <protection hidden="1"/>
    </xf>
    <xf numFmtId="1" fontId="2" fillId="0" borderId="7" xfId="0" applyNumberFormat="1" applyFont="1" applyBorder="1" applyAlignment="1" applyProtection="1">
      <alignment horizontal="center" vertical="center"/>
      <protection hidden="1"/>
    </xf>
    <xf numFmtId="1" fontId="2" fillId="0" borderId="11" xfId="0" applyNumberFormat="1" applyFont="1" applyBorder="1" applyAlignment="1" applyProtection="1">
      <alignment horizontal="center" vertical="center"/>
      <protection hidden="1"/>
    </xf>
    <xf numFmtId="0" fontId="44" fillId="0" borderId="4" xfId="0" applyFont="1" applyBorder="1" applyAlignment="1">
      <alignment horizontal="center"/>
    </xf>
    <xf numFmtId="0" fontId="44" fillId="0" borderId="0" xfId="0" applyFont="1"/>
    <xf numFmtId="0" fontId="45" fillId="6" borderId="4" xfId="0" applyFont="1" applyFill="1" applyBorder="1" applyAlignment="1">
      <alignment horizontal="center"/>
    </xf>
    <xf numFmtId="0" fontId="49" fillId="6" borderId="4" xfId="0" applyFont="1" applyFill="1" applyBorder="1" applyAlignment="1">
      <alignment horizontal="center"/>
    </xf>
    <xf numFmtId="0" fontId="61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6" borderId="4" xfId="0" applyFont="1" applyFill="1" applyBorder="1"/>
    <xf numFmtId="0" fontId="44" fillId="0" borderId="4" xfId="0" applyFont="1" applyBorder="1" applyAlignment="1" applyProtection="1">
      <alignment horizontal="center"/>
      <protection hidden="1"/>
    </xf>
    <xf numFmtId="0" fontId="45" fillId="6" borderId="4" xfId="0" applyFont="1" applyFill="1" applyBorder="1" applyAlignment="1" applyProtection="1">
      <alignment horizontal="center"/>
      <protection hidden="1"/>
    </xf>
    <xf numFmtId="0" fontId="44" fillId="0" borderId="4" xfId="0" applyFont="1" applyBorder="1" applyAlignment="1" applyProtection="1">
      <alignment horizontal="center"/>
      <protection locked="0"/>
    </xf>
    <xf numFmtId="0" fontId="44" fillId="0" borderId="4" xfId="0" applyFont="1" applyBorder="1" applyProtection="1">
      <protection locked="0"/>
    </xf>
    <xf numFmtId="0" fontId="44" fillId="0" borderId="4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5" fillId="6" borderId="4" xfId="0" applyFont="1" applyFill="1" applyBorder="1" applyAlignment="1" applyProtection="1">
      <alignment horizontal="center" vertical="center"/>
      <protection hidden="1"/>
    </xf>
    <xf numFmtId="0" fontId="44" fillId="0" borderId="0" xfId="0" applyFont="1" applyProtection="1">
      <protection hidden="1"/>
    </xf>
    <xf numFmtId="0" fontId="44" fillId="0" borderId="0" xfId="0" applyFont="1" applyAlignment="1" applyProtection="1">
      <alignment horizontal="center"/>
      <protection hidden="1"/>
    </xf>
    <xf numFmtId="0" fontId="44" fillId="6" borderId="4" xfId="0" applyFont="1" applyFill="1" applyBorder="1" applyAlignment="1" applyProtection="1">
      <alignment horizontal="center" vertical="center"/>
      <protection hidden="1"/>
    </xf>
    <xf numFmtId="0" fontId="44" fillId="0" borderId="4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45" fillId="0" borderId="0" xfId="0" applyFont="1"/>
    <xf numFmtId="0" fontId="45" fillId="6" borderId="4" xfId="0" applyFont="1" applyFill="1" applyBorder="1" applyAlignment="1">
      <alignment horizontal="center"/>
    </xf>
    <xf numFmtId="0" fontId="51" fillId="0" borderId="4" xfId="0" applyFont="1" applyBorder="1" applyAlignment="1" applyProtection="1">
      <alignment horizontal="center" vertical="center"/>
      <protection locked="0"/>
    </xf>
    <xf numFmtId="0" fontId="45" fillId="6" borderId="4" xfId="0" applyFont="1" applyFill="1" applyBorder="1" applyAlignment="1">
      <alignment horizontal="center" vertical="center"/>
    </xf>
    <xf numFmtId="0" fontId="51" fillId="0" borderId="4" xfId="0" applyFont="1" applyBorder="1" applyAlignment="1" applyProtection="1">
      <alignment horizontal="left" vertical="center"/>
      <protection locked="0"/>
    </xf>
    <xf numFmtId="0" fontId="57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0" fontId="63" fillId="0" borderId="0" xfId="0" applyFont="1" applyAlignment="1">
      <alignment horizontal="center" vertical="center"/>
    </xf>
    <xf numFmtId="0" fontId="44" fillId="0" borderId="4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0" fontId="46" fillId="0" borderId="0" xfId="0" applyFont="1" applyAlignment="1">
      <alignment horizontal="center" wrapText="1"/>
    </xf>
    <xf numFmtId="0" fontId="44" fillId="0" borderId="0" xfId="0" applyFont="1" applyAlignment="1">
      <alignment horizontal="center" wrapText="1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4" xfId="0" applyFont="1" applyBorder="1" applyAlignment="1" applyProtection="1">
      <alignment horizontal="center"/>
      <protection hidden="1"/>
    </xf>
    <xf numFmtId="0" fontId="44" fillId="0" borderId="4" xfId="0" applyFont="1" applyBorder="1" applyAlignment="1" applyProtection="1">
      <alignment horizontal="left"/>
      <protection hidden="1"/>
    </xf>
    <xf numFmtId="0" fontId="49" fillId="6" borderId="4" xfId="0" applyFont="1" applyFill="1" applyBorder="1" applyAlignment="1">
      <alignment horizontal="left"/>
    </xf>
    <xf numFmtId="0" fontId="44" fillId="4" borderId="4" xfId="0" applyFont="1" applyFill="1" applyBorder="1" applyAlignment="1" applyProtection="1">
      <alignment horizontal="center"/>
      <protection hidden="1"/>
    </xf>
    <xf numFmtId="0" fontId="44" fillId="4" borderId="4" xfId="0" applyFont="1" applyFill="1" applyBorder="1" applyAlignment="1" applyProtection="1">
      <alignment horizontal="center"/>
      <protection locked="0"/>
    </xf>
    <xf numFmtId="0" fontId="49" fillId="6" borderId="7" xfId="0" applyFont="1" applyFill="1" applyBorder="1" applyAlignment="1">
      <alignment horizontal="center" vertical="center"/>
    </xf>
    <xf numFmtId="0" fontId="49" fillId="6" borderId="8" xfId="0" applyFont="1" applyFill="1" applyBorder="1" applyAlignment="1">
      <alignment horizontal="center" vertical="center"/>
    </xf>
    <xf numFmtId="0" fontId="49" fillId="6" borderId="9" xfId="0" applyFont="1" applyFill="1" applyBorder="1" applyAlignment="1">
      <alignment horizontal="center" vertical="center"/>
    </xf>
    <xf numFmtId="0" fontId="49" fillId="6" borderId="10" xfId="0" applyFont="1" applyFill="1" applyBorder="1" applyAlignment="1">
      <alignment horizontal="center" vertical="center"/>
    </xf>
    <xf numFmtId="0" fontId="49" fillId="6" borderId="11" xfId="0" applyFont="1" applyFill="1" applyBorder="1" applyAlignment="1">
      <alignment horizontal="center" vertical="center"/>
    </xf>
    <xf numFmtId="0" fontId="49" fillId="6" borderId="12" xfId="0" applyFont="1" applyFill="1" applyBorder="1" applyAlignment="1">
      <alignment horizontal="center" vertical="center"/>
    </xf>
    <xf numFmtId="0" fontId="44" fillId="0" borderId="6" xfId="0" applyFont="1" applyBorder="1" applyAlignment="1" applyProtection="1">
      <alignment horizontal="center"/>
      <protection locked="0"/>
    </xf>
    <xf numFmtId="0" fontId="44" fillId="0" borderId="19" xfId="0" applyFont="1" applyBorder="1" applyAlignment="1" applyProtection="1">
      <alignment horizontal="center"/>
      <protection locked="0"/>
    </xf>
    <xf numFmtId="0" fontId="45" fillId="0" borderId="4" xfId="0" applyFont="1" applyBorder="1" applyAlignment="1" applyProtection="1">
      <alignment horizontal="center"/>
      <protection locked="0"/>
    </xf>
    <xf numFmtId="0" fontId="52" fillId="0" borderId="17" xfId="0" applyFont="1" applyBorder="1" applyAlignment="1">
      <alignment horizontal="center"/>
    </xf>
    <xf numFmtId="0" fontId="49" fillId="6" borderId="4" xfId="0" applyFont="1" applyFill="1" applyBorder="1" applyAlignment="1">
      <alignment horizontal="center"/>
    </xf>
    <xf numFmtId="0" fontId="44" fillId="0" borderId="4" xfId="0" applyFont="1" applyBorder="1" applyAlignment="1" applyProtection="1">
      <alignment horizontal="center"/>
      <protection locked="0"/>
    </xf>
    <xf numFmtId="0" fontId="49" fillId="6" borderId="6" xfId="0" applyFont="1" applyFill="1" applyBorder="1" applyAlignment="1">
      <alignment horizontal="left"/>
    </xf>
    <xf numFmtId="0" fontId="49" fillId="6" borderId="19" xfId="0" applyFont="1" applyFill="1" applyBorder="1" applyAlignment="1">
      <alignment horizontal="left"/>
    </xf>
    <xf numFmtId="0" fontId="47" fillId="6" borderId="4" xfId="0" applyFont="1" applyFill="1" applyBorder="1" applyAlignment="1">
      <alignment horizontal="center"/>
    </xf>
    <xf numFmtId="0" fontId="54" fillId="0" borderId="4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54" fillId="6" borderId="4" xfId="0" applyFont="1" applyFill="1" applyBorder="1" applyAlignment="1">
      <alignment horizontal="center" vertical="center" wrapText="1"/>
    </xf>
    <xf numFmtId="0" fontId="47" fillId="6" borderId="4" xfId="0" applyFont="1" applyFill="1" applyBorder="1" applyAlignment="1">
      <alignment horizontal="center" vertical="center"/>
    </xf>
    <xf numFmtId="0" fontId="44" fillId="6" borderId="4" xfId="0" applyFont="1" applyFill="1" applyBorder="1" applyAlignment="1">
      <alignment horizontal="center"/>
    </xf>
    <xf numFmtId="0" fontId="44" fillId="0" borderId="4" xfId="0" applyFont="1" applyBorder="1" applyAlignment="1" applyProtection="1">
      <alignment horizontal="left"/>
      <protection locked="0"/>
    </xf>
    <xf numFmtId="0" fontId="62" fillId="0" borderId="0" xfId="0" applyFont="1" applyAlignment="1" applyProtection="1">
      <alignment horizontal="center"/>
      <protection hidden="1"/>
    </xf>
    <xf numFmtId="0" fontId="44" fillId="0" borderId="0" xfId="0" applyFont="1" applyAlignment="1" applyProtection="1">
      <alignment horizontal="center"/>
      <protection hidden="1"/>
    </xf>
    <xf numFmtId="0" fontId="50" fillId="6" borderId="4" xfId="0" applyFont="1" applyFill="1" applyBorder="1" applyAlignment="1" applyProtection="1">
      <alignment horizontal="center"/>
      <protection hidden="1"/>
    </xf>
    <xf numFmtId="0" fontId="44" fillId="6" borderId="4" xfId="0" applyFont="1" applyFill="1" applyBorder="1" applyAlignment="1" applyProtection="1">
      <alignment horizontal="center" vertical="center"/>
      <protection hidden="1"/>
    </xf>
    <xf numFmtId="0" fontId="46" fillId="0" borderId="0" xfId="0" applyFont="1" applyAlignment="1" applyProtection="1">
      <alignment horizontal="center" wrapText="1"/>
      <protection hidden="1"/>
    </xf>
    <xf numFmtId="0" fontId="50" fillId="0" borderId="0" xfId="0" applyFont="1" applyAlignment="1" applyProtection="1">
      <alignment horizontal="center"/>
      <protection hidden="1"/>
    </xf>
    <xf numFmtId="0" fontId="43" fillId="0" borderId="0" xfId="0" applyFont="1" applyAlignment="1" applyProtection="1">
      <alignment horizontal="center"/>
      <protection hidden="1"/>
    </xf>
    <xf numFmtId="0" fontId="45" fillId="6" borderId="7" xfId="0" applyFont="1" applyFill="1" applyBorder="1" applyAlignment="1" applyProtection="1">
      <alignment horizontal="center" vertical="center"/>
      <protection hidden="1"/>
    </xf>
    <xf numFmtId="0" fontId="45" fillId="6" borderId="17" xfId="0" applyFont="1" applyFill="1" applyBorder="1" applyAlignment="1" applyProtection="1">
      <alignment horizontal="center" vertical="center"/>
      <protection hidden="1"/>
    </xf>
    <xf numFmtId="0" fontId="45" fillId="6" borderId="8" xfId="0" applyFont="1" applyFill="1" applyBorder="1" applyAlignment="1" applyProtection="1">
      <alignment horizontal="center" vertical="center"/>
      <protection hidden="1"/>
    </xf>
    <xf numFmtId="0" fontId="45" fillId="6" borderId="11" xfId="0" applyFont="1" applyFill="1" applyBorder="1" applyAlignment="1" applyProtection="1">
      <alignment horizontal="center" vertical="center"/>
      <protection hidden="1"/>
    </xf>
    <xf numFmtId="0" fontId="45" fillId="6" borderId="3" xfId="0" applyFont="1" applyFill="1" applyBorder="1" applyAlignment="1" applyProtection="1">
      <alignment horizontal="center" vertical="center"/>
      <protection hidden="1"/>
    </xf>
    <xf numFmtId="0" fontId="45" fillId="6" borderId="12" xfId="0" applyFont="1" applyFill="1" applyBorder="1" applyAlignment="1" applyProtection="1">
      <alignment horizontal="center" vertical="center"/>
      <protection hidden="1"/>
    </xf>
    <xf numFmtId="0" fontId="44" fillId="4" borderId="6" xfId="0" applyFont="1" applyFill="1" applyBorder="1" applyAlignment="1" applyProtection="1">
      <alignment horizontal="left"/>
      <protection hidden="1"/>
    </xf>
    <xf numFmtId="0" fontId="44" fillId="4" borderId="18" xfId="0" applyFont="1" applyFill="1" applyBorder="1" applyAlignment="1" applyProtection="1">
      <alignment horizontal="left"/>
      <protection hidden="1"/>
    </xf>
    <xf numFmtId="0" fontId="44" fillId="4" borderId="19" xfId="0" applyFont="1" applyFill="1" applyBorder="1" applyAlignment="1" applyProtection="1">
      <alignment horizontal="left"/>
      <protection hidden="1"/>
    </xf>
    <xf numFmtId="0" fontId="44" fillId="0" borderId="19" xfId="0" applyFont="1" applyBorder="1" applyAlignment="1" applyProtection="1">
      <alignment horizontal="left"/>
      <protection locked="0"/>
    </xf>
    <xf numFmtId="0" fontId="45" fillId="6" borderId="4" xfId="0" applyFont="1" applyFill="1" applyBorder="1" applyAlignment="1" applyProtection="1">
      <alignment horizontal="center" vertical="center"/>
      <protection hidden="1"/>
    </xf>
    <xf numFmtId="0" fontId="45" fillId="6" borderId="19" xfId="0" applyFont="1" applyFill="1" applyBorder="1" applyAlignment="1" applyProtection="1">
      <alignment horizontal="center" vertical="center"/>
      <protection hidden="1"/>
    </xf>
    <xf numFmtId="0" fontId="52" fillId="0" borderId="17" xfId="0" applyFont="1" applyBorder="1" applyAlignment="1" applyProtection="1">
      <alignment horizontal="center"/>
      <protection hidden="1"/>
    </xf>
    <xf numFmtId="0" fontId="52" fillId="0" borderId="0" xfId="0" applyFont="1" applyAlignment="1" applyProtection="1">
      <alignment horizontal="center"/>
      <protection hidden="1"/>
    </xf>
    <xf numFmtId="0" fontId="45" fillId="6" borderId="4" xfId="0" applyFont="1" applyFill="1" applyBorder="1" applyAlignment="1" applyProtection="1">
      <alignment horizontal="center"/>
      <protection hidden="1"/>
    </xf>
    <xf numFmtId="0" fontId="62" fillId="0" borderId="3" xfId="0" applyFont="1" applyBorder="1" applyAlignment="1" applyProtection="1">
      <alignment horizontal="center" vertical="center"/>
      <protection hidden="1"/>
    </xf>
    <xf numFmtId="0" fontId="62" fillId="0" borderId="0" xfId="0" applyFont="1" applyAlignment="1" applyProtection="1">
      <alignment horizontal="center" vertical="center"/>
      <protection hidden="1"/>
    </xf>
    <xf numFmtId="164" fontId="41" fillId="0" borderId="6" xfId="0" applyNumberFormat="1" applyFont="1" applyBorder="1" applyAlignment="1" applyProtection="1">
      <alignment horizontal="left" vertical="center"/>
      <protection hidden="1"/>
    </xf>
    <xf numFmtId="164" fontId="41" fillId="0" borderId="18" xfId="0" applyNumberFormat="1" applyFont="1" applyBorder="1" applyAlignment="1" applyProtection="1">
      <alignment horizontal="left" vertical="center"/>
      <protection hidden="1"/>
    </xf>
    <xf numFmtId="164" fontId="41" fillId="0" borderId="19" xfId="0" applyNumberFormat="1" applyFont="1" applyBorder="1" applyAlignment="1" applyProtection="1">
      <alignment horizontal="left" vertical="center"/>
      <protection hidden="1"/>
    </xf>
    <xf numFmtId="1" fontId="41" fillId="4" borderId="4" xfId="0" applyNumberFormat="1" applyFont="1" applyFill="1" applyBorder="1" applyAlignment="1" applyProtection="1">
      <alignment horizontal="left" vertical="center"/>
      <protection hidden="1"/>
    </xf>
    <xf numFmtId="164" fontId="43" fillId="4" borderId="4" xfId="0" applyNumberFormat="1" applyFont="1" applyFill="1" applyBorder="1" applyAlignment="1" applyProtection="1">
      <alignment horizontal="center" vertical="center"/>
      <protection hidden="1"/>
    </xf>
    <xf numFmtId="164" fontId="42" fillId="6" borderId="6" xfId="0" applyNumberFormat="1" applyFont="1" applyFill="1" applyBorder="1" applyAlignment="1" applyProtection="1">
      <alignment horizontal="center" vertical="center"/>
      <protection hidden="1"/>
    </xf>
    <xf numFmtId="164" fontId="42" fillId="6" borderId="18" xfId="0" applyNumberFormat="1" applyFont="1" applyFill="1" applyBorder="1" applyAlignment="1" applyProtection="1">
      <alignment horizontal="center" vertical="center"/>
      <protection hidden="1"/>
    </xf>
    <xf numFmtId="164" fontId="41" fillId="4" borderId="4" xfId="0" applyNumberFormat="1" applyFont="1" applyFill="1" applyBorder="1" applyAlignment="1" applyProtection="1">
      <alignment horizontal="center" vertical="center"/>
      <protection hidden="1"/>
    </xf>
    <xf numFmtId="164" fontId="42" fillId="6" borderId="19" xfId="0" applyNumberFormat="1" applyFont="1" applyFill="1" applyBorder="1" applyAlignment="1" applyProtection="1">
      <alignment horizontal="center" vertical="center"/>
      <protection hidden="1"/>
    </xf>
    <xf numFmtId="164" fontId="41" fillId="4" borderId="6" xfId="0" applyNumberFormat="1" applyFont="1" applyFill="1" applyBorder="1" applyAlignment="1" applyProtection="1">
      <alignment horizontal="center" vertical="center"/>
      <protection hidden="1"/>
    </xf>
    <xf numFmtId="164" fontId="41" fillId="4" borderId="18" xfId="0" applyNumberFormat="1" applyFont="1" applyFill="1" applyBorder="1" applyAlignment="1" applyProtection="1">
      <alignment horizontal="center" vertical="center"/>
      <protection hidden="1"/>
    </xf>
    <xf numFmtId="164" fontId="42" fillId="6" borderId="4" xfId="0" applyNumberFormat="1" applyFont="1" applyFill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164" fontId="37" fillId="0" borderId="0" xfId="0" applyNumberFormat="1" applyFont="1" applyAlignment="1" applyProtection="1">
      <alignment horizontal="center" vertical="center"/>
      <protection hidden="1"/>
    </xf>
    <xf numFmtId="164" fontId="41" fillId="0" borderId="4" xfId="0" applyNumberFormat="1" applyFont="1" applyBorder="1" applyAlignment="1" applyProtection="1">
      <alignment horizontal="center" vertical="center"/>
      <protection hidden="1"/>
    </xf>
    <xf numFmtId="1" fontId="41" fillId="0" borderId="4" xfId="0" applyNumberFormat="1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9" fillId="0" borderId="1" xfId="0" applyFont="1" applyBorder="1" applyAlignment="1" applyProtection="1">
      <alignment vertical="center" wrapText="1"/>
      <protection locked="0"/>
    </xf>
    <xf numFmtId="0" fontId="29" fillId="0" borderId="2" xfId="0" applyFont="1" applyBorder="1" applyAlignment="1" applyProtection="1">
      <alignment vertical="center" wrapText="1"/>
      <protection locked="0"/>
    </xf>
    <xf numFmtId="0" fontId="2" fillId="2" borderId="4" xfId="0" applyFont="1" applyFill="1" applyBorder="1" applyAlignment="1" applyProtection="1">
      <alignment horizontal="left" vertical="center"/>
      <protection hidden="1"/>
    </xf>
    <xf numFmtId="167" fontId="2" fillId="2" borderId="4" xfId="0" applyNumberFormat="1" applyFont="1" applyFill="1" applyBorder="1" applyAlignment="1" applyProtection="1">
      <alignment horizontal="center" vertical="center"/>
      <protection hidden="1"/>
    </xf>
    <xf numFmtId="165" fontId="2" fillId="2" borderId="4" xfId="0" applyNumberFormat="1" applyFont="1" applyFill="1" applyBorder="1" applyAlignment="1" applyProtection="1">
      <alignment vertical="center"/>
      <protection hidden="1"/>
    </xf>
    <xf numFmtId="173" fontId="36" fillId="5" borderId="4" xfId="0" applyNumberFormat="1" applyFont="1" applyFill="1" applyBorder="1" applyAlignment="1" applyProtection="1">
      <alignment horizontal="center" vertical="center"/>
      <protection hidden="1"/>
    </xf>
    <xf numFmtId="0" fontId="39" fillId="6" borderId="11" xfId="0" applyFont="1" applyFill="1" applyBorder="1" applyAlignment="1" applyProtection="1">
      <alignment horizontal="center" vertical="center" wrapText="1"/>
      <protection hidden="1"/>
    </xf>
    <xf numFmtId="0" fontId="39" fillId="6" borderId="6" xfId="0" applyFont="1" applyFill="1" applyBorder="1" applyAlignment="1" applyProtection="1">
      <alignment horizontal="center" vertical="center" wrapText="1"/>
      <protection hidden="1"/>
    </xf>
    <xf numFmtId="176" fontId="39" fillId="6" borderId="2" xfId="0" applyNumberFormat="1" applyFont="1" applyFill="1" applyBorder="1" applyAlignment="1" applyProtection="1">
      <alignment horizontal="center" vertical="center" wrapText="1"/>
      <protection hidden="1"/>
    </xf>
    <xf numFmtId="176" fontId="39" fillId="6" borderId="4" xfId="0" applyNumberFormat="1" applyFont="1" applyFill="1" applyBorder="1" applyAlignment="1" applyProtection="1">
      <alignment horizontal="center" vertical="center" wrapText="1"/>
      <protection hidden="1"/>
    </xf>
    <xf numFmtId="0" fontId="39" fillId="6" borderId="1" xfId="0" applyFont="1" applyFill="1" applyBorder="1" applyAlignment="1" applyProtection="1">
      <alignment horizontal="center" vertical="center" wrapText="1"/>
      <protection hidden="1"/>
    </xf>
    <xf numFmtId="0" fontId="39" fillId="6" borderId="5" xfId="0" applyFont="1" applyFill="1" applyBorder="1" applyAlignment="1" applyProtection="1">
      <alignment horizontal="center" vertical="center" wrapText="1"/>
      <protection hidden="1"/>
    </xf>
    <xf numFmtId="0" fontId="39" fillId="6" borderId="2" xfId="0" applyFont="1" applyFill="1" applyBorder="1" applyAlignment="1" applyProtection="1">
      <alignment horizontal="center" vertical="center" wrapText="1"/>
      <protection hidden="1"/>
    </xf>
    <xf numFmtId="1" fontId="41" fillId="4" borderId="4" xfId="0" applyNumberFormat="1" applyFont="1" applyFill="1" applyBorder="1" applyAlignment="1" applyProtection="1">
      <alignment horizontal="center" vertical="center"/>
      <protection hidden="1"/>
    </xf>
    <xf numFmtId="0" fontId="39" fillId="6" borderId="1" xfId="0" applyFont="1" applyFill="1" applyBorder="1" applyAlignment="1" applyProtection="1">
      <alignment horizontal="center" vertical="center"/>
      <protection hidden="1"/>
    </xf>
    <xf numFmtId="0" fontId="39" fillId="6" borderId="5" xfId="0" applyFont="1" applyFill="1" applyBorder="1" applyAlignment="1" applyProtection="1">
      <alignment horizontal="center" vertical="center"/>
      <protection hidden="1"/>
    </xf>
    <xf numFmtId="0" fontId="39" fillId="6" borderId="2" xfId="0" applyFont="1" applyFill="1" applyBorder="1" applyAlignment="1" applyProtection="1">
      <alignment horizontal="center" vertical="center"/>
      <protection hidden="1"/>
    </xf>
    <xf numFmtId="0" fontId="39" fillId="6" borderId="4" xfId="0" applyFont="1" applyFill="1" applyBorder="1" applyAlignment="1" applyProtection="1">
      <alignment horizontal="center" vertical="center"/>
      <protection hidden="1"/>
    </xf>
    <xf numFmtId="168" fontId="39" fillId="6" borderId="4" xfId="0" applyNumberFormat="1" applyFont="1" applyFill="1" applyBorder="1" applyAlignment="1" applyProtection="1">
      <alignment horizontal="center" vertical="center"/>
      <protection hidden="1"/>
    </xf>
    <xf numFmtId="172" fontId="39" fillId="6" borderId="2" xfId="0" applyNumberFormat="1" applyFont="1" applyFill="1" applyBorder="1" applyAlignment="1" applyProtection="1">
      <alignment horizontal="center" vertical="center"/>
      <protection hidden="1"/>
    </xf>
    <xf numFmtId="172" fontId="39" fillId="6" borderId="4" xfId="0" applyNumberFormat="1" applyFont="1" applyFill="1" applyBorder="1" applyAlignment="1" applyProtection="1">
      <alignment horizontal="center" vertical="center"/>
      <protection hidden="1"/>
    </xf>
    <xf numFmtId="173" fontId="39" fillId="6" borderId="2" xfId="0" applyNumberFormat="1" applyFont="1" applyFill="1" applyBorder="1" applyAlignment="1" applyProtection="1">
      <alignment horizontal="center" vertical="center"/>
      <protection hidden="1"/>
    </xf>
    <xf numFmtId="173" fontId="39" fillId="6" borderId="4" xfId="0" applyNumberFormat="1" applyFont="1" applyFill="1" applyBorder="1" applyAlignment="1" applyProtection="1">
      <alignment horizontal="center" vertical="center"/>
      <protection hidden="1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175" fontId="25" fillId="0" borderId="4" xfId="0" applyNumberFormat="1" applyFont="1" applyBorder="1" applyAlignment="1" applyProtection="1">
      <alignment horizontal="left" vertical="center" wrapText="1"/>
      <protection locked="0"/>
    </xf>
    <xf numFmtId="165" fontId="2" fillId="2" borderId="4" xfId="0" applyNumberFormat="1" applyFont="1" applyFill="1" applyBorder="1" applyAlignment="1" applyProtection="1">
      <alignment horizontal="center" vertical="center"/>
      <protection hidden="1"/>
    </xf>
    <xf numFmtId="167" fontId="2" fillId="2" borderId="4" xfId="0" applyNumberFormat="1" applyFont="1" applyFill="1" applyBorder="1" applyAlignment="1" applyProtection="1">
      <alignment horizontal="left" vertical="center"/>
      <protection hidden="1"/>
    </xf>
    <xf numFmtId="169" fontId="2" fillId="2" borderId="4" xfId="0" applyNumberFormat="1" applyFont="1" applyFill="1" applyBorder="1" applyAlignment="1" applyProtection="1">
      <alignment horizontal="left" vertical="center"/>
      <protection hidden="1"/>
    </xf>
    <xf numFmtId="174" fontId="2" fillId="5" borderId="4" xfId="0" applyNumberFormat="1" applyFont="1" applyFill="1" applyBorder="1" applyAlignment="1" applyProtection="1">
      <alignment horizontal="center" vertical="center"/>
      <protection hidden="1"/>
    </xf>
    <xf numFmtId="173" fontId="29" fillId="4" borderId="1" xfId="0" applyNumberFormat="1" applyFont="1" applyFill="1" applyBorder="1" applyAlignment="1" applyProtection="1">
      <alignment horizontal="center" vertical="center"/>
      <protection hidden="1"/>
    </xf>
    <xf numFmtId="173" fontId="29" fillId="4" borderId="2" xfId="0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176" fontId="29" fillId="0" borderId="4" xfId="0" applyNumberFormat="1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hidden="1"/>
    </xf>
    <xf numFmtId="0" fontId="10" fillId="6" borderId="5" xfId="0" applyFont="1" applyFill="1" applyBorder="1" applyAlignment="1" applyProtection="1">
      <alignment horizontal="center" vertical="center" wrapText="1"/>
      <protection hidden="1"/>
    </xf>
    <xf numFmtId="0" fontId="10" fillId="6" borderId="2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173" fontId="2" fillId="5" borderId="4" xfId="0" applyNumberFormat="1" applyFont="1" applyFill="1" applyBorder="1" applyAlignment="1" applyProtection="1">
      <alignment horizontal="center" vertical="center"/>
      <protection hidden="1"/>
    </xf>
    <xf numFmtId="176" fontId="2" fillId="5" borderId="4" xfId="0" applyNumberFormat="1" applyFont="1" applyFill="1" applyBorder="1" applyAlignment="1" applyProtection="1">
      <alignment horizontal="center" vertical="center"/>
      <protection hidden="1"/>
    </xf>
    <xf numFmtId="172" fontId="2" fillId="5" borderId="4" xfId="0" applyNumberFormat="1" applyFont="1" applyFill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locked="0"/>
    </xf>
    <xf numFmtId="175" fontId="22" fillId="0" borderId="9" xfId="0" applyNumberFormat="1" applyFont="1" applyBorder="1" applyAlignment="1" applyProtection="1">
      <alignment horizontal="center" vertical="center"/>
      <protection locked="0"/>
    </xf>
    <xf numFmtId="175" fontId="22" fillId="0" borderId="11" xfId="0" applyNumberFormat="1" applyFont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vertical="center" wrapText="1"/>
      <protection locked="0"/>
    </xf>
    <xf numFmtId="175" fontId="22" fillId="0" borderId="7" xfId="0" applyNumberFormat="1" applyFont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left" vertical="center"/>
      <protection hidden="1"/>
    </xf>
    <xf numFmtId="0" fontId="2" fillId="2" borderId="2" xfId="0" applyFont="1" applyFill="1" applyBorder="1" applyAlignment="1" applyProtection="1">
      <alignment horizontal="left" vertical="center"/>
      <protection hidden="1"/>
    </xf>
    <xf numFmtId="167" fontId="2" fillId="2" borderId="1" xfId="0" applyNumberFormat="1" applyFont="1" applyFill="1" applyBorder="1" applyAlignment="1" applyProtection="1">
      <alignment horizontal="center" vertical="center"/>
      <protection hidden="1"/>
    </xf>
    <xf numFmtId="167" fontId="2" fillId="2" borderId="2" xfId="0" applyNumberFormat="1" applyFont="1" applyFill="1" applyBorder="1" applyAlignment="1" applyProtection="1">
      <alignment horizontal="center" vertical="center"/>
      <protection hidden="1"/>
    </xf>
    <xf numFmtId="165" fontId="2" fillId="2" borderId="1" xfId="0" applyNumberFormat="1" applyFont="1" applyFill="1" applyBorder="1" applyAlignment="1" applyProtection="1">
      <alignment vertical="center"/>
      <protection hidden="1"/>
    </xf>
    <xf numFmtId="165" fontId="2" fillId="2" borderId="2" xfId="0" applyNumberFormat="1" applyFont="1" applyFill="1" applyBorder="1" applyAlignment="1" applyProtection="1">
      <alignment vertical="center"/>
      <protection hidden="1"/>
    </xf>
    <xf numFmtId="173" fontId="2" fillId="5" borderId="1" xfId="0" applyNumberFormat="1" applyFont="1" applyFill="1" applyBorder="1" applyAlignment="1" applyProtection="1">
      <alignment horizontal="center" vertical="center"/>
      <protection hidden="1"/>
    </xf>
    <xf numFmtId="173" fontId="2" fillId="5" borderId="2" xfId="0" applyNumberFormat="1" applyFont="1" applyFill="1" applyBorder="1" applyAlignment="1" applyProtection="1">
      <alignment horizontal="center" vertical="center"/>
      <protection hidden="1"/>
    </xf>
    <xf numFmtId="165" fontId="2" fillId="2" borderId="1" xfId="0" applyNumberFormat="1" applyFont="1" applyFill="1" applyBorder="1" applyAlignment="1" applyProtection="1">
      <alignment horizontal="center" vertical="center"/>
      <protection hidden="1"/>
    </xf>
    <xf numFmtId="165" fontId="2" fillId="2" borderId="2" xfId="0" applyNumberFormat="1" applyFont="1" applyFill="1" applyBorder="1" applyAlignment="1" applyProtection="1">
      <alignment horizontal="center" vertical="center"/>
      <protection hidden="1"/>
    </xf>
    <xf numFmtId="167" fontId="2" fillId="2" borderId="1" xfId="0" applyNumberFormat="1" applyFont="1" applyFill="1" applyBorder="1" applyAlignment="1" applyProtection="1">
      <alignment horizontal="left" vertical="center"/>
      <protection hidden="1"/>
    </xf>
    <xf numFmtId="167" fontId="2" fillId="2" borderId="2" xfId="0" applyNumberFormat="1" applyFont="1" applyFill="1" applyBorder="1" applyAlignment="1" applyProtection="1">
      <alignment horizontal="left" vertical="center"/>
      <protection hidden="1"/>
    </xf>
    <xf numFmtId="169" fontId="2" fillId="2" borderId="1" xfId="0" applyNumberFormat="1" applyFont="1" applyFill="1" applyBorder="1" applyAlignment="1" applyProtection="1">
      <alignment horizontal="left" vertical="center"/>
      <protection hidden="1"/>
    </xf>
    <xf numFmtId="169" fontId="2" fillId="2" borderId="2" xfId="0" applyNumberFormat="1" applyFont="1" applyFill="1" applyBorder="1" applyAlignment="1" applyProtection="1">
      <alignment horizontal="left" vertical="center"/>
      <protection hidden="1"/>
    </xf>
    <xf numFmtId="174" fontId="2" fillId="5" borderId="1" xfId="0" applyNumberFormat="1" applyFont="1" applyFill="1" applyBorder="1" applyAlignment="1" applyProtection="1">
      <alignment horizontal="center" vertical="center"/>
      <protection hidden="1"/>
    </xf>
    <xf numFmtId="174" fontId="2" fillId="5" borderId="2" xfId="0" applyNumberFormat="1" applyFont="1" applyFill="1" applyBorder="1" applyAlignment="1" applyProtection="1">
      <alignment horizontal="center" vertical="center"/>
      <protection hidden="1"/>
    </xf>
    <xf numFmtId="172" fontId="2" fillId="5" borderId="1" xfId="0" applyNumberFormat="1" applyFont="1" applyFill="1" applyBorder="1" applyAlignment="1" applyProtection="1">
      <alignment horizontal="center" vertical="center"/>
      <protection hidden="1"/>
    </xf>
    <xf numFmtId="172" fontId="2" fillId="5" borderId="2" xfId="0" applyNumberFormat="1" applyFont="1" applyFill="1" applyBorder="1" applyAlignment="1" applyProtection="1">
      <alignment horizontal="center" vertical="center"/>
      <protection hidden="1"/>
    </xf>
    <xf numFmtId="166" fontId="2" fillId="0" borderId="1" xfId="0" applyNumberFormat="1" applyFont="1" applyBorder="1" applyAlignment="1" applyProtection="1">
      <alignment horizontal="center" vertical="center"/>
      <protection locked="0"/>
    </xf>
    <xf numFmtId="166" fontId="2" fillId="0" borderId="2" xfId="0" applyNumberFormat="1" applyFont="1" applyBorder="1" applyAlignment="1" applyProtection="1">
      <alignment horizontal="center" vertical="center"/>
      <protection locked="0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9" fillId="6" borderId="5" xfId="0" applyFont="1" applyFill="1" applyBorder="1" applyAlignment="1" applyProtection="1">
      <alignment horizontal="center" vertical="center" wrapText="1"/>
      <protection locked="0"/>
    </xf>
    <xf numFmtId="0" fontId="39" fillId="6" borderId="2" xfId="0" applyFont="1" applyFill="1" applyBorder="1" applyAlignment="1" applyProtection="1">
      <alignment horizontal="center" vertical="center" wrapText="1"/>
      <protection locked="0"/>
    </xf>
    <xf numFmtId="0" fontId="9" fillId="6" borderId="1" xfId="0" applyFont="1" applyFill="1" applyBorder="1" applyAlignment="1" applyProtection="1">
      <alignment horizontal="center" vertical="center" wrapText="1"/>
      <protection locked="0"/>
    </xf>
    <xf numFmtId="0" fontId="9" fillId="6" borderId="5" xfId="0" applyFont="1" applyFill="1" applyBorder="1" applyAlignment="1" applyProtection="1">
      <alignment horizontal="center" vertical="center" wrapText="1"/>
      <protection locked="0"/>
    </xf>
    <xf numFmtId="0" fontId="9" fillId="6" borderId="2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vertical="center" wrapText="1"/>
      <protection hidden="1"/>
    </xf>
    <xf numFmtId="0" fontId="19" fillId="0" borderId="2" xfId="0" applyFont="1" applyBorder="1" applyAlignment="1" applyProtection="1">
      <alignment vertical="center" wrapText="1"/>
      <protection hidden="1"/>
    </xf>
    <xf numFmtId="175" fontId="5" fillId="0" borderId="4" xfId="0" applyNumberFormat="1" applyFont="1" applyBorder="1" applyAlignment="1" applyProtection="1">
      <alignment horizontal="left" vertical="center" wrapText="1"/>
      <protection locked="0"/>
    </xf>
    <xf numFmtId="176" fontId="2" fillId="5" borderId="1" xfId="0" applyNumberFormat="1" applyFont="1" applyFill="1" applyBorder="1" applyAlignment="1" applyProtection="1">
      <alignment horizontal="center" vertical="center"/>
      <protection hidden="1"/>
    </xf>
    <xf numFmtId="176" fontId="2" fillId="5" borderId="2" xfId="0" applyNumberFormat="1" applyFont="1" applyFill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vertical="center" wrapText="1"/>
      <protection locked="0"/>
    </xf>
    <xf numFmtId="0" fontId="29" fillId="0" borderId="4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10" fillId="0" borderId="1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173" fontId="29" fillId="4" borderId="1" xfId="0" applyNumberFormat="1" applyFont="1" applyFill="1" applyBorder="1" applyAlignment="1" applyProtection="1">
      <alignment horizontal="center" vertical="center"/>
      <protection locked="0"/>
    </xf>
    <xf numFmtId="173" fontId="29" fillId="4" borderId="2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 wrapText="1"/>
      <protection hidden="1"/>
    </xf>
    <xf numFmtId="0" fontId="2" fillId="0" borderId="2" xfId="0" applyFont="1" applyBorder="1" applyAlignment="1" applyProtection="1">
      <alignment vertical="center" wrapText="1"/>
      <protection hidden="1"/>
    </xf>
    <xf numFmtId="173" fontId="10" fillId="0" borderId="4" xfId="0" applyNumberFormat="1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176" fontId="10" fillId="0" borderId="4" xfId="0" applyNumberFormat="1" applyFont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 applyProtection="1">
      <alignment horizontal="center" vertical="center" wrapText="1"/>
      <protection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29" fillId="0" borderId="1" xfId="0" applyFont="1" applyBorder="1" applyAlignment="1" applyProtection="1">
      <alignment vertical="center" wrapText="1"/>
      <protection hidden="1"/>
    </xf>
    <xf numFmtId="0" fontId="29" fillId="0" borderId="2" xfId="0" applyFont="1" applyBorder="1" applyAlignment="1" applyProtection="1">
      <alignment vertical="center" wrapText="1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10" fillId="0" borderId="10" xfId="0" applyFont="1" applyBorder="1" applyAlignment="1" applyProtection="1">
      <alignment horizontal="center" vertical="center"/>
      <protection hidden="1"/>
    </xf>
    <xf numFmtId="0" fontId="10" fillId="0" borderId="11" xfId="0" applyFont="1" applyBorder="1" applyAlignment="1" applyProtection="1">
      <alignment horizontal="center" vertical="center"/>
      <protection hidden="1"/>
    </xf>
    <xf numFmtId="0" fontId="10" fillId="0" borderId="12" xfId="0" applyFont="1" applyBorder="1" applyAlignment="1" applyProtection="1">
      <alignment horizontal="center" vertical="center"/>
      <protection hidden="1"/>
    </xf>
    <xf numFmtId="168" fontId="10" fillId="0" borderId="4" xfId="0" applyNumberFormat="1" applyFont="1" applyBorder="1" applyAlignment="1" applyProtection="1">
      <alignment horizontal="center" vertical="center"/>
      <protection hidden="1"/>
    </xf>
    <xf numFmtId="172" fontId="10" fillId="0" borderId="4" xfId="0" applyNumberFormat="1" applyFont="1" applyBorder="1" applyAlignment="1" applyProtection="1">
      <alignment horizontal="center" vertical="center"/>
      <protection hidden="1"/>
    </xf>
    <xf numFmtId="164" fontId="6" fillId="0" borderId="0" xfId="0" applyNumberFormat="1" applyFont="1" applyAlignment="1" applyProtection="1">
      <alignment horizontal="center" vertical="center"/>
      <protection hidden="1"/>
    </xf>
    <xf numFmtId="14" fontId="8" fillId="0" borderId="0" xfId="0" applyNumberFormat="1" applyFont="1" applyAlignment="1" applyProtection="1">
      <alignment horizontal="left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173" fontId="17" fillId="0" borderId="0" xfId="0" applyNumberFormat="1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174" fontId="2" fillId="0" borderId="4" xfId="0" applyNumberFormat="1" applyFont="1" applyBorder="1" applyAlignment="1" applyProtection="1">
      <alignment horizontal="center" vertical="center"/>
      <protection hidden="1"/>
    </xf>
    <xf numFmtId="172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75" fontId="22" fillId="0" borderId="7" xfId="0" applyNumberFormat="1" applyFont="1" applyBorder="1" applyAlignment="1" applyProtection="1">
      <alignment horizontal="center" vertical="center"/>
      <protection hidden="1"/>
    </xf>
    <xf numFmtId="175" fontId="22" fillId="0" borderId="11" xfId="0" applyNumberFormat="1" applyFont="1" applyBorder="1" applyAlignment="1" applyProtection="1">
      <alignment horizontal="center" vertical="center"/>
      <protection hidden="1"/>
    </xf>
    <xf numFmtId="173" fontId="2" fillId="0" borderId="4" xfId="0" applyNumberFormat="1" applyFont="1" applyBorder="1" applyAlignment="1" applyProtection="1">
      <alignment horizontal="center" vertical="center"/>
      <protection hidden="1"/>
    </xf>
    <xf numFmtId="173" fontId="29" fillId="0" borderId="4" xfId="0" applyNumberFormat="1" applyFont="1" applyBorder="1" applyAlignment="1" applyProtection="1">
      <alignment horizontal="center" vertical="center"/>
      <protection hidden="1"/>
    </xf>
    <xf numFmtId="173" fontId="29" fillId="0" borderId="1" xfId="0" applyNumberFormat="1" applyFont="1" applyBorder="1" applyAlignment="1" applyProtection="1">
      <alignment horizontal="center" vertical="center"/>
      <protection hidden="1"/>
    </xf>
    <xf numFmtId="173" fontId="29" fillId="0" borderId="2" xfId="0" applyNumberFormat="1" applyFont="1" applyBorder="1" applyAlignment="1" applyProtection="1">
      <alignment horizontal="center" vertical="center"/>
      <protection hidden="1"/>
    </xf>
    <xf numFmtId="176" fontId="2" fillId="0" borderId="4" xfId="0" applyNumberFormat="1" applyFont="1" applyBorder="1" applyAlignment="1" applyProtection="1">
      <alignment horizontal="center" vertical="center"/>
      <protection hidden="1"/>
    </xf>
    <xf numFmtId="175" fontId="25" fillId="0" borderId="1" xfId="0" applyNumberFormat="1" applyFont="1" applyBorder="1" applyAlignment="1" applyProtection="1">
      <alignment horizontal="left" vertical="center" wrapText="1"/>
      <protection hidden="1"/>
    </xf>
    <xf numFmtId="175" fontId="25" fillId="0" borderId="13" xfId="0" applyNumberFormat="1" applyFont="1" applyBorder="1" applyAlignment="1" applyProtection="1">
      <alignment horizontal="left" vertical="center" wrapText="1"/>
      <protection hidden="1"/>
    </xf>
    <xf numFmtId="175" fontId="5" fillId="0" borderId="14" xfId="0" applyNumberFormat="1" applyFont="1" applyBorder="1" applyAlignment="1" applyProtection="1">
      <alignment horizontal="center" vertical="center" wrapText="1"/>
      <protection hidden="1"/>
    </xf>
    <xf numFmtId="175" fontId="5" fillId="0" borderId="13" xfId="0" applyNumberFormat="1" applyFont="1" applyBorder="1" applyAlignment="1" applyProtection="1">
      <alignment horizontal="center" vertical="center" wrapText="1"/>
      <protection hidden="1"/>
    </xf>
    <xf numFmtId="0" fontId="2" fillId="4" borderId="4" xfId="0" applyFont="1" applyFill="1" applyBorder="1" applyAlignment="1" applyProtection="1">
      <alignment vertical="center" wrapText="1"/>
      <protection hidden="1"/>
    </xf>
    <xf numFmtId="175" fontId="5" fillId="0" borderId="5" xfId="0" applyNumberFormat="1" applyFont="1" applyBorder="1" applyAlignment="1" applyProtection="1">
      <alignment horizontal="center" vertical="center" wrapText="1"/>
      <protection hidden="1"/>
    </xf>
    <xf numFmtId="175" fontId="5" fillId="0" borderId="16" xfId="0" applyNumberFormat="1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vertical="center" wrapText="1"/>
      <protection hidden="1"/>
    </xf>
    <xf numFmtId="0" fontId="30" fillId="0" borderId="4" xfId="0" applyFont="1" applyBorder="1" applyAlignment="1" applyProtection="1">
      <alignment vertical="center" wrapText="1"/>
      <protection hidden="1"/>
    </xf>
    <xf numFmtId="173" fontId="30" fillId="0" borderId="4" xfId="0" applyNumberFormat="1" applyFont="1" applyBorder="1" applyAlignment="1" applyProtection="1">
      <alignment horizontal="center" vertical="center"/>
      <protection hidden="1"/>
    </xf>
    <xf numFmtId="175" fontId="24" fillId="0" borderId="14" xfId="0" applyNumberFormat="1" applyFont="1" applyBorder="1" applyAlignment="1" applyProtection="1">
      <alignment horizontal="center" vertical="center" wrapText="1"/>
      <protection hidden="1"/>
    </xf>
    <xf numFmtId="175" fontId="24" fillId="0" borderId="13" xfId="0" applyNumberFormat="1" applyFont="1" applyBorder="1" applyAlignment="1" applyProtection="1">
      <alignment horizontal="center" vertical="center" wrapText="1"/>
      <protection hidden="1"/>
    </xf>
    <xf numFmtId="175" fontId="25" fillId="0" borderId="14" xfId="0" applyNumberFormat="1" applyFont="1" applyBorder="1" applyAlignment="1" applyProtection="1">
      <alignment horizontal="center" vertical="center" wrapText="1"/>
      <protection hidden="1"/>
    </xf>
    <xf numFmtId="175" fontId="25" fillId="0" borderId="13" xfId="0" applyNumberFormat="1" applyFont="1" applyBorder="1" applyAlignment="1" applyProtection="1">
      <alignment horizontal="center" vertical="center" wrapText="1"/>
      <protection hidden="1"/>
    </xf>
    <xf numFmtId="0" fontId="30" fillId="0" borderId="1" xfId="0" applyFont="1" applyBorder="1" applyAlignment="1" applyProtection="1">
      <alignment vertical="center" wrapText="1"/>
      <protection hidden="1"/>
    </xf>
    <xf numFmtId="0" fontId="30" fillId="0" borderId="2" xfId="0" applyFont="1" applyBorder="1" applyAlignment="1" applyProtection="1">
      <alignment vertical="center" wrapText="1"/>
      <protection hidden="1"/>
    </xf>
    <xf numFmtId="14" fontId="21" fillId="0" borderId="0" xfId="0" applyNumberFormat="1" applyFont="1" applyAlignment="1" applyProtection="1">
      <alignment horizontal="left" vertical="center"/>
      <protection hidden="1"/>
    </xf>
    <xf numFmtId="175" fontId="24" fillId="0" borderId="14" xfId="0" applyNumberFormat="1" applyFont="1" applyBorder="1" applyAlignment="1" applyProtection="1">
      <alignment horizontal="left" vertical="center" wrapText="1"/>
      <protection hidden="1"/>
    </xf>
    <xf numFmtId="175" fontId="24" fillId="0" borderId="5" xfId="0" applyNumberFormat="1" applyFont="1" applyBorder="1" applyAlignment="1" applyProtection="1">
      <alignment horizontal="left" vertical="center" wrapText="1"/>
      <protection hidden="1"/>
    </xf>
    <xf numFmtId="175" fontId="24" fillId="0" borderId="2" xfId="0" applyNumberFormat="1" applyFont="1" applyBorder="1" applyAlignment="1" applyProtection="1">
      <alignment horizontal="left" vertical="center" wrapText="1"/>
      <protection hidden="1"/>
    </xf>
    <xf numFmtId="0" fontId="29" fillId="0" borderId="4" xfId="0" applyFont="1" applyBorder="1" applyAlignment="1" applyProtection="1">
      <alignment vertical="center" wrapText="1"/>
      <protection hidden="1"/>
    </xf>
    <xf numFmtId="175" fontId="5" fillId="0" borderId="16" xfId="0" applyNumberFormat="1" applyFont="1" applyBorder="1" applyAlignment="1" applyProtection="1">
      <alignment horizontal="center" vertical="center"/>
      <protection hidden="1"/>
    </xf>
    <xf numFmtId="175" fontId="25" fillId="0" borderId="16" xfId="0" applyNumberFormat="1" applyFont="1" applyBorder="1" applyAlignment="1" applyProtection="1">
      <alignment horizontal="center" vertical="center" wrapText="1"/>
      <protection hidden="1"/>
    </xf>
    <xf numFmtId="175" fontId="23" fillId="0" borderId="16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2" xfId="0" applyFont="1" applyBorder="1" applyAlignment="1" applyProtection="1">
      <alignment horizontal="left" vertical="center" wrapText="1"/>
      <protection hidden="1"/>
    </xf>
    <xf numFmtId="175" fontId="5" fillId="0" borderId="15" xfId="0" applyNumberFormat="1" applyFont="1" applyBorder="1" applyAlignment="1" applyProtection="1">
      <alignment horizontal="center" vertical="center"/>
      <protection hidden="1"/>
    </xf>
    <xf numFmtId="165" fontId="2" fillId="2" borderId="4" xfId="0" applyNumberFormat="1" applyFont="1" applyFill="1" applyBorder="1" applyAlignment="1">
      <alignment vertical="center"/>
    </xf>
    <xf numFmtId="173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4" fontId="2" fillId="0" borderId="4" xfId="0" applyNumberFormat="1" applyFont="1" applyBorder="1" applyAlignment="1">
      <alignment horizontal="center" vertical="center"/>
    </xf>
    <xf numFmtId="172" fontId="2" fillId="0" borderId="4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167" fontId="2" fillId="2" borderId="4" xfId="0" applyNumberFormat="1" applyFont="1" applyFill="1" applyBorder="1" applyAlignment="1">
      <alignment horizontal="center" vertical="center"/>
    </xf>
    <xf numFmtId="175" fontId="24" fillId="0" borderId="14" xfId="0" applyNumberFormat="1" applyFont="1" applyBorder="1" applyAlignment="1" applyProtection="1">
      <alignment horizontal="left" vertical="center" wrapText="1"/>
      <protection locked="0"/>
    </xf>
    <xf numFmtId="175" fontId="24" fillId="0" borderId="5" xfId="0" applyNumberFormat="1" applyFont="1" applyBorder="1" applyAlignment="1" applyProtection="1">
      <alignment horizontal="left" vertical="center" wrapText="1"/>
      <protection locked="0"/>
    </xf>
    <xf numFmtId="175" fontId="24" fillId="0" borderId="2" xfId="0" applyNumberFormat="1" applyFont="1" applyBorder="1" applyAlignment="1" applyProtection="1">
      <alignment horizontal="left" vertical="center" wrapText="1"/>
      <protection locked="0"/>
    </xf>
    <xf numFmtId="165" fontId="2" fillId="2" borderId="4" xfId="0" applyNumberFormat="1" applyFont="1" applyFill="1" applyBorder="1" applyAlignment="1">
      <alignment horizontal="center" vertical="center"/>
    </xf>
    <xf numFmtId="167" fontId="2" fillId="2" borderId="4" xfId="0" applyNumberFormat="1" applyFont="1" applyFill="1" applyBorder="1" applyAlignment="1">
      <alignment horizontal="left" vertical="center"/>
    </xf>
    <xf numFmtId="169" fontId="2" fillId="2" borderId="4" xfId="0" applyNumberFormat="1" applyFont="1" applyFill="1" applyBorder="1" applyAlignment="1">
      <alignment horizontal="left" vertical="center"/>
    </xf>
    <xf numFmtId="175" fontId="5" fillId="0" borderId="16" xfId="0" applyNumberFormat="1" applyFont="1" applyBorder="1" applyAlignment="1" applyProtection="1">
      <alignment horizontal="center" vertical="center"/>
      <protection locked="0"/>
    </xf>
    <xf numFmtId="175" fontId="23" fillId="0" borderId="16" xfId="0" applyNumberFormat="1" applyFont="1" applyBorder="1" applyAlignment="1" applyProtection="1">
      <alignment horizontal="center" vertical="center"/>
      <protection locked="0"/>
    </xf>
    <xf numFmtId="176" fontId="2" fillId="0" borderId="4" xfId="0" applyNumberFormat="1" applyFont="1" applyBorder="1" applyAlignment="1" applyProtection="1">
      <alignment horizontal="center" vertical="center"/>
      <protection locked="0"/>
    </xf>
    <xf numFmtId="175" fontId="5" fillId="0" borderId="15" xfId="0" applyNumberFormat="1" applyFont="1" applyBorder="1" applyAlignment="1" applyProtection="1">
      <alignment horizontal="center" vertical="center"/>
      <protection locked="0"/>
    </xf>
    <xf numFmtId="173" fontId="10" fillId="0" borderId="4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8" fontId="10" fillId="0" borderId="4" xfId="0" applyNumberFormat="1" applyFont="1" applyBorder="1" applyAlignment="1">
      <alignment horizontal="center" vertical="center"/>
    </xf>
    <xf numFmtId="172" fontId="10" fillId="0" borderId="4" xfId="0" applyNumberFormat="1" applyFont="1" applyBorder="1" applyAlignment="1">
      <alignment horizontal="center" vertical="center"/>
    </xf>
    <xf numFmtId="173" fontId="29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175" fontId="5" fillId="0" borderId="16" xfId="0" applyNumberFormat="1" applyFont="1" applyBorder="1" applyAlignment="1" applyProtection="1">
      <alignment horizontal="center" vertical="center" wrapText="1"/>
      <protection locked="0"/>
    </xf>
    <xf numFmtId="175" fontId="5" fillId="0" borderId="14" xfId="0" applyNumberFormat="1" applyFont="1" applyBorder="1" applyAlignment="1" applyProtection="1">
      <alignment horizontal="center" vertical="center" wrapText="1"/>
      <protection locked="0"/>
    </xf>
    <xf numFmtId="175" fontId="5" fillId="0" borderId="13" xfId="0" applyNumberFormat="1" applyFont="1" applyBorder="1" applyAlignment="1" applyProtection="1">
      <alignment horizontal="center" vertical="center" wrapText="1"/>
      <protection locked="0"/>
    </xf>
    <xf numFmtId="175" fontId="24" fillId="0" borderId="14" xfId="0" applyNumberFormat="1" applyFont="1" applyBorder="1" applyAlignment="1" applyProtection="1">
      <alignment horizontal="center" vertical="center" wrapText="1"/>
      <protection locked="0"/>
    </xf>
    <xf numFmtId="175" fontId="24" fillId="0" borderId="13" xfId="0" applyNumberFormat="1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vertical="center" wrapText="1"/>
      <protection locked="0"/>
    </xf>
    <xf numFmtId="0" fontId="19" fillId="0" borderId="2" xfId="0" applyFont="1" applyBorder="1" applyAlignment="1" applyProtection="1">
      <alignment vertical="center" wrapText="1"/>
      <protection locked="0"/>
    </xf>
    <xf numFmtId="14" fontId="21" fillId="0" borderId="0" xfId="0" applyNumberFormat="1" applyFont="1" applyAlignment="1">
      <alignment horizontal="left" vertical="center"/>
    </xf>
    <xf numFmtId="0" fontId="30" fillId="0" borderId="1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173" fontId="30" fillId="0" borderId="4" xfId="0" applyNumberFormat="1" applyFont="1" applyBorder="1" applyAlignment="1">
      <alignment horizontal="center" vertical="center"/>
    </xf>
    <xf numFmtId="175" fontId="25" fillId="0" borderId="14" xfId="0" applyNumberFormat="1" applyFont="1" applyBorder="1" applyAlignment="1" applyProtection="1">
      <alignment horizontal="center" vertical="center" wrapText="1"/>
      <protection locked="0"/>
    </xf>
    <xf numFmtId="175" fontId="25" fillId="0" borderId="13" xfId="0" applyNumberFormat="1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0" fillId="0" borderId="4" xfId="0" applyFont="1" applyBorder="1" applyAlignment="1" applyProtection="1">
      <alignment vertical="center" wrapText="1"/>
      <protection locked="0"/>
    </xf>
    <xf numFmtId="175" fontId="5" fillId="0" borderId="5" xfId="0" applyNumberFormat="1" applyFont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vertical="center" wrapText="1"/>
      <protection locked="0"/>
    </xf>
    <xf numFmtId="173" fontId="29" fillId="0" borderId="1" xfId="0" applyNumberFormat="1" applyFont="1" applyBorder="1" applyAlignment="1">
      <alignment horizontal="center" vertical="center"/>
    </xf>
    <xf numFmtId="173" fontId="29" fillId="0" borderId="2" xfId="0" applyNumberFormat="1" applyFont="1" applyBorder="1" applyAlignment="1">
      <alignment horizontal="center" vertical="center"/>
    </xf>
    <xf numFmtId="175" fontId="5" fillId="0" borderId="1" xfId="0" applyNumberFormat="1" applyFont="1" applyBorder="1" applyAlignment="1" applyProtection="1">
      <alignment horizontal="center" vertical="center"/>
      <protection locked="0"/>
    </xf>
    <xf numFmtId="175" fontId="5" fillId="0" borderId="13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17" fillId="0" borderId="0" xfId="0" applyFont="1" applyAlignment="1">
      <alignment horizontal="center" vertical="center"/>
    </xf>
    <xf numFmtId="173" fontId="1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center" vertical="center"/>
      <protection locked="0"/>
    </xf>
    <xf numFmtId="175" fontId="5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0" fillId="0" borderId="1" xfId="0" applyFont="1" applyBorder="1" applyAlignment="1" applyProtection="1">
      <alignment vertical="center" wrapText="1"/>
      <protection locked="0"/>
    </xf>
    <xf numFmtId="0" fontId="30" fillId="0" borderId="2" xfId="0" applyFont="1" applyBorder="1" applyAlignment="1" applyProtection="1">
      <alignment vertical="center" wrapText="1"/>
      <protection locked="0"/>
    </xf>
  </cellXfs>
  <cellStyles count="2">
    <cellStyle name="Normal" xfId="0" builtinId="0"/>
    <cellStyle name="ハイパーリンク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276224</xdr:colOff>
      <xdr:row>0</xdr:row>
      <xdr:rowOff>123825</xdr:rowOff>
    </xdr:from>
    <xdr:to>
      <xdr:col>4</xdr:col>
      <xdr:colOff>209549</xdr:colOff>
      <xdr:row>7</xdr:row>
      <xdr:rowOff>123825</xdr:rowOff>
    </xdr:to>
    <xdr:pic>
      <xdr:nvPicPr>
        <xdr:cNvPr id="2" name="Picture 1" descr="A logo of a college&#10;&#10;AI-generated content may be incorrect.">
          <a:extLst>
            <a:ext uri="{FF2B5EF4-FFF2-40B4-BE49-F238E27FC236}">
              <a16:creationId xmlns:a16="http://schemas.microsoft.com/office/drawing/2014/main" id="{1B3044BF-0AFF-DF2E-CD00-8B305771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4" y="123825"/>
          <a:ext cx="1304925" cy="1200150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514348</xdr:colOff>
      <xdr:row>0</xdr:row>
      <xdr:rowOff>104775</xdr:rowOff>
    </xdr:from>
    <xdr:to>
      <xdr:col>13</xdr:col>
      <xdr:colOff>590549</xdr:colOff>
      <xdr:row>7</xdr:row>
      <xdr:rowOff>161925</xdr:rowOff>
    </xdr:to>
    <xdr:pic>
      <xdr:nvPicPr>
        <xdr:cNvPr id="3" name="Picture 2" descr="A logo of a ship wheel&#10;&#10;AI-generated content may be incorrect.">
          <a:extLst>
            <a:ext uri="{FF2B5EF4-FFF2-40B4-BE49-F238E27FC236}">
              <a16:creationId xmlns:a16="http://schemas.microsoft.com/office/drawing/2014/main" id="{A2A6FA7D-BA9B-052C-448B-AEA3958E5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48" y="104775"/>
          <a:ext cx="1447801" cy="125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0</xdr:row>
      <xdr:rowOff>95250</xdr:rowOff>
    </xdr:from>
    <xdr:to>
      <xdr:col>5</xdr:col>
      <xdr:colOff>243840</xdr:colOff>
      <xdr:row>0</xdr:row>
      <xdr:rowOff>1158240</xdr:rowOff>
    </xdr:to>
    <xdr:pic>
      <xdr:nvPicPr>
        <xdr:cNvPr id="2" name="Picture 1" descr="A logo of a college&#10;&#10;AI-generated content may be incorrect.">
          <a:extLst>
            <a:ext uri="{FF2B5EF4-FFF2-40B4-BE49-F238E27FC236}">
              <a16:creationId xmlns:a16="http://schemas.microsoft.com/office/drawing/2014/main" id="{27D0687B-207D-FCED-F4C0-D0301EE8A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5250"/>
          <a:ext cx="1062990" cy="1062990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0</xdr:row>
      <xdr:rowOff>0</xdr:rowOff>
    </xdr:from>
    <xdr:to>
      <xdr:col>12</xdr:col>
      <xdr:colOff>328295</xdr:colOff>
      <xdr:row>0</xdr:row>
      <xdr:rowOff>1233170</xdr:rowOff>
    </xdr:to>
    <xdr:pic>
      <xdr:nvPicPr>
        <xdr:cNvPr id="3" name="Picture 2" descr="A logo of a ship wheel&#10;&#10;AI-generated content may be incorrect.">
          <a:extLst>
            <a:ext uri="{FF2B5EF4-FFF2-40B4-BE49-F238E27FC236}">
              <a16:creationId xmlns:a16="http://schemas.microsoft.com/office/drawing/2014/main" id="{F4BE90B9-F4C3-B0D1-0C25-24CEBDCA8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0"/>
          <a:ext cx="1233170" cy="12331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0</xdr:row>
      <xdr:rowOff>85725</xdr:rowOff>
    </xdr:from>
    <xdr:to>
      <xdr:col>6</xdr:col>
      <xdr:colOff>552450</xdr:colOff>
      <xdr:row>0</xdr:row>
      <xdr:rowOff>1028700</xdr:rowOff>
    </xdr:to>
    <xdr:pic>
      <xdr:nvPicPr>
        <xdr:cNvPr id="2" name="Picture 1" descr="A logo of a college&#10;&#10;AI-generated content may be incorrect.">
          <a:extLst>
            <a:ext uri="{FF2B5EF4-FFF2-40B4-BE49-F238E27FC236}">
              <a16:creationId xmlns:a16="http://schemas.microsoft.com/office/drawing/2014/main" id="{B82978C2-E83C-4A23-889B-695DCCB8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942975" cy="94297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0</xdr:row>
      <xdr:rowOff>9525</xdr:rowOff>
    </xdr:from>
    <xdr:to>
      <xdr:col>14</xdr:col>
      <xdr:colOff>352425</xdr:colOff>
      <xdr:row>1</xdr:row>
      <xdr:rowOff>28575</xdr:rowOff>
    </xdr:to>
    <xdr:pic>
      <xdr:nvPicPr>
        <xdr:cNvPr id="3" name="Picture 2" descr="A logo of a ship wheel&#10;&#10;AI-generated content may be incorrect.">
          <a:extLst>
            <a:ext uri="{FF2B5EF4-FFF2-40B4-BE49-F238E27FC236}">
              <a16:creationId xmlns:a16="http://schemas.microsoft.com/office/drawing/2014/main" id="{29D57CC6-F8F4-4798-8F9B-4CAECA29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9525"/>
          <a:ext cx="1152525" cy="1152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54</xdr:row>
      <xdr:rowOff>0</xdr:rowOff>
    </xdr:from>
    <xdr:ext cx="194453" cy="3838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87171C-DA9D-4B2C-BBC6-BAFC06144EEB}"/>
            </a:ext>
          </a:extLst>
        </xdr:cNvPr>
        <xdr:cNvSpPr txBox="1"/>
      </xdr:nvSpPr>
      <xdr:spPr>
        <a:xfrm>
          <a:off x="2867025" y="12249150"/>
          <a:ext cx="194453" cy="383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16</xdr:col>
      <xdr:colOff>476248</xdr:colOff>
      <xdr:row>0</xdr:row>
      <xdr:rowOff>204107</xdr:rowOff>
    </xdr:from>
    <xdr:to>
      <xdr:col>18</xdr:col>
      <xdr:colOff>176892</xdr:colOff>
      <xdr:row>0</xdr:row>
      <xdr:rowOff>1156608</xdr:rowOff>
    </xdr:to>
    <xdr:pic>
      <xdr:nvPicPr>
        <xdr:cNvPr id="3" name="Picture 2" descr="A logo of a college&#10;&#10;AI-generated content may be incorrect.">
          <a:extLst>
            <a:ext uri="{FF2B5EF4-FFF2-40B4-BE49-F238E27FC236}">
              <a16:creationId xmlns:a16="http://schemas.microsoft.com/office/drawing/2014/main" id="{3889B1EE-103F-4641-AD0D-AF582EFDB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3" y="204107"/>
          <a:ext cx="948419" cy="952501"/>
        </a:xfrm>
        <a:prstGeom prst="rect">
          <a:avLst/>
        </a:prstGeom>
      </xdr:spPr>
    </xdr:pic>
    <xdr:clientData/>
  </xdr:twoCellAnchor>
  <xdr:twoCellAnchor editAs="oneCell">
    <xdr:from>
      <xdr:col>25</xdr:col>
      <xdr:colOff>495459</xdr:colOff>
      <xdr:row>0</xdr:row>
      <xdr:rowOff>136073</xdr:rowOff>
    </xdr:from>
    <xdr:to>
      <xdr:col>27</xdr:col>
      <xdr:colOff>248129</xdr:colOff>
      <xdr:row>0</xdr:row>
      <xdr:rowOff>1251859</xdr:rowOff>
    </xdr:to>
    <xdr:pic>
      <xdr:nvPicPr>
        <xdr:cNvPr id="4" name="Picture 3" descr="A logo of a ship wheel&#10;&#10;AI-generated content may be incorrect.">
          <a:extLst>
            <a:ext uri="{FF2B5EF4-FFF2-40B4-BE49-F238E27FC236}">
              <a16:creationId xmlns:a16="http://schemas.microsoft.com/office/drawing/2014/main" id="{7F646D86-F0D8-45FE-AFAE-821278A10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9283" y="136073"/>
          <a:ext cx="1108581" cy="1115786"/>
        </a:xfrm>
        <a:prstGeom prst="rect">
          <a:avLst/>
        </a:prstGeom>
      </xdr:spPr>
    </xdr:pic>
    <xdr:clientData/>
  </xdr:twoCellAnchor>
  <xdr:oneCellAnchor>
    <xdr:from>
      <xdr:col>2</xdr:col>
      <xdr:colOff>695325</xdr:colOff>
      <xdr:row>101</xdr:row>
      <xdr:rowOff>0</xdr:rowOff>
    </xdr:from>
    <xdr:ext cx="194453" cy="38386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45AC77-4AC9-4F4A-8347-9113D5F340E2}"/>
            </a:ext>
          </a:extLst>
        </xdr:cNvPr>
        <xdr:cNvSpPr txBox="1"/>
      </xdr:nvSpPr>
      <xdr:spPr>
        <a:xfrm>
          <a:off x="2867025" y="21736050"/>
          <a:ext cx="194453" cy="383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54</xdr:row>
      <xdr:rowOff>0</xdr:rowOff>
    </xdr:from>
    <xdr:ext cx="194453" cy="3838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B44E2F-6A71-4501-9532-1D5585FC01CB}"/>
            </a:ext>
          </a:extLst>
        </xdr:cNvPr>
        <xdr:cNvSpPr txBox="1"/>
      </xdr:nvSpPr>
      <xdr:spPr>
        <a:xfrm>
          <a:off x="2638425" y="9867900"/>
          <a:ext cx="194453" cy="383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16</xdr:col>
      <xdr:colOff>476248</xdr:colOff>
      <xdr:row>0</xdr:row>
      <xdr:rowOff>204107</xdr:rowOff>
    </xdr:from>
    <xdr:to>
      <xdr:col>18</xdr:col>
      <xdr:colOff>176892</xdr:colOff>
      <xdr:row>0</xdr:row>
      <xdr:rowOff>1156608</xdr:rowOff>
    </xdr:to>
    <xdr:pic>
      <xdr:nvPicPr>
        <xdr:cNvPr id="4" name="Picture 3" descr="A logo of a college&#10;&#10;AI-generated content may be incorrect.">
          <a:extLst>
            <a:ext uri="{FF2B5EF4-FFF2-40B4-BE49-F238E27FC236}">
              <a16:creationId xmlns:a16="http://schemas.microsoft.com/office/drawing/2014/main" id="{CB7A3707-A22B-C524-8450-03C71A71C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9069" y="204107"/>
          <a:ext cx="952501" cy="952501"/>
        </a:xfrm>
        <a:prstGeom prst="rect">
          <a:avLst/>
        </a:prstGeom>
      </xdr:spPr>
    </xdr:pic>
    <xdr:clientData/>
  </xdr:twoCellAnchor>
  <xdr:twoCellAnchor editAs="oneCell">
    <xdr:from>
      <xdr:col>25</xdr:col>
      <xdr:colOff>484253</xdr:colOff>
      <xdr:row>0</xdr:row>
      <xdr:rowOff>158485</xdr:rowOff>
    </xdr:from>
    <xdr:to>
      <xdr:col>27</xdr:col>
      <xdr:colOff>236923</xdr:colOff>
      <xdr:row>0</xdr:row>
      <xdr:rowOff>1274271</xdr:rowOff>
    </xdr:to>
    <xdr:pic>
      <xdr:nvPicPr>
        <xdr:cNvPr id="5" name="Picture 4" descr="A logo of a ship wheel&#10;&#10;AI-generated content may be incorrect.">
          <a:extLst>
            <a:ext uri="{FF2B5EF4-FFF2-40B4-BE49-F238E27FC236}">
              <a16:creationId xmlns:a16="http://schemas.microsoft.com/office/drawing/2014/main" id="{D011CBC7-E971-6DAA-9A91-2A70A4ACA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8077" y="158485"/>
          <a:ext cx="1108581" cy="1115786"/>
        </a:xfrm>
        <a:prstGeom prst="rect">
          <a:avLst/>
        </a:prstGeom>
      </xdr:spPr>
    </xdr:pic>
    <xdr:clientData/>
  </xdr:twoCellAnchor>
  <xdr:oneCellAnchor>
    <xdr:from>
      <xdr:col>2</xdr:col>
      <xdr:colOff>695325</xdr:colOff>
      <xdr:row>101</xdr:row>
      <xdr:rowOff>0</xdr:rowOff>
    </xdr:from>
    <xdr:ext cx="194453" cy="38386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59FB56-F2F6-4A1D-B512-8FB0458B1398}"/>
            </a:ext>
          </a:extLst>
        </xdr:cNvPr>
        <xdr:cNvSpPr txBox="1"/>
      </xdr:nvSpPr>
      <xdr:spPr>
        <a:xfrm>
          <a:off x="2869266" y="12225618"/>
          <a:ext cx="194453" cy="383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54</xdr:row>
      <xdr:rowOff>0</xdr:rowOff>
    </xdr:from>
    <xdr:ext cx="194453" cy="3838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B8303-0132-4D2E-99FB-DDF72621BCC7}"/>
            </a:ext>
          </a:extLst>
        </xdr:cNvPr>
        <xdr:cNvSpPr txBox="1"/>
      </xdr:nvSpPr>
      <xdr:spPr>
        <a:xfrm>
          <a:off x="2867025" y="12249150"/>
          <a:ext cx="194453" cy="383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16</xdr:col>
      <xdr:colOff>476248</xdr:colOff>
      <xdr:row>0</xdr:row>
      <xdr:rowOff>204107</xdr:rowOff>
    </xdr:from>
    <xdr:to>
      <xdr:col>18</xdr:col>
      <xdr:colOff>176892</xdr:colOff>
      <xdr:row>0</xdr:row>
      <xdr:rowOff>1156608</xdr:rowOff>
    </xdr:to>
    <xdr:pic>
      <xdr:nvPicPr>
        <xdr:cNvPr id="3" name="Picture 2" descr="A logo of a college&#10;&#10;AI-generated content may be incorrect.">
          <a:extLst>
            <a:ext uri="{FF2B5EF4-FFF2-40B4-BE49-F238E27FC236}">
              <a16:creationId xmlns:a16="http://schemas.microsoft.com/office/drawing/2014/main" id="{6B0185F0-DB49-434E-8130-66F52CDFF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3" y="204107"/>
          <a:ext cx="948419" cy="952501"/>
        </a:xfrm>
        <a:prstGeom prst="rect">
          <a:avLst/>
        </a:prstGeom>
      </xdr:spPr>
    </xdr:pic>
    <xdr:clientData/>
  </xdr:twoCellAnchor>
  <xdr:twoCellAnchor editAs="oneCell">
    <xdr:from>
      <xdr:col>25</xdr:col>
      <xdr:colOff>461841</xdr:colOff>
      <xdr:row>0</xdr:row>
      <xdr:rowOff>102456</xdr:rowOff>
    </xdr:from>
    <xdr:to>
      <xdr:col>27</xdr:col>
      <xdr:colOff>214511</xdr:colOff>
      <xdr:row>0</xdr:row>
      <xdr:rowOff>1218242</xdr:rowOff>
    </xdr:to>
    <xdr:pic>
      <xdr:nvPicPr>
        <xdr:cNvPr id="4" name="Picture 3" descr="A logo of a ship wheel&#10;&#10;AI-generated content may be incorrect.">
          <a:extLst>
            <a:ext uri="{FF2B5EF4-FFF2-40B4-BE49-F238E27FC236}">
              <a16:creationId xmlns:a16="http://schemas.microsoft.com/office/drawing/2014/main" id="{0CF3C056-F660-4EF9-9E28-03B9F5258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5665" y="102456"/>
          <a:ext cx="1108581" cy="1115786"/>
        </a:xfrm>
        <a:prstGeom prst="rect">
          <a:avLst/>
        </a:prstGeom>
      </xdr:spPr>
    </xdr:pic>
    <xdr:clientData/>
  </xdr:twoCellAnchor>
  <xdr:oneCellAnchor>
    <xdr:from>
      <xdr:col>2</xdr:col>
      <xdr:colOff>695325</xdr:colOff>
      <xdr:row>101</xdr:row>
      <xdr:rowOff>0</xdr:rowOff>
    </xdr:from>
    <xdr:ext cx="194453" cy="38386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C01012-E73E-4BB3-A60D-456DCA08EF91}"/>
            </a:ext>
          </a:extLst>
        </xdr:cNvPr>
        <xdr:cNvSpPr txBox="1"/>
      </xdr:nvSpPr>
      <xdr:spPr>
        <a:xfrm>
          <a:off x="2867025" y="21736050"/>
          <a:ext cx="194453" cy="383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52</xdr:row>
      <xdr:rowOff>0</xdr:rowOff>
    </xdr:from>
    <xdr:ext cx="194453" cy="3838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638425" y="9877425"/>
          <a:ext cx="194453" cy="383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31758</xdr:colOff>
      <xdr:row>0</xdr:row>
      <xdr:rowOff>59530</xdr:rowOff>
    </xdr:from>
    <xdr:to>
      <xdr:col>2</xdr:col>
      <xdr:colOff>0</xdr:colOff>
      <xdr:row>1</xdr:row>
      <xdr:rowOff>228221</xdr:rowOff>
    </xdr:to>
    <xdr:pic>
      <xdr:nvPicPr>
        <xdr:cNvPr id="3" name="Picture 2" descr="Logo Megacarrier Hea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5674" t="7595" r="4255" b="11392"/>
        <a:stretch/>
      </xdr:blipFill>
      <xdr:spPr bwMode="auto">
        <a:xfrm>
          <a:off x="436571" y="59530"/>
          <a:ext cx="1516054" cy="561597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52</xdr:row>
      <xdr:rowOff>0</xdr:rowOff>
    </xdr:from>
    <xdr:ext cx="194453" cy="3838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638425" y="9877425"/>
          <a:ext cx="194453" cy="383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31758</xdr:colOff>
      <xdr:row>0</xdr:row>
      <xdr:rowOff>0</xdr:rowOff>
    </xdr:from>
    <xdr:to>
      <xdr:col>1</xdr:col>
      <xdr:colOff>689665</xdr:colOff>
      <xdr:row>1</xdr:row>
      <xdr:rowOff>168691</xdr:rowOff>
    </xdr:to>
    <xdr:pic>
      <xdr:nvPicPr>
        <xdr:cNvPr id="3" name="Picture 2" descr="Logo Megacarrier Hea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5674" t="7595" r="4255" b="11392"/>
        <a:stretch/>
      </xdr:blipFill>
      <xdr:spPr bwMode="auto">
        <a:xfrm>
          <a:off x="431808" y="0"/>
          <a:ext cx="657907" cy="559216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52</xdr:row>
      <xdr:rowOff>0</xdr:rowOff>
    </xdr:from>
    <xdr:ext cx="194453" cy="3838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638425" y="9877425"/>
          <a:ext cx="194453" cy="383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31758</xdr:colOff>
      <xdr:row>0</xdr:row>
      <xdr:rowOff>0</xdr:rowOff>
    </xdr:from>
    <xdr:to>
      <xdr:col>1</xdr:col>
      <xdr:colOff>689665</xdr:colOff>
      <xdr:row>1</xdr:row>
      <xdr:rowOff>168691</xdr:rowOff>
    </xdr:to>
    <xdr:pic>
      <xdr:nvPicPr>
        <xdr:cNvPr id="3" name="Picture 2" descr="Logo Megacarrier Head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5674" t="7595" r="4255" b="11392"/>
        <a:stretch/>
      </xdr:blipFill>
      <xdr:spPr bwMode="auto">
        <a:xfrm>
          <a:off x="431808" y="0"/>
          <a:ext cx="657907" cy="559216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52</xdr:row>
      <xdr:rowOff>0</xdr:rowOff>
    </xdr:from>
    <xdr:ext cx="194453" cy="3838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638425" y="9858375"/>
          <a:ext cx="194453" cy="383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18000</xdr:colOff>
      <xdr:row>0</xdr:row>
      <xdr:rowOff>85725</xdr:rowOff>
    </xdr:from>
    <xdr:to>
      <xdr:col>1</xdr:col>
      <xdr:colOff>1513416</xdr:colOff>
      <xdr:row>1</xdr:row>
      <xdr:rowOff>167482</xdr:rowOff>
    </xdr:to>
    <xdr:pic>
      <xdr:nvPicPr>
        <xdr:cNvPr id="3" name="Picture 2" descr="Logo Megacarrier Head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5674" t="7595" r="4255" b="11392"/>
        <a:stretch/>
      </xdr:blipFill>
      <xdr:spPr bwMode="auto">
        <a:xfrm>
          <a:off x="420167" y="85725"/>
          <a:ext cx="1495416" cy="4733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FBF0-3552-4C22-82A2-D42451955982}">
  <dimension ref="A1:P35"/>
  <sheetViews>
    <sheetView showGridLines="0" showRowColHeaders="0" tabSelected="1" zoomScale="68" zoomScaleNormal="85" workbookViewId="0">
      <selection activeCell="F21" sqref="F21:K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3.5"/>
  <sheetData>
    <row r="1" spans="1:16" ht="13.5" customHeight="1">
      <c r="A1" s="228" t="s">
        <v>272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</row>
    <row r="2" spans="1:16" ht="13.5" customHeight="1">
      <c r="A2" s="228"/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</row>
    <row r="3" spans="1:16" ht="13.5" customHeight="1">
      <c r="A3" s="228"/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</row>
    <row r="4" spans="1:16" ht="13.5" customHeight="1">
      <c r="A4" s="228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</row>
    <row r="5" spans="1:16" ht="13.5" customHeight="1">
      <c r="A5" s="228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</row>
    <row r="6" spans="1:16" ht="13.5" customHeight="1">
      <c r="A6" s="228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</row>
    <row r="7" spans="1:16" ht="13.5" customHeight="1">
      <c r="A7" s="228"/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</row>
    <row r="8" spans="1:16" ht="13.5" customHeight="1">
      <c r="A8" s="228"/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</row>
    <row r="9" spans="1:16" ht="21.75" customHeight="1">
      <c r="A9" s="230" t="s">
        <v>275</v>
      </c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 ht="13.5" customHeight="1">
      <c r="A10" s="231" t="s">
        <v>274</v>
      </c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 ht="13.5" customHeight="1">
      <c r="A11" s="231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</row>
    <row r="12" spans="1:16" ht="13.5" customHeight="1">
      <c r="A12" s="231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</row>
    <row r="13" spans="1:16" ht="9" customHeight="1"/>
    <row r="14" spans="1:16" ht="13.5" customHeight="1">
      <c r="A14" s="232" t="s">
        <v>273</v>
      </c>
      <c r="B14" s="232"/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/>
    </row>
    <row r="15" spans="1:16" ht="13.5" customHeight="1">
      <c r="A15" s="232"/>
      <c r="B15" s="232"/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/>
    </row>
    <row r="16" spans="1:16" ht="13.5" customHeight="1">
      <c r="A16" s="232"/>
      <c r="B16" s="232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</row>
    <row r="17" spans="1:16" ht="13.5" customHeight="1">
      <c r="A17" s="232"/>
      <c r="B17" s="232"/>
      <c r="C17" s="232"/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2"/>
      <c r="P17" s="232"/>
    </row>
    <row r="18" spans="1:16" ht="13.5" customHeight="1">
      <c r="A18" s="232"/>
      <c r="B18" s="232"/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</row>
    <row r="19" spans="1:16" ht="5.25" customHeight="1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</row>
    <row r="20" spans="1:16" ht="15">
      <c r="A20" s="205"/>
      <c r="B20" s="205"/>
      <c r="C20" s="205"/>
      <c r="D20" s="205"/>
      <c r="E20" s="205"/>
      <c r="F20" s="224" t="s">
        <v>280</v>
      </c>
      <c r="G20" s="224"/>
      <c r="H20" s="224"/>
      <c r="I20" s="224"/>
      <c r="J20" s="224"/>
      <c r="K20" s="224"/>
      <c r="L20" s="205"/>
      <c r="M20" s="205"/>
      <c r="N20" s="205"/>
      <c r="O20" s="205"/>
      <c r="P20" s="205"/>
    </row>
    <row r="21" spans="1:16" ht="31.5" customHeight="1">
      <c r="A21" s="205"/>
      <c r="B21" s="205"/>
      <c r="C21" s="205"/>
      <c r="D21" s="205"/>
      <c r="E21" s="205"/>
      <c r="F21" s="225"/>
      <c r="G21" s="225"/>
      <c r="H21" s="225"/>
      <c r="I21" s="225"/>
      <c r="J21" s="225"/>
      <c r="K21" s="225"/>
      <c r="L21" s="205"/>
      <c r="M21" s="205"/>
      <c r="N21" s="205"/>
      <c r="O21" s="205"/>
      <c r="P21" s="205"/>
    </row>
    <row r="22" spans="1:16" ht="15">
      <c r="A22" s="205"/>
      <c r="B22" s="205"/>
      <c r="C22" s="205"/>
      <c r="D22" s="205"/>
      <c r="E22" s="205"/>
      <c r="F22" s="205"/>
      <c r="G22" s="209"/>
      <c r="H22" s="226" t="s">
        <v>223</v>
      </c>
      <c r="I22" s="226"/>
      <c r="J22" s="209"/>
      <c r="K22" s="205"/>
      <c r="L22" s="205"/>
      <c r="M22" s="205"/>
      <c r="N22" s="205"/>
      <c r="O22" s="205"/>
      <c r="P22" s="205"/>
    </row>
    <row r="23" spans="1:16" ht="27" customHeight="1">
      <c r="A23" s="205"/>
      <c r="B23" s="205"/>
      <c r="C23" s="205"/>
      <c r="D23" s="205"/>
      <c r="E23" s="205"/>
      <c r="F23" s="205"/>
      <c r="G23" s="209"/>
      <c r="H23" s="225"/>
      <c r="I23" s="225"/>
      <c r="J23" s="209"/>
      <c r="K23" s="205"/>
      <c r="L23" s="205"/>
      <c r="M23" s="205"/>
      <c r="N23" s="205"/>
      <c r="O23" s="205"/>
      <c r="P23" s="205"/>
    </row>
    <row r="24" spans="1:16" ht="15">
      <c r="A24" s="205"/>
      <c r="B24" s="205"/>
      <c r="C24" s="224" t="s">
        <v>276</v>
      </c>
      <c r="D24" s="224"/>
      <c r="E24" s="224"/>
      <c r="F24" s="224"/>
      <c r="G24" s="224"/>
      <c r="H24" s="205"/>
      <c r="I24" s="205"/>
      <c r="J24" s="224" t="s">
        <v>277</v>
      </c>
      <c r="K24" s="224"/>
      <c r="L24" s="224"/>
      <c r="M24" s="224"/>
      <c r="N24" s="224"/>
      <c r="O24" s="205"/>
      <c r="P24" s="205"/>
    </row>
    <row r="25" spans="1:16" ht="15">
      <c r="A25" s="205"/>
      <c r="B25" s="205"/>
      <c r="C25" s="225"/>
      <c r="D25" s="225"/>
      <c r="E25" s="225"/>
      <c r="F25" s="225"/>
      <c r="G25" s="225"/>
      <c r="H25" s="205"/>
      <c r="I25" s="205"/>
      <c r="J25" s="225"/>
      <c r="K25" s="225"/>
      <c r="L25" s="225"/>
      <c r="M25" s="225"/>
      <c r="N25" s="225"/>
      <c r="O25" s="205"/>
      <c r="P25" s="205"/>
    </row>
    <row r="26" spans="1:16" ht="15">
      <c r="A26" s="205"/>
      <c r="B26" s="205"/>
      <c r="C26" s="225"/>
      <c r="D26" s="225"/>
      <c r="E26" s="225"/>
      <c r="F26" s="225"/>
      <c r="G26" s="225"/>
      <c r="H26" s="205"/>
      <c r="I26" s="205"/>
      <c r="J26" s="225"/>
      <c r="K26" s="225"/>
      <c r="L26" s="225"/>
      <c r="M26" s="225"/>
      <c r="N26" s="225"/>
      <c r="O26" s="205"/>
      <c r="P26" s="205"/>
    </row>
    <row r="27" spans="1:16" ht="15">
      <c r="A27" s="205"/>
      <c r="B27" s="205"/>
      <c r="C27" s="225"/>
      <c r="D27" s="225"/>
      <c r="E27" s="225"/>
      <c r="F27" s="225"/>
      <c r="G27" s="225"/>
      <c r="H27" s="205"/>
      <c r="I27" s="205"/>
      <c r="J27" s="225"/>
      <c r="K27" s="225"/>
      <c r="L27" s="225"/>
      <c r="M27" s="225"/>
      <c r="N27" s="225"/>
      <c r="O27" s="205"/>
      <c r="P27" s="205"/>
    </row>
    <row r="28" spans="1:16" ht="30" customHeight="1">
      <c r="A28" s="226" t="s">
        <v>218</v>
      </c>
      <c r="B28" s="226"/>
      <c r="C28" s="225"/>
      <c r="D28" s="225"/>
      <c r="E28" s="225"/>
      <c r="F28" s="226" t="s">
        <v>220</v>
      </c>
      <c r="G28" s="226"/>
      <c r="H28" s="227"/>
      <c r="I28" s="227"/>
      <c r="J28" s="227"/>
      <c r="K28" s="227"/>
      <c r="L28" s="210"/>
      <c r="M28" s="227"/>
      <c r="N28" s="227"/>
      <c r="O28" s="227"/>
      <c r="P28" s="227"/>
    </row>
    <row r="29" spans="1:16" ht="30" customHeight="1">
      <c r="A29" s="226" t="s">
        <v>219</v>
      </c>
      <c r="B29" s="226"/>
      <c r="C29" s="225"/>
      <c r="D29" s="225"/>
      <c r="E29" s="225"/>
      <c r="F29" s="226"/>
      <c r="G29" s="226"/>
      <c r="H29" s="227"/>
      <c r="I29" s="227"/>
      <c r="J29" s="227"/>
      <c r="K29" s="227"/>
      <c r="L29" s="210"/>
      <c r="M29" s="227"/>
      <c r="N29" s="227"/>
      <c r="O29" s="227"/>
      <c r="P29" s="227"/>
    </row>
    <row r="30" spans="1:16" ht="11.25" customHeight="1">
      <c r="A30" s="205"/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</row>
    <row r="31" spans="1:16" ht="11.25" customHeight="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</row>
    <row r="32" spans="1:16" ht="5.25" customHeight="1">
      <c r="A32" s="205"/>
      <c r="B32" s="229"/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05"/>
    </row>
    <row r="33" spans="1:16" ht="15">
      <c r="A33" s="223"/>
      <c r="B33" s="234" t="s">
        <v>293</v>
      </c>
      <c r="C33" s="234"/>
      <c r="D33" s="234"/>
      <c r="E33" s="234"/>
      <c r="F33" s="234"/>
      <c r="G33" s="234" t="s">
        <v>294</v>
      </c>
      <c r="H33" s="234"/>
      <c r="I33" s="234"/>
      <c r="J33" s="234"/>
      <c r="K33" s="234"/>
      <c r="L33" s="234" t="s">
        <v>295</v>
      </c>
      <c r="M33" s="234"/>
      <c r="N33" s="234"/>
      <c r="O33" s="234"/>
      <c r="P33" s="223"/>
    </row>
    <row r="34" spans="1:16" ht="28.5" customHeight="1">
      <c r="A34" s="205"/>
      <c r="B34" s="233" t="s">
        <v>278</v>
      </c>
      <c r="C34" s="233"/>
      <c r="D34" s="233"/>
      <c r="E34" s="233"/>
      <c r="F34" s="233"/>
      <c r="G34" s="233" t="s">
        <v>296</v>
      </c>
      <c r="H34" s="233"/>
      <c r="I34" s="233"/>
      <c r="J34" s="233"/>
      <c r="K34" s="233"/>
      <c r="L34" s="233" t="s">
        <v>297</v>
      </c>
      <c r="M34" s="233"/>
      <c r="N34" s="233"/>
      <c r="O34" s="233"/>
      <c r="P34" s="205"/>
    </row>
    <row r="35" spans="1:16" ht="17.25" customHeight="1">
      <c r="A35" s="205"/>
      <c r="B35" s="233" t="s">
        <v>279</v>
      </c>
      <c r="C35" s="233"/>
      <c r="D35" s="233"/>
      <c r="E35" s="233"/>
      <c r="F35" s="233"/>
      <c r="G35" s="233" t="s">
        <v>298</v>
      </c>
      <c r="H35" s="233"/>
      <c r="I35" s="233"/>
      <c r="J35" s="233"/>
      <c r="K35" s="233"/>
      <c r="L35" s="233" t="s">
        <v>299</v>
      </c>
      <c r="M35" s="233"/>
      <c r="N35" s="233"/>
      <c r="O35" s="233"/>
      <c r="P35" s="205"/>
    </row>
  </sheetData>
  <sheetProtection algorithmName="SHA-512" hashValue="Cykq5MbId64hmmL9/F1k22YyAWeByevl+Z2LUbcZbEYzlPy6vfz/Dct6v0+Aul7H8C3nFV0o3kNHZpJGlUf95g==" saltValue="bSmdTLUE+ihTdyLqXHAEXA==" spinCount="100000" sheet="1" objects="1" scenarios="1"/>
  <mergeCells count="33">
    <mergeCell ref="B35:F35"/>
    <mergeCell ref="G35:K35"/>
    <mergeCell ref="L34:O34"/>
    <mergeCell ref="L35:O35"/>
    <mergeCell ref="B33:F33"/>
    <mergeCell ref="G33:K33"/>
    <mergeCell ref="L33:O33"/>
    <mergeCell ref="B34:F34"/>
    <mergeCell ref="G34:K34"/>
    <mergeCell ref="A28:B28"/>
    <mergeCell ref="C28:E28"/>
    <mergeCell ref="A1:P8"/>
    <mergeCell ref="B32:F32"/>
    <mergeCell ref="G32:K32"/>
    <mergeCell ref="L32:O32"/>
    <mergeCell ref="C25:G27"/>
    <mergeCell ref="J25:N27"/>
    <mergeCell ref="A9:P9"/>
    <mergeCell ref="A10:P12"/>
    <mergeCell ref="A14:P18"/>
    <mergeCell ref="F20:K20"/>
    <mergeCell ref="F21:K21"/>
    <mergeCell ref="H22:I22"/>
    <mergeCell ref="H23:I23"/>
    <mergeCell ref="A29:B29"/>
    <mergeCell ref="C24:G24"/>
    <mergeCell ref="J24:N24"/>
    <mergeCell ref="C29:E29"/>
    <mergeCell ref="F28:G29"/>
    <mergeCell ref="H28:K28"/>
    <mergeCell ref="H29:K29"/>
    <mergeCell ref="M28:P28"/>
    <mergeCell ref="M29:P29"/>
  </mergeCells>
  <printOptions horizontalCentered="1"/>
  <pageMargins left="0.70866141732283472" right="0.70866141732283472" top="0.59055118110236227" bottom="0.74803149606299213" header="0.31496062992125984" footer="0.31496062992125984"/>
  <pageSetup paperSize="1000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E4A7-063E-400F-A227-E7EF42FA874D}">
  <dimension ref="A1:P96"/>
  <sheetViews>
    <sheetView showGridLines="0" showRowColHeaders="0" showZeros="0" zoomScaleNormal="100" workbookViewId="0">
      <selection activeCell="I27" sqref="I27"/>
    </sheetView>
  </sheetViews>
  <sheetFormatPr defaultRowHeight="13.5"/>
  <sheetData>
    <row r="1" spans="1:16" ht="97.5" customHeight="1">
      <c r="A1" s="235" t="s">
        <v>248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</row>
    <row r="3" spans="1:16" ht="18.75">
      <c r="A3" s="237" t="s">
        <v>230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</row>
    <row r="4" spans="1:16" ht="23.25">
      <c r="A4" s="239" t="s">
        <v>231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</row>
    <row r="6" spans="1:16" ht="20.100000000000001" customHeight="1">
      <c r="A6" s="224" t="s">
        <v>218</v>
      </c>
      <c r="B6" s="224"/>
      <c r="C6" s="240">
        <f>'FRONT PAGE'!C28</f>
        <v>0</v>
      </c>
      <c r="D6" s="240"/>
      <c r="E6" s="226" t="s">
        <v>220</v>
      </c>
      <c r="F6" s="226"/>
      <c r="G6" s="206">
        <v>1</v>
      </c>
      <c r="H6" s="241">
        <f>'FRONT PAGE'!H28</f>
        <v>0</v>
      </c>
      <c r="I6" s="241"/>
      <c r="J6" s="241"/>
      <c r="K6" s="241"/>
      <c r="L6" s="212">
        <v>3</v>
      </c>
      <c r="M6" s="241">
        <f>'FRONT PAGE'!M28</f>
        <v>0</v>
      </c>
      <c r="N6" s="241"/>
      <c r="O6" s="241"/>
      <c r="P6" s="241"/>
    </row>
    <row r="7" spans="1:16" ht="20.100000000000001" customHeight="1">
      <c r="A7" s="224" t="s">
        <v>219</v>
      </c>
      <c r="B7" s="224"/>
      <c r="C7" s="233">
        <f>'FRONT PAGE'!C29</f>
        <v>0</v>
      </c>
      <c r="D7" s="233"/>
      <c r="E7" s="226"/>
      <c r="F7" s="226"/>
      <c r="G7" s="206">
        <v>2</v>
      </c>
      <c r="H7" s="241">
        <f>'FRONT PAGE'!H29</f>
        <v>0</v>
      </c>
      <c r="I7" s="241"/>
      <c r="J7" s="241"/>
      <c r="K7" s="241"/>
      <c r="L7" s="212">
        <v>4</v>
      </c>
      <c r="M7" s="241">
        <f>'FRONT PAGE'!M29</f>
        <v>0</v>
      </c>
      <c r="N7" s="241"/>
      <c r="O7" s="241"/>
      <c r="P7" s="241"/>
    </row>
    <row r="8" spans="1:16" ht="15">
      <c r="A8" s="205"/>
      <c r="B8" s="205"/>
      <c r="C8" s="205"/>
      <c r="D8" s="205"/>
      <c r="E8" s="205"/>
      <c r="F8" s="205"/>
      <c r="G8" s="205"/>
      <c r="H8" s="254"/>
      <c r="I8" s="254"/>
      <c r="J8" s="254"/>
      <c r="K8" s="254"/>
      <c r="L8" s="254"/>
      <c r="M8" s="254"/>
      <c r="N8" s="254"/>
      <c r="O8" s="254"/>
      <c r="P8" s="254"/>
    </row>
    <row r="9" spans="1:16" ht="20.100000000000001" customHeight="1">
      <c r="A9" s="242" t="s">
        <v>222</v>
      </c>
      <c r="B9" s="242"/>
      <c r="C9" s="243">
        <f>'FRONT PAGE'!F21</f>
        <v>0</v>
      </c>
      <c r="D9" s="243"/>
      <c r="E9" s="243"/>
      <c r="F9" s="205"/>
      <c r="G9" s="226" t="s">
        <v>238</v>
      </c>
      <c r="H9" s="226"/>
      <c r="I9" s="226"/>
      <c r="J9" s="226"/>
      <c r="K9" s="226"/>
      <c r="L9" s="226" t="s">
        <v>239</v>
      </c>
      <c r="M9" s="226"/>
      <c r="N9" s="226"/>
      <c r="O9" s="226"/>
      <c r="P9" s="226"/>
    </row>
    <row r="10" spans="1:16" ht="20.100000000000001" customHeight="1">
      <c r="A10" s="242" t="s">
        <v>223</v>
      </c>
      <c r="B10" s="242"/>
      <c r="C10" s="243">
        <f>'FRONT PAGE'!H23</f>
        <v>0</v>
      </c>
      <c r="D10" s="243"/>
      <c r="E10" s="243"/>
      <c r="F10" s="205"/>
      <c r="G10" s="255" t="s">
        <v>240</v>
      </c>
      <c r="H10" s="255"/>
      <c r="I10" s="240">
        <f>'FRONT PAGE'!C25</f>
        <v>0</v>
      </c>
      <c r="J10" s="240"/>
      <c r="K10" s="240"/>
      <c r="L10" s="255" t="s">
        <v>240</v>
      </c>
      <c r="M10" s="255"/>
      <c r="N10" s="240">
        <f>'FRONT PAGE'!J25</f>
        <v>0</v>
      </c>
      <c r="O10" s="240"/>
      <c r="P10" s="240"/>
    </row>
    <row r="11" spans="1:16" ht="20.100000000000001" customHeight="1">
      <c r="A11" s="242" t="s">
        <v>232</v>
      </c>
      <c r="B11" s="242"/>
      <c r="C11" s="244"/>
      <c r="D11" s="244"/>
      <c r="E11" s="244"/>
      <c r="F11" s="205"/>
      <c r="G11" s="255" t="s">
        <v>241</v>
      </c>
      <c r="H11" s="255"/>
      <c r="I11" s="256"/>
      <c r="J11" s="256"/>
      <c r="K11" s="256"/>
      <c r="L11" s="255" t="s">
        <v>271</v>
      </c>
      <c r="M11" s="255"/>
      <c r="N11" s="256"/>
      <c r="O11" s="256"/>
      <c r="P11" s="256"/>
    </row>
    <row r="12" spans="1:16" ht="20.100000000000001" customHeight="1">
      <c r="A12" s="242" t="s">
        <v>233</v>
      </c>
      <c r="B12" s="242"/>
      <c r="C12" s="244"/>
      <c r="D12" s="244"/>
      <c r="E12" s="244"/>
      <c r="F12" s="205"/>
      <c r="G12" s="255" t="s">
        <v>242</v>
      </c>
      <c r="H12" s="255"/>
      <c r="I12" s="256"/>
      <c r="J12" s="256"/>
      <c r="K12" s="256"/>
      <c r="L12" s="255" t="s">
        <v>242</v>
      </c>
      <c r="M12" s="255"/>
      <c r="N12" s="256"/>
      <c r="O12" s="256"/>
      <c r="P12" s="256"/>
    </row>
    <row r="13" spans="1:16" ht="20.100000000000001" customHeight="1">
      <c r="A13" s="242" t="s">
        <v>234</v>
      </c>
      <c r="B13" s="242"/>
      <c r="C13" s="244"/>
      <c r="D13" s="244"/>
      <c r="E13" s="244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 ht="20.100000000000001" customHeight="1">
      <c r="A14" s="242" t="s">
        <v>235</v>
      </c>
      <c r="B14" s="242"/>
      <c r="C14" s="244"/>
      <c r="D14" s="244"/>
      <c r="E14" s="244"/>
      <c r="F14" s="205"/>
      <c r="G14" s="224" t="s">
        <v>250</v>
      </c>
      <c r="H14" s="224"/>
      <c r="I14" s="224"/>
      <c r="J14" s="224"/>
      <c r="K14" s="224"/>
      <c r="L14" s="224"/>
      <c r="M14" s="224" t="s">
        <v>255</v>
      </c>
      <c r="N14" s="224"/>
      <c r="O14" s="224"/>
      <c r="P14" s="224"/>
    </row>
    <row r="15" spans="1:16" ht="20.100000000000001" customHeight="1">
      <c r="A15" s="242" t="s">
        <v>245</v>
      </c>
      <c r="B15" s="242"/>
      <c r="C15" s="244"/>
      <c r="D15" s="244"/>
      <c r="E15" s="244"/>
      <c r="F15" s="205"/>
      <c r="G15" s="259" t="s">
        <v>253</v>
      </c>
      <c r="H15" s="259"/>
      <c r="I15" s="259"/>
      <c r="J15" s="259"/>
      <c r="K15" s="213"/>
      <c r="L15" s="204" t="s">
        <v>252</v>
      </c>
      <c r="M15" s="259" t="s">
        <v>256</v>
      </c>
      <c r="N15" s="259"/>
      <c r="O15" s="214"/>
      <c r="P15" s="204" t="s">
        <v>252</v>
      </c>
    </row>
    <row r="16" spans="1:16" ht="20.100000000000001" customHeight="1">
      <c r="A16" s="242" t="s">
        <v>246</v>
      </c>
      <c r="B16" s="242"/>
      <c r="C16" s="244"/>
      <c r="D16" s="244"/>
      <c r="E16" s="244"/>
      <c r="F16" s="205"/>
      <c r="G16" s="259" t="s">
        <v>254</v>
      </c>
      <c r="H16" s="259"/>
      <c r="I16" s="259"/>
      <c r="J16" s="259"/>
      <c r="K16" s="213"/>
      <c r="L16" s="204" t="s">
        <v>252</v>
      </c>
      <c r="M16" s="259" t="s">
        <v>257</v>
      </c>
      <c r="N16" s="259"/>
      <c r="O16" s="214"/>
      <c r="P16" s="204" t="s">
        <v>252</v>
      </c>
    </row>
    <row r="17" spans="1:16" ht="20.100000000000001" customHeight="1">
      <c r="A17" s="242" t="s">
        <v>247</v>
      </c>
      <c r="B17" s="242"/>
      <c r="C17" s="244"/>
      <c r="D17" s="244"/>
      <c r="E17" s="244"/>
      <c r="F17" s="205"/>
      <c r="G17" s="260" t="s">
        <v>259</v>
      </c>
      <c r="H17" s="260"/>
      <c r="I17" s="260"/>
      <c r="J17" s="260"/>
      <c r="K17" s="260"/>
      <c r="L17" s="260"/>
      <c r="M17" s="261" t="s">
        <v>260</v>
      </c>
      <c r="N17" s="261"/>
      <c r="O17" s="261"/>
      <c r="P17" s="261"/>
    </row>
    <row r="18" spans="1:16" ht="20.100000000000001" customHeight="1">
      <c r="A18" s="242" t="s">
        <v>258</v>
      </c>
      <c r="B18" s="242"/>
      <c r="C18" s="256"/>
      <c r="D18" s="256"/>
      <c r="E18" s="256"/>
      <c r="F18" s="205"/>
      <c r="G18" s="260"/>
      <c r="H18" s="260"/>
      <c r="I18" s="260"/>
      <c r="J18" s="260"/>
      <c r="K18" s="260"/>
      <c r="L18" s="260"/>
      <c r="M18" s="261"/>
      <c r="N18" s="261"/>
      <c r="O18" s="261"/>
      <c r="P18" s="261"/>
    </row>
    <row r="19" spans="1:16" ht="20.100000000000001" customHeight="1">
      <c r="A19" s="257" t="s">
        <v>269</v>
      </c>
      <c r="B19" s="258"/>
      <c r="C19" s="253"/>
      <c r="D19" s="253"/>
      <c r="E19" s="253"/>
      <c r="F19" s="205"/>
      <c r="G19" s="260"/>
      <c r="H19" s="260"/>
      <c r="I19" s="260"/>
      <c r="J19" s="260"/>
      <c r="K19" s="260"/>
      <c r="L19" s="260"/>
      <c r="M19" s="261"/>
      <c r="N19" s="261"/>
      <c r="O19" s="261"/>
      <c r="P19" s="261"/>
    </row>
    <row r="20" spans="1:16" ht="20.100000000000001" customHeight="1">
      <c r="A20" s="245" t="s">
        <v>236</v>
      </c>
      <c r="B20" s="246"/>
      <c r="C20" s="207" t="s">
        <v>270</v>
      </c>
      <c r="D20" s="251"/>
      <c r="E20" s="252"/>
      <c r="F20" s="205"/>
      <c r="G20" s="260"/>
      <c r="H20" s="260"/>
      <c r="I20" s="260"/>
      <c r="J20" s="260"/>
      <c r="K20" s="260"/>
      <c r="L20" s="260"/>
      <c r="M20" s="261"/>
      <c r="N20" s="261"/>
      <c r="O20" s="261"/>
      <c r="P20" s="261"/>
    </row>
    <row r="21" spans="1:16" ht="20.100000000000001" customHeight="1">
      <c r="A21" s="247"/>
      <c r="B21" s="248"/>
      <c r="C21" s="207" t="s">
        <v>243</v>
      </c>
      <c r="D21" s="251"/>
      <c r="E21" s="252"/>
      <c r="F21" s="205"/>
      <c r="G21" s="224" t="s">
        <v>249</v>
      </c>
      <c r="H21" s="224"/>
      <c r="I21" s="224"/>
      <c r="J21" s="224"/>
      <c r="K21" s="224"/>
      <c r="L21" s="224"/>
      <c r="M21" s="224"/>
      <c r="N21" s="224"/>
      <c r="O21" s="224"/>
      <c r="P21" s="224"/>
    </row>
    <row r="22" spans="1:16" ht="20.100000000000001" customHeight="1">
      <c r="A22" s="249"/>
      <c r="B22" s="250"/>
      <c r="C22" s="207" t="s">
        <v>244</v>
      </c>
      <c r="D22" s="251"/>
      <c r="E22" s="252"/>
      <c r="F22" s="205"/>
      <c r="G22" s="264" t="s">
        <v>261</v>
      </c>
      <c r="H22" s="264"/>
      <c r="I22" s="264"/>
      <c r="J22" s="215"/>
      <c r="K22" s="204" t="s">
        <v>251</v>
      </c>
      <c r="L22" s="259" t="s">
        <v>265</v>
      </c>
      <c r="M22" s="259"/>
      <c r="N22" s="259"/>
      <c r="O22" s="259"/>
      <c r="P22" s="259"/>
    </row>
    <row r="23" spans="1:16" ht="20.100000000000001" customHeight="1">
      <c r="A23" s="245" t="s">
        <v>237</v>
      </c>
      <c r="B23" s="246"/>
      <c r="C23" s="207" t="s">
        <v>270</v>
      </c>
      <c r="D23" s="251"/>
      <c r="E23" s="252"/>
      <c r="F23" s="205"/>
      <c r="G23" s="264" t="s">
        <v>262</v>
      </c>
      <c r="H23" s="264"/>
      <c r="I23" s="264"/>
      <c r="J23" s="215"/>
      <c r="K23" s="204" t="s">
        <v>251</v>
      </c>
      <c r="L23" s="263" t="s">
        <v>266</v>
      </c>
      <c r="M23" s="263"/>
      <c r="N23" s="263"/>
      <c r="O23" s="263"/>
      <c r="P23" s="263"/>
    </row>
    <row r="24" spans="1:16" ht="20.100000000000001" customHeight="1">
      <c r="A24" s="247"/>
      <c r="B24" s="248"/>
      <c r="C24" s="207" t="s">
        <v>243</v>
      </c>
      <c r="D24" s="251"/>
      <c r="E24" s="252"/>
      <c r="F24" s="205"/>
      <c r="G24" s="264" t="s">
        <v>263</v>
      </c>
      <c r="H24" s="264"/>
      <c r="I24" s="264"/>
      <c r="J24" s="215"/>
      <c r="K24" s="204" t="s">
        <v>251</v>
      </c>
      <c r="L24" s="262" t="s">
        <v>267</v>
      </c>
      <c r="M24" s="262"/>
      <c r="N24" s="262"/>
      <c r="O24" s="262"/>
      <c r="P24" s="262"/>
    </row>
    <row r="25" spans="1:16" ht="20.100000000000001" customHeight="1">
      <c r="A25" s="249"/>
      <c r="B25" s="250"/>
      <c r="C25" s="207" t="s">
        <v>244</v>
      </c>
      <c r="D25" s="251"/>
      <c r="E25" s="252"/>
      <c r="F25" s="205"/>
      <c r="G25" s="264" t="s">
        <v>264</v>
      </c>
      <c r="H25" s="264"/>
      <c r="I25" s="264"/>
      <c r="J25" s="215"/>
      <c r="K25" s="204" t="s">
        <v>251</v>
      </c>
      <c r="L25" s="263" t="s">
        <v>268</v>
      </c>
      <c r="M25" s="263"/>
      <c r="N25" s="263"/>
      <c r="O25" s="263"/>
      <c r="P25" s="263"/>
    </row>
    <row r="26" spans="1:16" ht="20.100000000000001" customHeight="1">
      <c r="A26" s="205"/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</row>
    <row r="27" spans="1:16" ht="20.100000000000001" customHeight="1">
      <c r="A27" s="205"/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</row>
    <row r="28" spans="1:16" ht="20.100000000000001" customHeight="1">
      <c r="A28" s="205"/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</row>
    <row r="29" spans="1:16" ht="20.100000000000001" customHeight="1">
      <c r="A29" s="205"/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</row>
    <row r="30" spans="1:16" ht="20.100000000000001" customHeight="1">
      <c r="A30" s="205"/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</row>
    <row r="31" spans="1:16" ht="15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</row>
    <row r="32" spans="1:16" ht="15">
      <c r="A32" s="205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</row>
    <row r="33" spans="1:16" ht="15">
      <c r="A33" s="205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</row>
    <row r="34" spans="1:16" ht="15">
      <c r="A34" s="205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</row>
    <row r="35" spans="1:16" ht="15">
      <c r="A35" s="205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</row>
    <row r="36" spans="1:16" ht="15">
      <c r="A36" s="205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</row>
    <row r="37" spans="1:16" ht="15">
      <c r="A37" s="205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</row>
    <row r="38" spans="1:16" ht="15">
      <c r="A38" s="205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</row>
    <row r="39" spans="1:16" ht="15">
      <c r="A39" s="205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</row>
    <row r="40" spans="1:16" ht="15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</row>
    <row r="41" spans="1:16" ht="15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</row>
    <row r="42" spans="1:16" ht="15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</row>
    <row r="43" spans="1:16" ht="15">
      <c r="A43" s="20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</row>
    <row r="44" spans="1:16" ht="15">
      <c r="A44" s="20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</row>
    <row r="45" spans="1:16" ht="15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</row>
    <row r="46" spans="1:16" ht="15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</row>
    <row r="47" spans="1:16" ht="15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</row>
    <row r="48" spans="1:16" ht="15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</row>
    <row r="49" spans="1:16" ht="15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</row>
    <row r="50" spans="1:16" ht="15">
      <c r="A50" s="205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</row>
    <row r="51" spans="1:16" ht="15">
      <c r="A51" s="205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</row>
    <row r="52" spans="1:16" ht="15">
      <c r="A52" s="205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</row>
    <row r="53" spans="1:16" ht="15">
      <c r="A53" s="205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</row>
    <row r="54" spans="1:16" ht="15">
      <c r="A54" s="205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</row>
    <row r="55" spans="1:16" ht="15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</row>
    <row r="56" spans="1:16" ht="15">
      <c r="A56" s="20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</row>
    <row r="57" spans="1:16" ht="15">
      <c r="A57" s="205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</row>
    <row r="58" spans="1:16" ht="15">
      <c r="A58" s="205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</row>
    <row r="59" spans="1:16" ht="15">
      <c r="A59" s="20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</row>
    <row r="60" spans="1:16" ht="15">
      <c r="A60" s="205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</row>
    <row r="61" spans="1:16" ht="15">
      <c r="A61" s="205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</row>
    <row r="62" spans="1:16" ht="15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</row>
    <row r="63" spans="1:16" ht="15">
      <c r="A63" s="205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</row>
    <row r="64" spans="1:16" ht="15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</row>
    <row r="65" spans="1:16" ht="15">
      <c r="A65" s="205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</row>
    <row r="66" spans="1:16" ht="15">
      <c r="A66" s="205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</row>
    <row r="67" spans="1:16" ht="15">
      <c r="A67" s="205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</row>
    <row r="68" spans="1:16" ht="15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</row>
    <row r="69" spans="1:16" ht="15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</row>
    <row r="70" spans="1:16" ht="15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</row>
    <row r="71" spans="1:16" ht="15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</row>
    <row r="72" spans="1:16" ht="15">
      <c r="A72" s="20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</row>
    <row r="73" spans="1:16" ht="15">
      <c r="A73" s="205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</row>
    <row r="74" spans="1:16" ht="15">
      <c r="A74" s="205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</row>
    <row r="75" spans="1:16" ht="15">
      <c r="A75" s="205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</row>
    <row r="76" spans="1:16" ht="15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</row>
    <row r="77" spans="1:16" ht="15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</row>
    <row r="78" spans="1:16" ht="15">
      <c r="A78" s="205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</row>
    <row r="79" spans="1:16" ht="15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</row>
    <row r="80" spans="1:16" ht="15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</row>
    <row r="81" spans="1:16" ht="15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</row>
    <row r="82" spans="1:16" ht="15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</row>
    <row r="83" spans="1:16" ht="15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</row>
    <row r="84" spans="1:16" ht="15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</row>
    <row r="85" spans="1:16" ht="15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</row>
    <row r="86" spans="1:16" ht="15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</row>
    <row r="87" spans="1:16" ht="15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</row>
    <row r="88" spans="1:16" ht="15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</row>
    <row r="89" spans="1:16" ht="15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</row>
    <row r="90" spans="1:16" ht="15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</row>
    <row r="91" spans="1:16" ht="15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</row>
    <row r="92" spans="1:16" ht="15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</row>
    <row r="93" spans="1:16" ht="15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</row>
    <row r="94" spans="1:16" ht="15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</row>
    <row r="95" spans="1:16" ht="15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</row>
    <row r="96" spans="1:16" ht="15">
      <c r="A96" s="205"/>
      <c r="B96" s="205"/>
      <c r="C96" s="205"/>
      <c r="D96" s="205"/>
      <c r="E96" s="205"/>
      <c r="F96" s="205"/>
    </row>
  </sheetData>
  <sheetProtection algorithmName="SHA-512" hashValue="Kg+4gsFbbxgwsSx0VYT/W2HugAjxMH+gVE6TtPqSVA9NKrTVh4eYde5yaB7JudnSb6dt6Rqw9qW56y2qYk/qLg==" saltValue="Ebnq4WV5jnXAsiJpaSqoSA==" spinCount="100000" sheet="1" objects="1" scenarios="1"/>
  <mergeCells count="74">
    <mergeCell ref="L24:P24"/>
    <mergeCell ref="L25:P25"/>
    <mergeCell ref="L23:P23"/>
    <mergeCell ref="L22:P22"/>
    <mergeCell ref="G21:P21"/>
    <mergeCell ref="G25:I25"/>
    <mergeCell ref="G22:I22"/>
    <mergeCell ref="G23:I23"/>
    <mergeCell ref="G24:I24"/>
    <mergeCell ref="N12:P12"/>
    <mergeCell ref="M14:P14"/>
    <mergeCell ref="M15:N15"/>
    <mergeCell ref="M16:N16"/>
    <mergeCell ref="A18:B18"/>
    <mergeCell ref="G17:L20"/>
    <mergeCell ref="M17:P20"/>
    <mergeCell ref="G14:L14"/>
    <mergeCell ref="G15:J15"/>
    <mergeCell ref="G16:J16"/>
    <mergeCell ref="C16:E16"/>
    <mergeCell ref="C17:E17"/>
    <mergeCell ref="A13:B13"/>
    <mergeCell ref="A14:B14"/>
    <mergeCell ref="A23:B25"/>
    <mergeCell ref="D23:E23"/>
    <mergeCell ref="D24:E24"/>
    <mergeCell ref="D25:E25"/>
    <mergeCell ref="I12:K12"/>
    <mergeCell ref="L10:M10"/>
    <mergeCell ref="L11:M11"/>
    <mergeCell ref="L12:M12"/>
    <mergeCell ref="C18:E18"/>
    <mergeCell ref="G12:H12"/>
    <mergeCell ref="C13:E13"/>
    <mergeCell ref="C14:E14"/>
    <mergeCell ref="H8:P8"/>
    <mergeCell ref="G9:K9"/>
    <mergeCell ref="L9:P9"/>
    <mergeCell ref="C10:E10"/>
    <mergeCell ref="C11:E11"/>
    <mergeCell ref="G10:H10"/>
    <mergeCell ref="G11:H11"/>
    <mergeCell ref="N10:P10"/>
    <mergeCell ref="N11:P11"/>
    <mergeCell ref="I10:K10"/>
    <mergeCell ref="I11:K11"/>
    <mergeCell ref="A20:B22"/>
    <mergeCell ref="D20:E20"/>
    <mergeCell ref="D21:E21"/>
    <mergeCell ref="D22:E22"/>
    <mergeCell ref="C15:E15"/>
    <mergeCell ref="A15:B15"/>
    <mergeCell ref="C19:E19"/>
    <mergeCell ref="A16:B16"/>
    <mergeCell ref="A17:B17"/>
    <mergeCell ref="A19:B19"/>
    <mergeCell ref="A9:B9"/>
    <mergeCell ref="A10:B10"/>
    <mergeCell ref="A11:B11"/>
    <mergeCell ref="C9:E9"/>
    <mergeCell ref="C12:E12"/>
    <mergeCell ref="A12:B12"/>
    <mergeCell ref="A1:P1"/>
    <mergeCell ref="A3:P3"/>
    <mergeCell ref="A4:P4"/>
    <mergeCell ref="A6:B6"/>
    <mergeCell ref="A7:B7"/>
    <mergeCell ref="C6:D6"/>
    <mergeCell ref="C7:D7"/>
    <mergeCell ref="E6:F7"/>
    <mergeCell ref="H6:K6"/>
    <mergeCell ref="H7:K7"/>
    <mergeCell ref="M6:P6"/>
    <mergeCell ref="M7:P7"/>
  </mergeCells>
  <printOptions horizontalCentered="1"/>
  <pageMargins left="0.70866141732283472" right="0.70866141732283472" top="0.39370078740157483" bottom="0.74803149606299213" header="0.31496062992125984" footer="0.31496062992125984"/>
  <pageSetup paperSize="1000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05E5-19D3-4B38-B9F4-648BCDC7121B}">
  <dimension ref="A1:S81"/>
  <sheetViews>
    <sheetView showGridLines="0" showRowColHeaders="0" showZeros="0" topLeftCell="B1" zoomScaleNormal="100" workbookViewId="0">
      <selection activeCell="G26" sqref="G26:I2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3.5"/>
  <cols>
    <col min="1" max="1" width="4.625" style="216" customWidth="1"/>
    <col min="2" max="2" width="10.625" style="216" customWidth="1"/>
    <col min="3" max="10" width="9" style="216"/>
    <col min="11" max="11" width="4.625" style="216" customWidth="1"/>
    <col min="12" max="12" width="10.625" style="216" customWidth="1"/>
    <col min="13" max="16384" width="9" style="216"/>
  </cols>
  <sheetData>
    <row r="1" spans="1:19" ht="89.25" customHeight="1">
      <c r="A1" s="270" t="s">
        <v>248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</row>
    <row r="3" spans="1:19" ht="18.75">
      <c r="A3" s="271" t="s">
        <v>230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</row>
    <row r="4" spans="1:19" ht="23.25">
      <c r="A4" s="272" t="s">
        <v>281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</row>
    <row r="6" spans="1:19" ht="20.100000000000001" customHeight="1">
      <c r="A6" s="287" t="s">
        <v>218</v>
      </c>
      <c r="B6" s="287"/>
      <c r="C6" s="240">
        <f>'FRONT PAGE'!C28</f>
        <v>0</v>
      </c>
      <c r="D6" s="240"/>
      <c r="E6" s="273" t="s">
        <v>220</v>
      </c>
      <c r="F6" s="274"/>
      <c r="G6" s="275"/>
      <c r="H6" s="217">
        <v>1</v>
      </c>
      <c r="I6" s="279">
        <f>'FRONT PAGE'!H28</f>
        <v>0</v>
      </c>
      <c r="J6" s="280"/>
      <c r="K6" s="280"/>
      <c r="L6" s="280"/>
      <c r="M6" s="281"/>
      <c r="N6" s="217">
        <v>3</v>
      </c>
      <c r="O6" s="241">
        <f>'FRONT PAGE'!M28</f>
        <v>0</v>
      </c>
      <c r="P6" s="241"/>
      <c r="Q6" s="241"/>
      <c r="R6" s="241"/>
      <c r="S6" s="241"/>
    </row>
    <row r="7" spans="1:19" ht="20.100000000000001" customHeight="1">
      <c r="A7" s="287" t="s">
        <v>219</v>
      </c>
      <c r="B7" s="287"/>
      <c r="C7" s="240">
        <f>'FRONT PAGE'!C29</f>
        <v>0</v>
      </c>
      <c r="D7" s="240"/>
      <c r="E7" s="276"/>
      <c r="F7" s="277"/>
      <c r="G7" s="278"/>
      <c r="H7" s="217">
        <v>2</v>
      </c>
      <c r="I7" s="279">
        <f>'FRONT PAGE'!H29</f>
        <v>0</v>
      </c>
      <c r="J7" s="280"/>
      <c r="K7" s="280"/>
      <c r="L7" s="280"/>
      <c r="M7" s="281"/>
      <c r="N7" s="217">
        <v>4</v>
      </c>
      <c r="O7" s="241">
        <f>'FRONT PAGE'!M29</f>
        <v>0</v>
      </c>
      <c r="P7" s="241"/>
      <c r="Q7" s="241"/>
      <c r="R7" s="241"/>
      <c r="S7" s="241"/>
    </row>
    <row r="8" spans="1:19" ht="15">
      <c r="A8" s="218"/>
      <c r="B8" s="218"/>
      <c r="C8" s="218"/>
      <c r="D8" s="218"/>
      <c r="E8" s="218"/>
      <c r="F8" s="218"/>
      <c r="G8" s="218"/>
      <c r="H8" s="285"/>
      <c r="I8" s="285"/>
      <c r="J8" s="285"/>
      <c r="K8" s="285"/>
      <c r="L8" s="285"/>
      <c r="M8" s="285"/>
      <c r="N8" s="285"/>
      <c r="O8" s="286"/>
      <c r="P8" s="286"/>
      <c r="Q8" s="286"/>
    </row>
    <row r="9" spans="1:19" ht="25.5" customHeight="1">
      <c r="A9" s="288" t="s">
        <v>282</v>
      </c>
      <c r="B9" s="288"/>
      <c r="C9" s="288"/>
      <c r="D9" s="288"/>
      <c r="E9" s="288"/>
      <c r="F9" s="288"/>
      <c r="G9" s="288"/>
      <c r="H9" s="288"/>
      <c r="I9" s="288"/>
      <c r="J9" s="289"/>
      <c r="K9" s="288"/>
      <c r="L9" s="288"/>
      <c r="M9" s="288"/>
      <c r="N9" s="288"/>
      <c r="O9" s="288"/>
      <c r="P9" s="288"/>
      <c r="Q9" s="288"/>
      <c r="R9" s="288"/>
      <c r="S9" s="288"/>
    </row>
    <row r="10" spans="1:19" ht="20.100000000000001" customHeight="1">
      <c r="A10" s="217" t="s">
        <v>11</v>
      </c>
      <c r="B10" s="217" t="s">
        <v>37</v>
      </c>
      <c r="C10" s="283" t="s">
        <v>283</v>
      </c>
      <c r="D10" s="283"/>
      <c r="E10" s="283"/>
      <c r="F10" s="283"/>
      <c r="G10" s="283" t="s">
        <v>284</v>
      </c>
      <c r="H10" s="283"/>
      <c r="I10" s="283"/>
      <c r="J10" s="219"/>
      <c r="K10" s="217" t="s">
        <v>11</v>
      </c>
      <c r="L10" s="217" t="s">
        <v>285</v>
      </c>
      <c r="M10" s="284" t="s">
        <v>283</v>
      </c>
      <c r="N10" s="283"/>
      <c r="O10" s="283"/>
      <c r="P10" s="283"/>
      <c r="Q10" s="283" t="s">
        <v>284</v>
      </c>
      <c r="R10" s="283"/>
      <c r="S10" s="283"/>
    </row>
    <row r="11" spans="1:19" ht="20.100000000000001" customHeight="1">
      <c r="A11" s="211">
        <v>1</v>
      </c>
      <c r="B11" s="221"/>
      <c r="C11" s="265"/>
      <c r="D11" s="265"/>
      <c r="E11" s="265"/>
      <c r="F11" s="265"/>
      <c r="G11" s="265"/>
      <c r="H11" s="265"/>
      <c r="I11" s="265"/>
      <c r="J11" s="219"/>
      <c r="K11" s="211">
        <v>36</v>
      </c>
      <c r="L11" s="221"/>
      <c r="M11" s="282"/>
      <c r="N11" s="265"/>
      <c r="O11" s="265"/>
      <c r="P11" s="265"/>
      <c r="Q11" s="265"/>
      <c r="R11" s="265"/>
      <c r="S11" s="265"/>
    </row>
    <row r="12" spans="1:19" ht="20.100000000000001" customHeight="1">
      <c r="A12" s="211">
        <v>2</v>
      </c>
      <c r="B12" s="221"/>
      <c r="C12" s="265"/>
      <c r="D12" s="265"/>
      <c r="E12" s="265"/>
      <c r="F12" s="265"/>
      <c r="G12" s="265"/>
      <c r="H12" s="265"/>
      <c r="I12" s="265"/>
      <c r="J12" s="219"/>
      <c r="K12" s="211">
        <v>37</v>
      </c>
      <c r="L12" s="221"/>
      <c r="M12" s="282"/>
      <c r="N12" s="265"/>
      <c r="O12" s="265"/>
      <c r="P12" s="265"/>
      <c r="Q12" s="265"/>
      <c r="R12" s="265"/>
      <c r="S12" s="265"/>
    </row>
    <row r="13" spans="1:19" ht="20.100000000000001" customHeight="1">
      <c r="A13" s="211">
        <v>3</v>
      </c>
      <c r="B13" s="221"/>
      <c r="C13" s="265"/>
      <c r="D13" s="265"/>
      <c r="E13" s="265"/>
      <c r="F13" s="265"/>
      <c r="G13" s="265"/>
      <c r="H13" s="265"/>
      <c r="I13" s="265"/>
      <c r="J13" s="219"/>
      <c r="K13" s="211">
        <v>38</v>
      </c>
      <c r="L13" s="221"/>
      <c r="M13" s="282"/>
      <c r="N13" s="265"/>
      <c r="O13" s="265"/>
      <c r="P13" s="265"/>
      <c r="Q13" s="265"/>
      <c r="R13" s="265"/>
      <c r="S13" s="265"/>
    </row>
    <row r="14" spans="1:19" ht="15">
      <c r="A14" s="211">
        <v>4</v>
      </c>
      <c r="B14" s="221"/>
      <c r="C14" s="265"/>
      <c r="D14" s="265"/>
      <c r="E14" s="265"/>
      <c r="F14" s="265"/>
      <c r="G14" s="265"/>
      <c r="H14" s="265"/>
      <c r="I14" s="265"/>
      <c r="J14" s="219"/>
      <c r="K14" s="211">
        <v>39</v>
      </c>
      <c r="L14" s="221"/>
      <c r="M14" s="222"/>
      <c r="N14" s="222"/>
      <c r="O14" s="222"/>
      <c r="P14" s="222"/>
      <c r="Q14" s="265"/>
      <c r="R14" s="265"/>
      <c r="S14" s="265"/>
    </row>
    <row r="15" spans="1:19" ht="15">
      <c r="A15" s="211">
        <v>5</v>
      </c>
      <c r="B15" s="221"/>
      <c r="C15" s="265"/>
      <c r="D15" s="265"/>
      <c r="E15" s="265"/>
      <c r="F15" s="265"/>
      <c r="G15" s="265"/>
      <c r="H15" s="265"/>
      <c r="I15" s="265"/>
      <c r="J15" s="219"/>
      <c r="K15" s="211">
        <v>40</v>
      </c>
      <c r="L15" s="221"/>
      <c r="M15" s="282"/>
      <c r="N15" s="265"/>
      <c r="O15" s="265"/>
      <c r="P15" s="265"/>
      <c r="Q15" s="265"/>
      <c r="R15" s="265"/>
      <c r="S15" s="265"/>
    </row>
    <row r="16" spans="1:19" ht="15">
      <c r="A16" s="211">
        <v>6</v>
      </c>
      <c r="B16" s="221"/>
      <c r="C16" s="265"/>
      <c r="D16" s="265"/>
      <c r="E16" s="265"/>
      <c r="F16" s="265"/>
      <c r="G16" s="265"/>
      <c r="H16" s="265"/>
      <c r="I16" s="265"/>
      <c r="J16" s="219"/>
      <c r="K16" s="211">
        <v>41</v>
      </c>
      <c r="L16" s="221"/>
      <c r="M16" s="282"/>
      <c r="N16" s="265"/>
      <c r="O16" s="265"/>
      <c r="P16" s="265"/>
      <c r="Q16" s="265"/>
      <c r="R16" s="265"/>
      <c r="S16" s="265"/>
    </row>
    <row r="17" spans="1:19" ht="15">
      <c r="A17" s="211">
        <v>7</v>
      </c>
      <c r="B17" s="221"/>
      <c r="C17" s="265"/>
      <c r="D17" s="265"/>
      <c r="E17" s="265"/>
      <c r="F17" s="265"/>
      <c r="G17" s="265"/>
      <c r="H17" s="265"/>
      <c r="I17" s="265"/>
      <c r="J17" s="219"/>
      <c r="K17" s="211">
        <v>42</v>
      </c>
      <c r="L17" s="221"/>
      <c r="M17" s="282"/>
      <c r="N17" s="265"/>
      <c r="O17" s="265"/>
      <c r="P17" s="265"/>
      <c r="Q17" s="265"/>
      <c r="R17" s="265"/>
      <c r="S17" s="265"/>
    </row>
    <row r="18" spans="1:19" ht="15">
      <c r="A18" s="211">
        <v>8</v>
      </c>
      <c r="B18" s="221"/>
      <c r="C18" s="265"/>
      <c r="D18" s="265"/>
      <c r="E18" s="265"/>
      <c r="F18" s="265"/>
      <c r="G18" s="265"/>
      <c r="H18" s="265"/>
      <c r="I18" s="265"/>
      <c r="J18" s="219"/>
      <c r="K18" s="211">
        <v>43</v>
      </c>
      <c r="L18" s="221"/>
      <c r="M18" s="282"/>
      <c r="N18" s="265"/>
      <c r="O18" s="265"/>
      <c r="P18" s="265"/>
      <c r="Q18" s="265"/>
      <c r="R18" s="265"/>
      <c r="S18" s="265"/>
    </row>
    <row r="19" spans="1:19" ht="15">
      <c r="A19" s="211">
        <v>9</v>
      </c>
      <c r="B19" s="221"/>
      <c r="C19" s="265"/>
      <c r="D19" s="265"/>
      <c r="E19" s="265"/>
      <c r="F19" s="265"/>
      <c r="G19" s="265"/>
      <c r="H19" s="265"/>
      <c r="I19" s="265"/>
      <c r="J19" s="219"/>
      <c r="K19" s="211">
        <v>44</v>
      </c>
      <c r="L19" s="221"/>
      <c r="M19" s="282"/>
      <c r="N19" s="265"/>
      <c r="O19" s="265"/>
      <c r="P19" s="265"/>
      <c r="Q19" s="265"/>
      <c r="R19" s="265"/>
      <c r="S19" s="265"/>
    </row>
    <row r="20" spans="1:19" ht="15">
      <c r="A20" s="211">
        <v>10</v>
      </c>
      <c r="B20" s="221"/>
      <c r="C20" s="265"/>
      <c r="D20" s="265"/>
      <c r="E20" s="265"/>
      <c r="F20" s="265"/>
      <c r="G20" s="265"/>
      <c r="H20" s="265"/>
      <c r="I20" s="265"/>
      <c r="J20" s="219"/>
      <c r="K20" s="211">
        <v>45</v>
      </c>
      <c r="L20" s="221"/>
      <c r="M20" s="282"/>
      <c r="N20" s="265"/>
      <c r="O20" s="265"/>
      <c r="P20" s="265"/>
      <c r="Q20" s="265"/>
      <c r="R20" s="265"/>
      <c r="S20" s="265"/>
    </row>
    <row r="21" spans="1:19" ht="15">
      <c r="A21" s="211">
        <v>11</v>
      </c>
      <c r="B21" s="221"/>
      <c r="C21" s="265"/>
      <c r="D21" s="265"/>
      <c r="E21" s="265"/>
      <c r="F21" s="265"/>
      <c r="G21" s="265"/>
      <c r="H21" s="265"/>
      <c r="I21" s="265"/>
      <c r="J21" s="219"/>
      <c r="K21" s="211">
        <v>46</v>
      </c>
      <c r="L21" s="221"/>
      <c r="M21" s="282"/>
      <c r="N21" s="265"/>
      <c r="O21" s="265"/>
      <c r="P21" s="265"/>
      <c r="Q21" s="265"/>
      <c r="R21" s="265"/>
      <c r="S21" s="265"/>
    </row>
    <row r="22" spans="1:19" ht="15">
      <c r="A22" s="211">
        <v>12</v>
      </c>
      <c r="B22" s="221"/>
      <c r="C22" s="265"/>
      <c r="D22" s="265"/>
      <c r="E22" s="265"/>
      <c r="F22" s="265"/>
      <c r="G22" s="265"/>
      <c r="H22" s="265"/>
      <c r="I22" s="265"/>
      <c r="J22" s="219"/>
      <c r="K22" s="211">
        <v>47</v>
      </c>
      <c r="L22" s="221"/>
      <c r="M22" s="282"/>
      <c r="N22" s="265"/>
      <c r="O22" s="265"/>
      <c r="P22" s="265"/>
      <c r="Q22" s="265"/>
      <c r="R22" s="265"/>
      <c r="S22" s="265"/>
    </row>
    <row r="23" spans="1:19" ht="15">
      <c r="A23" s="211">
        <v>13</v>
      </c>
      <c r="B23" s="221"/>
      <c r="C23" s="265"/>
      <c r="D23" s="265"/>
      <c r="E23" s="265"/>
      <c r="F23" s="265"/>
      <c r="G23" s="265"/>
      <c r="H23" s="265"/>
      <c r="I23" s="265"/>
      <c r="J23" s="219"/>
      <c r="K23" s="211">
        <v>48</v>
      </c>
      <c r="L23" s="221"/>
      <c r="M23" s="282"/>
      <c r="N23" s="265"/>
      <c r="O23" s="265"/>
      <c r="P23" s="265"/>
      <c r="Q23" s="265"/>
      <c r="R23" s="265"/>
      <c r="S23" s="265"/>
    </row>
    <row r="24" spans="1:19" ht="15">
      <c r="A24" s="211">
        <v>14</v>
      </c>
      <c r="B24" s="221"/>
      <c r="C24" s="265"/>
      <c r="D24" s="265"/>
      <c r="E24" s="265"/>
      <c r="F24" s="265"/>
      <c r="G24" s="265"/>
      <c r="H24" s="265"/>
      <c r="I24" s="265"/>
      <c r="J24" s="219"/>
      <c r="K24" s="211">
        <v>49</v>
      </c>
      <c r="L24" s="221"/>
      <c r="M24" s="282"/>
      <c r="N24" s="265"/>
      <c r="O24" s="265"/>
      <c r="P24" s="265"/>
      <c r="Q24" s="265"/>
      <c r="R24" s="265"/>
      <c r="S24" s="265"/>
    </row>
    <row r="25" spans="1:19" ht="15">
      <c r="A25" s="211">
        <v>15</v>
      </c>
      <c r="B25" s="221"/>
      <c r="C25" s="265"/>
      <c r="D25" s="265"/>
      <c r="E25" s="265"/>
      <c r="F25" s="265"/>
      <c r="G25" s="265"/>
      <c r="H25" s="265"/>
      <c r="I25" s="265"/>
      <c r="J25" s="219"/>
      <c r="K25" s="211">
        <v>50</v>
      </c>
      <c r="L25" s="221"/>
      <c r="M25" s="282"/>
      <c r="N25" s="265"/>
      <c r="O25" s="265"/>
      <c r="P25" s="265"/>
      <c r="Q25" s="265"/>
      <c r="R25" s="265"/>
      <c r="S25" s="265"/>
    </row>
    <row r="26" spans="1:19" ht="15">
      <c r="A26" s="211">
        <v>16</v>
      </c>
      <c r="B26" s="221"/>
      <c r="C26" s="265"/>
      <c r="D26" s="265"/>
      <c r="E26" s="265"/>
      <c r="F26" s="265"/>
      <c r="G26" s="265"/>
      <c r="H26" s="265"/>
      <c r="I26" s="265"/>
      <c r="J26" s="219"/>
      <c r="K26" s="211">
        <v>51</v>
      </c>
      <c r="L26" s="221"/>
      <c r="M26" s="282"/>
      <c r="N26" s="265"/>
      <c r="O26" s="265"/>
      <c r="P26" s="265"/>
      <c r="Q26" s="265"/>
      <c r="R26" s="265"/>
      <c r="S26" s="265"/>
    </row>
    <row r="27" spans="1:19" ht="15">
      <c r="A27" s="211">
        <v>17</v>
      </c>
      <c r="B27" s="221"/>
      <c r="C27" s="265"/>
      <c r="D27" s="265"/>
      <c r="E27" s="265"/>
      <c r="F27" s="265"/>
      <c r="G27" s="265"/>
      <c r="H27" s="265"/>
      <c r="I27" s="265"/>
      <c r="J27" s="219"/>
      <c r="K27" s="211">
        <v>52</v>
      </c>
      <c r="L27" s="221"/>
      <c r="M27" s="282"/>
      <c r="N27" s="265"/>
      <c r="O27" s="265"/>
      <c r="P27" s="265"/>
      <c r="Q27" s="265"/>
      <c r="R27" s="265"/>
      <c r="S27" s="265"/>
    </row>
    <row r="28" spans="1:19" ht="15">
      <c r="A28" s="211">
        <v>18</v>
      </c>
      <c r="B28" s="221"/>
      <c r="C28" s="265"/>
      <c r="D28" s="265"/>
      <c r="E28" s="265"/>
      <c r="F28" s="265"/>
      <c r="G28" s="265"/>
      <c r="H28" s="265"/>
      <c r="I28" s="265"/>
      <c r="J28" s="219"/>
      <c r="K28" s="211">
        <v>53</v>
      </c>
      <c r="L28" s="221"/>
      <c r="M28" s="282"/>
      <c r="N28" s="265"/>
      <c r="O28" s="265"/>
      <c r="P28" s="265"/>
      <c r="Q28" s="265"/>
      <c r="R28" s="265"/>
      <c r="S28" s="265"/>
    </row>
    <row r="29" spans="1:19" ht="15">
      <c r="A29" s="211">
        <v>19</v>
      </c>
      <c r="B29" s="221"/>
      <c r="C29" s="265"/>
      <c r="D29" s="265"/>
      <c r="E29" s="265"/>
      <c r="F29" s="265"/>
      <c r="G29" s="265"/>
      <c r="H29" s="265"/>
      <c r="I29" s="265"/>
      <c r="J29" s="219"/>
      <c r="K29" s="211">
        <v>54</v>
      </c>
      <c r="L29" s="221"/>
      <c r="M29" s="282"/>
      <c r="N29" s="265"/>
      <c r="O29" s="265"/>
      <c r="P29" s="265"/>
      <c r="Q29" s="265"/>
      <c r="R29" s="265"/>
      <c r="S29" s="265"/>
    </row>
    <row r="30" spans="1:19" ht="15">
      <c r="A30" s="211">
        <v>20</v>
      </c>
      <c r="B30" s="221"/>
      <c r="C30" s="265"/>
      <c r="D30" s="265"/>
      <c r="E30" s="265"/>
      <c r="F30" s="265"/>
      <c r="G30" s="265"/>
      <c r="H30" s="265"/>
      <c r="I30" s="265"/>
      <c r="J30" s="219"/>
      <c r="K30" s="211">
        <v>55</v>
      </c>
      <c r="L30" s="221"/>
      <c r="M30" s="282"/>
      <c r="N30" s="265"/>
      <c r="O30" s="265"/>
      <c r="P30" s="265"/>
      <c r="Q30" s="265"/>
      <c r="R30" s="265"/>
      <c r="S30" s="265"/>
    </row>
    <row r="31" spans="1:19" ht="15">
      <c r="A31" s="211">
        <v>21</v>
      </c>
      <c r="B31" s="221"/>
      <c r="C31" s="265"/>
      <c r="D31" s="265"/>
      <c r="E31" s="265"/>
      <c r="F31" s="265"/>
      <c r="G31" s="265"/>
      <c r="H31" s="265"/>
      <c r="I31" s="265"/>
      <c r="J31" s="219"/>
      <c r="K31" s="211">
        <v>56</v>
      </c>
      <c r="L31" s="221"/>
      <c r="M31" s="282"/>
      <c r="N31" s="265"/>
      <c r="O31" s="265"/>
      <c r="P31" s="265"/>
      <c r="Q31" s="265"/>
      <c r="R31" s="265"/>
      <c r="S31" s="265"/>
    </row>
    <row r="32" spans="1:19" ht="15">
      <c r="A32" s="211">
        <v>22</v>
      </c>
      <c r="B32" s="221"/>
      <c r="C32" s="265"/>
      <c r="D32" s="265"/>
      <c r="E32" s="265"/>
      <c r="F32" s="265"/>
      <c r="G32" s="265"/>
      <c r="H32" s="265"/>
      <c r="I32" s="265"/>
      <c r="J32" s="219"/>
      <c r="K32" s="211">
        <v>57</v>
      </c>
      <c r="L32" s="221"/>
      <c r="M32" s="282"/>
      <c r="N32" s="265"/>
      <c r="O32" s="265"/>
      <c r="P32" s="265"/>
      <c r="Q32" s="265"/>
      <c r="R32" s="265"/>
      <c r="S32" s="265"/>
    </row>
    <row r="33" spans="1:19" ht="15">
      <c r="A33" s="211">
        <v>23</v>
      </c>
      <c r="B33" s="221"/>
      <c r="C33" s="265"/>
      <c r="D33" s="265"/>
      <c r="E33" s="265"/>
      <c r="F33" s="265"/>
      <c r="G33" s="265"/>
      <c r="H33" s="265"/>
      <c r="I33" s="265"/>
      <c r="J33" s="219"/>
      <c r="K33" s="211">
        <v>58</v>
      </c>
      <c r="L33" s="221"/>
      <c r="M33" s="282"/>
      <c r="N33" s="265"/>
      <c r="O33" s="265"/>
      <c r="P33" s="265"/>
      <c r="Q33" s="265"/>
      <c r="R33" s="265"/>
      <c r="S33" s="265"/>
    </row>
    <row r="34" spans="1:19" ht="15">
      <c r="A34" s="211">
        <v>24</v>
      </c>
      <c r="B34" s="221"/>
      <c r="C34" s="265"/>
      <c r="D34" s="265"/>
      <c r="E34" s="265"/>
      <c r="F34" s="265"/>
      <c r="G34" s="265"/>
      <c r="H34" s="265"/>
      <c r="I34" s="265"/>
      <c r="J34" s="219"/>
      <c r="K34" s="211">
        <v>59</v>
      </c>
      <c r="L34" s="221"/>
      <c r="M34" s="282"/>
      <c r="N34" s="265"/>
      <c r="O34" s="265"/>
      <c r="P34" s="265"/>
      <c r="Q34" s="265"/>
      <c r="R34" s="265"/>
      <c r="S34" s="265"/>
    </row>
    <row r="35" spans="1:19" ht="15">
      <c r="A35" s="211">
        <v>25</v>
      </c>
      <c r="B35" s="221"/>
      <c r="C35" s="265"/>
      <c r="D35" s="265"/>
      <c r="E35" s="265"/>
      <c r="F35" s="265"/>
      <c r="G35" s="265"/>
      <c r="H35" s="265"/>
      <c r="I35" s="265"/>
      <c r="J35" s="219"/>
      <c r="K35" s="211">
        <v>60</v>
      </c>
      <c r="L35" s="221"/>
      <c r="M35" s="282"/>
      <c r="N35" s="265"/>
      <c r="O35" s="265"/>
      <c r="P35" s="265"/>
      <c r="Q35" s="265"/>
      <c r="R35" s="265"/>
      <c r="S35" s="265"/>
    </row>
    <row r="36" spans="1:19" ht="15">
      <c r="A36" s="211">
        <v>26</v>
      </c>
      <c r="B36" s="221"/>
      <c r="C36" s="265"/>
      <c r="D36" s="265"/>
      <c r="E36" s="265"/>
      <c r="F36" s="265"/>
      <c r="G36" s="265"/>
      <c r="H36" s="265"/>
      <c r="I36" s="265"/>
      <c r="J36" s="219"/>
      <c r="K36" s="211">
        <v>61</v>
      </c>
      <c r="L36" s="221"/>
      <c r="M36" s="282"/>
      <c r="N36" s="265"/>
      <c r="O36" s="265"/>
      <c r="P36" s="265"/>
      <c r="Q36" s="265"/>
      <c r="R36" s="265"/>
      <c r="S36" s="265"/>
    </row>
    <row r="37" spans="1:19" ht="15">
      <c r="A37" s="211">
        <v>27</v>
      </c>
      <c r="B37" s="221"/>
      <c r="C37" s="265"/>
      <c r="D37" s="265"/>
      <c r="E37" s="265"/>
      <c r="F37" s="265"/>
      <c r="G37" s="265"/>
      <c r="H37" s="265"/>
      <c r="I37" s="265"/>
      <c r="J37" s="219"/>
      <c r="K37" s="211">
        <v>62</v>
      </c>
      <c r="L37" s="221"/>
      <c r="M37" s="282"/>
      <c r="N37" s="265"/>
      <c r="O37" s="265"/>
      <c r="P37" s="265"/>
      <c r="Q37" s="265"/>
      <c r="R37" s="265"/>
      <c r="S37" s="265"/>
    </row>
    <row r="38" spans="1:19" ht="15">
      <c r="A38" s="211">
        <v>28</v>
      </c>
      <c r="B38" s="221"/>
      <c r="C38" s="265"/>
      <c r="D38" s="265"/>
      <c r="E38" s="265"/>
      <c r="F38" s="265"/>
      <c r="G38" s="265"/>
      <c r="H38" s="265"/>
      <c r="I38" s="265"/>
      <c r="J38" s="219"/>
      <c r="K38" s="211">
        <v>63</v>
      </c>
      <c r="L38" s="221"/>
      <c r="M38" s="282"/>
      <c r="N38" s="265"/>
      <c r="O38" s="265"/>
      <c r="P38" s="265"/>
      <c r="Q38" s="265"/>
      <c r="R38" s="265"/>
      <c r="S38" s="265"/>
    </row>
    <row r="39" spans="1:19" ht="15">
      <c r="A39" s="211">
        <v>29</v>
      </c>
      <c r="B39" s="221"/>
      <c r="C39" s="265"/>
      <c r="D39" s="265"/>
      <c r="E39" s="265"/>
      <c r="F39" s="265"/>
      <c r="G39" s="265"/>
      <c r="H39" s="265"/>
      <c r="I39" s="265"/>
      <c r="J39" s="219"/>
      <c r="K39" s="211">
        <v>64</v>
      </c>
      <c r="L39" s="221"/>
      <c r="M39" s="282"/>
      <c r="N39" s="265"/>
      <c r="O39" s="265"/>
      <c r="P39" s="265"/>
      <c r="Q39" s="265"/>
      <c r="R39" s="265"/>
      <c r="S39" s="265"/>
    </row>
    <row r="40" spans="1:19" ht="15">
      <c r="A40" s="211">
        <v>30</v>
      </c>
      <c r="B40" s="221"/>
      <c r="C40" s="265"/>
      <c r="D40" s="265"/>
      <c r="E40" s="265"/>
      <c r="F40" s="265"/>
      <c r="G40" s="265"/>
      <c r="H40" s="265"/>
      <c r="I40" s="265"/>
      <c r="J40" s="219"/>
      <c r="K40" s="211">
        <v>65</v>
      </c>
      <c r="L40" s="221"/>
      <c r="M40" s="282"/>
      <c r="N40" s="265"/>
      <c r="O40" s="265"/>
      <c r="P40" s="265"/>
      <c r="Q40" s="265"/>
      <c r="R40" s="265"/>
      <c r="S40" s="265"/>
    </row>
    <row r="41" spans="1:19" ht="15">
      <c r="A41" s="211">
        <v>31</v>
      </c>
      <c r="B41" s="221"/>
      <c r="C41" s="265"/>
      <c r="D41" s="265"/>
      <c r="E41" s="265"/>
      <c r="F41" s="265"/>
      <c r="G41" s="265"/>
      <c r="H41" s="265"/>
      <c r="I41" s="265"/>
      <c r="J41" s="219"/>
      <c r="K41" s="211">
        <v>66</v>
      </c>
      <c r="L41" s="221"/>
      <c r="M41" s="282"/>
      <c r="N41" s="265"/>
      <c r="O41" s="265"/>
      <c r="P41" s="265"/>
      <c r="Q41" s="265"/>
      <c r="R41" s="265"/>
      <c r="S41" s="265"/>
    </row>
    <row r="42" spans="1:19" ht="15">
      <c r="A42" s="211">
        <v>32</v>
      </c>
      <c r="B42" s="221"/>
      <c r="C42" s="265"/>
      <c r="D42" s="265"/>
      <c r="E42" s="265"/>
      <c r="F42" s="265"/>
      <c r="G42" s="265"/>
      <c r="H42" s="265"/>
      <c r="I42" s="265"/>
      <c r="J42" s="219"/>
      <c r="K42" s="211">
        <v>67</v>
      </c>
      <c r="L42" s="221"/>
      <c r="M42" s="282"/>
      <c r="N42" s="265"/>
      <c r="O42" s="265"/>
      <c r="P42" s="265"/>
      <c r="Q42" s="265"/>
      <c r="R42" s="265"/>
      <c r="S42" s="265"/>
    </row>
    <row r="43" spans="1:19" ht="15">
      <c r="A43" s="211">
        <v>33</v>
      </c>
      <c r="B43" s="221"/>
      <c r="C43" s="265"/>
      <c r="D43" s="265"/>
      <c r="E43" s="265"/>
      <c r="F43" s="265"/>
      <c r="G43" s="265"/>
      <c r="H43" s="265"/>
      <c r="I43" s="265"/>
      <c r="J43" s="219"/>
      <c r="K43" s="211">
        <v>68</v>
      </c>
      <c r="L43" s="221"/>
      <c r="M43" s="282"/>
      <c r="N43" s="265"/>
      <c r="O43" s="265"/>
      <c r="P43" s="265"/>
      <c r="Q43" s="265"/>
      <c r="R43" s="265"/>
      <c r="S43" s="265"/>
    </row>
    <row r="44" spans="1:19" ht="15">
      <c r="A44" s="211">
        <v>34</v>
      </c>
      <c r="B44" s="221"/>
      <c r="C44" s="265"/>
      <c r="D44" s="265"/>
      <c r="E44" s="265"/>
      <c r="F44" s="265"/>
      <c r="G44" s="265"/>
      <c r="H44" s="265"/>
      <c r="I44" s="265"/>
      <c r="J44" s="219"/>
      <c r="K44" s="211">
        <v>69</v>
      </c>
      <c r="L44" s="221"/>
      <c r="M44" s="282"/>
      <c r="N44" s="265"/>
      <c r="O44" s="265"/>
      <c r="P44" s="265"/>
      <c r="Q44" s="265"/>
      <c r="R44" s="265"/>
      <c r="S44" s="265"/>
    </row>
    <row r="45" spans="1:19" ht="15">
      <c r="A45" s="211">
        <v>35</v>
      </c>
      <c r="B45" s="221"/>
      <c r="C45" s="265"/>
      <c r="D45" s="265"/>
      <c r="E45" s="265"/>
      <c r="F45" s="265"/>
      <c r="G45" s="265"/>
      <c r="H45" s="265"/>
      <c r="I45" s="265"/>
      <c r="J45" s="219"/>
      <c r="K45" s="211">
        <v>70</v>
      </c>
      <c r="L45" s="221"/>
      <c r="M45" s="282"/>
      <c r="N45" s="265"/>
      <c r="O45" s="265"/>
      <c r="P45" s="265"/>
      <c r="Q45" s="265"/>
      <c r="R45" s="265"/>
      <c r="S45" s="265"/>
    </row>
    <row r="46" spans="1:19" ht="15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</row>
    <row r="47" spans="1:19" ht="15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</row>
    <row r="48" spans="1:19" ht="15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</row>
    <row r="49" spans="1:19" ht="21">
      <c r="A49" s="266" t="s">
        <v>292</v>
      </c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</row>
    <row r="50" spans="1:19" ht="15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</row>
    <row r="51" spans="1:19" ht="18.75">
      <c r="A51" s="268" t="s">
        <v>286</v>
      </c>
      <c r="B51" s="268"/>
      <c r="C51" s="268"/>
      <c r="D51" s="268"/>
      <c r="E51" s="268"/>
      <c r="F51" s="268"/>
      <c r="G51" s="268"/>
      <c r="H51" s="268"/>
      <c r="I51" s="268"/>
      <c r="J51" s="218"/>
      <c r="K51" s="268" t="s">
        <v>289</v>
      </c>
      <c r="L51" s="268"/>
      <c r="M51" s="268"/>
      <c r="N51" s="268"/>
      <c r="O51" s="268"/>
      <c r="P51" s="268"/>
      <c r="Q51" s="268"/>
      <c r="R51" s="268"/>
      <c r="S51" s="268"/>
    </row>
    <row r="52" spans="1:19" ht="15">
      <c r="A52" s="269" t="s">
        <v>287</v>
      </c>
      <c r="B52" s="269"/>
      <c r="C52" s="220" t="s">
        <v>288</v>
      </c>
      <c r="D52" s="269" t="s">
        <v>283</v>
      </c>
      <c r="E52" s="269"/>
      <c r="F52" s="269"/>
      <c r="G52" s="269"/>
      <c r="H52" s="269"/>
      <c r="I52" s="269"/>
      <c r="J52" s="218"/>
      <c r="K52" s="269" t="s">
        <v>287</v>
      </c>
      <c r="L52" s="269"/>
      <c r="M52" s="220" t="s">
        <v>288</v>
      </c>
      <c r="N52" s="269" t="s">
        <v>283</v>
      </c>
      <c r="O52" s="269"/>
      <c r="P52" s="269"/>
      <c r="Q52" s="269"/>
      <c r="R52" s="269"/>
      <c r="S52" s="269"/>
    </row>
    <row r="53" spans="1:19" ht="20.100000000000001" customHeight="1">
      <c r="A53" s="265"/>
      <c r="B53" s="265"/>
      <c r="C53" s="221"/>
      <c r="D53" s="265"/>
      <c r="E53" s="265"/>
      <c r="F53" s="265"/>
      <c r="G53" s="265"/>
      <c r="H53" s="265"/>
      <c r="I53" s="265"/>
      <c r="J53" s="218"/>
      <c r="K53" s="265"/>
      <c r="L53" s="265"/>
      <c r="M53" s="221"/>
      <c r="N53" s="265"/>
      <c r="O53" s="265"/>
      <c r="P53" s="265"/>
      <c r="Q53" s="265"/>
      <c r="R53" s="265"/>
      <c r="S53" s="265"/>
    </row>
    <row r="54" spans="1:19" ht="20.100000000000001" customHeight="1">
      <c r="A54" s="265"/>
      <c r="B54" s="265"/>
      <c r="C54" s="221"/>
      <c r="D54" s="265"/>
      <c r="E54" s="265"/>
      <c r="F54" s="265"/>
      <c r="G54" s="265"/>
      <c r="H54" s="265"/>
      <c r="I54" s="265"/>
      <c r="J54" s="218"/>
      <c r="K54" s="265"/>
      <c r="L54" s="265"/>
      <c r="M54" s="221"/>
      <c r="N54" s="265"/>
      <c r="O54" s="265"/>
      <c r="P54" s="265"/>
      <c r="Q54" s="265"/>
      <c r="R54" s="265"/>
      <c r="S54" s="265"/>
    </row>
    <row r="55" spans="1:19" ht="20.100000000000001" customHeight="1">
      <c r="A55" s="265"/>
      <c r="B55" s="265"/>
      <c r="C55" s="221"/>
      <c r="D55" s="265"/>
      <c r="E55" s="265"/>
      <c r="F55" s="265"/>
      <c r="G55" s="265"/>
      <c r="H55" s="265"/>
      <c r="I55" s="265"/>
      <c r="J55" s="218"/>
      <c r="K55" s="265"/>
      <c r="L55" s="265"/>
      <c r="M55" s="221"/>
      <c r="N55" s="265"/>
      <c r="O55" s="265"/>
      <c r="P55" s="265"/>
      <c r="Q55" s="265"/>
      <c r="R55" s="265"/>
      <c r="S55" s="265"/>
    </row>
    <row r="56" spans="1:19" ht="20.100000000000001" customHeight="1">
      <c r="A56" s="265"/>
      <c r="B56" s="265"/>
      <c r="C56" s="221"/>
      <c r="D56" s="265"/>
      <c r="E56" s="265"/>
      <c r="F56" s="265"/>
      <c r="G56" s="265"/>
      <c r="H56" s="265"/>
      <c r="I56" s="265"/>
      <c r="J56" s="218"/>
      <c r="K56" s="265"/>
      <c r="L56" s="265"/>
      <c r="M56" s="221"/>
      <c r="N56" s="265"/>
      <c r="O56" s="265"/>
      <c r="P56" s="265"/>
      <c r="Q56" s="265"/>
      <c r="R56" s="265"/>
      <c r="S56" s="265"/>
    </row>
    <row r="57" spans="1:19" ht="20.100000000000001" customHeight="1">
      <c r="A57" s="265"/>
      <c r="B57" s="265"/>
      <c r="C57" s="221"/>
      <c r="D57" s="265"/>
      <c r="E57" s="265"/>
      <c r="F57" s="265"/>
      <c r="G57" s="265"/>
      <c r="H57" s="265"/>
      <c r="I57" s="265"/>
      <c r="J57" s="218"/>
      <c r="K57" s="265"/>
      <c r="L57" s="265"/>
      <c r="M57" s="221"/>
      <c r="N57" s="265"/>
      <c r="O57" s="265"/>
      <c r="P57" s="265"/>
      <c r="Q57" s="265"/>
      <c r="R57" s="265"/>
      <c r="S57" s="265"/>
    </row>
    <row r="58" spans="1:19" ht="20.100000000000001" customHeight="1">
      <c r="A58" s="265"/>
      <c r="B58" s="265"/>
      <c r="C58" s="221"/>
      <c r="D58" s="265"/>
      <c r="E58" s="265"/>
      <c r="F58" s="265"/>
      <c r="G58" s="265"/>
      <c r="H58" s="265"/>
      <c r="I58" s="265"/>
      <c r="J58" s="218"/>
      <c r="K58" s="265"/>
      <c r="L58" s="265"/>
      <c r="M58" s="221"/>
      <c r="N58" s="265"/>
      <c r="O58" s="265"/>
      <c r="P58" s="265"/>
      <c r="Q58" s="265"/>
      <c r="R58" s="265"/>
      <c r="S58" s="265"/>
    </row>
    <row r="59" spans="1:19" ht="20.100000000000001" customHeight="1">
      <c r="A59" s="265"/>
      <c r="B59" s="265"/>
      <c r="C59" s="221"/>
      <c r="D59" s="265"/>
      <c r="E59" s="265"/>
      <c r="F59" s="265"/>
      <c r="G59" s="265"/>
      <c r="H59" s="265"/>
      <c r="I59" s="265"/>
      <c r="J59" s="218"/>
      <c r="K59" s="265"/>
      <c r="L59" s="265"/>
      <c r="M59" s="221"/>
      <c r="N59" s="265"/>
      <c r="O59" s="265"/>
      <c r="P59" s="265"/>
      <c r="Q59" s="265"/>
      <c r="R59" s="265"/>
      <c r="S59" s="265"/>
    </row>
    <row r="60" spans="1:19" ht="20.100000000000001" customHeight="1">
      <c r="A60" s="265"/>
      <c r="B60" s="265"/>
      <c r="C60" s="221"/>
      <c r="D60" s="265"/>
      <c r="E60" s="265"/>
      <c r="F60" s="265"/>
      <c r="G60" s="265"/>
      <c r="H60" s="265"/>
      <c r="I60" s="265"/>
      <c r="J60" s="218"/>
      <c r="K60" s="265"/>
      <c r="L60" s="265"/>
      <c r="M60" s="221"/>
      <c r="N60" s="265"/>
      <c r="O60" s="265"/>
      <c r="P60" s="265"/>
      <c r="Q60" s="265"/>
      <c r="R60" s="265"/>
      <c r="S60" s="265"/>
    </row>
    <row r="61" spans="1:19" ht="20.100000000000001" customHeight="1">
      <c r="A61" s="265"/>
      <c r="B61" s="265"/>
      <c r="C61" s="221"/>
      <c r="D61" s="265"/>
      <c r="E61" s="265"/>
      <c r="F61" s="265"/>
      <c r="G61" s="265"/>
      <c r="H61" s="265"/>
      <c r="I61" s="265"/>
      <c r="J61" s="218"/>
      <c r="K61" s="265"/>
      <c r="L61" s="265"/>
      <c r="M61" s="221"/>
      <c r="N61" s="265"/>
      <c r="O61" s="265"/>
      <c r="P61" s="265"/>
      <c r="Q61" s="265"/>
      <c r="R61" s="265"/>
      <c r="S61" s="265"/>
    </row>
    <row r="62" spans="1:19" ht="20.100000000000001" customHeight="1">
      <c r="A62" s="265"/>
      <c r="B62" s="265"/>
      <c r="C62" s="221"/>
      <c r="D62" s="265"/>
      <c r="E62" s="265"/>
      <c r="F62" s="265"/>
      <c r="G62" s="265"/>
      <c r="H62" s="265"/>
      <c r="I62" s="265"/>
      <c r="J62" s="218"/>
      <c r="K62" s="265"/>
      <c r="L62" s="265"/>
      <c r="M62" s="221"/>
      <c r="N62" s="265"/>
      <c r="O62" s="265"/>
      <c r="P62" s="265"/>
      <c r="Q62" s="265"/>
      <c r="R62" s="265"/>
      <c r="S62" s="265"/>
    </row>
    <row r="63" spans="1:19" ht="20.100000000000001" customHeight="1">
      <c r="A63" s="265"/>
      <c r="B63" s="265"/>
      <c r="C63" s="221"/>
      <c r="D63" s="265"/>
      <c r="E63" s="265"/>
      <c r="F63" s="265"/>
      <c r="G63" s="265"/>
      <c r="H63" s="265"/>
      <c r="I63" s="265"/>
      <c r="J63" s="218"/>
      <c r="K63" s="265"/>
      <c r="L63" s="265"/>
      <c r="M63" s="221"/>
      <c r="N63" s="265"/>
      <c r="O63" s="265"/>
      <c r="P63" s="265"/>
      <c r="Q63" s="265"/>
      <c r="R63" s="265"/>
      <c r="S63" s="265"/>
    </row>
    <row r="64" spans="1:19" ht="55.5" customHeight="1">
      <c r="A64" s="267"/>
      <c r="B64" s="267"/>
      <c r="C64" s="218"/>
      <c r="D64" s="267"/>
      <c r="E64" s="267"/>
      <c r="F64" s="267"/>
      <c r="G64" s="267"/>
      <c r="H64" s="267"/>
      <c r="I64" s="218"/>
      <c r="J64" s="218"/>
      <c r="K64" s="218"/>
      <c r="L64" s="218"/>
      <c r="M64" s="218"/>
      <c r="N64" s="218"/>
      <c r="O64" s="218"/>
      <c r="P64" s="218"/>
      <c r="Q64" s="218"/>
    </row>
    <row r="65" spans="1:19" ht="18.75">
      <c r="A65" s="268" t="s">
        <v>290</v>
      </c>
      <c r="B65" s="268"/>
      <c r="C65" s="268"/>
      <c r="D65" s="268"/>
      <c r="E65" s="268"/>
      <c r="F65" s="268"/>
      <c r="G65" s="268"/>
      <c r="H65" s="268"/>
      <c r="I65" s="268"/>
      <c r="J65" s="218"/>
      <c r="K65" s="268" t="s">
        <v>291</v>
      </c>
      <c r="L65" s="268"/>
      <c r="M65" s="268"/>
      <c r="N65" s="268"/>
      <c r="O65" s="268"/>
      <c r="P65" s="268"/>
      <c r="Q65" s="268"/>
      <c r="R65" s="268"/>
      <c r="S65" s="268"/>
    </row>
    <row r="66" spans="1:19" ht="15">
      <c r="A66" s="269" t="s">
        <v>287</v>
      </c>
      <c r="B66" s="269"/>
      <c r="C66" s="220" t="s">
        <v>288</v>
      </c>
      <c r="D66" s="269" t="s">
        <v>283</v>
      </c>
      <c r="E66" s="269"/>
      <c r="F66" s="269"/>
      <c r="G66" s="269"/>
      <c r="H66" s="269"/>
      <c r="I66" s="269"/>
      <c r="J66" s="218"/>
      <c r="K66" s="269" t="s">
        <v>287</v>
      </c>
      <c r="L66" s="269"/>
      <c r="M66" s="220" t="s">
        <v>288</v>
      </c>
      <c r="N66" s="269" t="s">
        <v>283</v>
      </c>
      <c r="O66" s="269"/>
      <c r="P66" s="269"/>
      <c r="Q66" s="269"/>
      <c r="R66" s="269"/>
      <c r="S66" s="269"/>
    </row>
    <row r="67" spans="1:19" ht="20.100000000000001" customHeight="1">
      <c r="A67" s="265"/>
      <c r="B67" s="265"/>
      <c r="C67" s="221"/>
      <c r="D67" s="265"/>
      <c r="E67" s="265"/>
      <c r="F67" s="265"/>
      <c r="G67" s="265"/>
      <c r="H67" s="265"/>
      <c r="I67" s="265"/>
      <c r="J67" s="218"/>
      <c r="K67" s="265"/>
      <c r="L67" s="265"/>
      <c r="M67" s="221"/>
      <c r="N67" s="265"/>
      <c r="O67" s="265"/>
      <c r="P67" s="265"/>
      <c r="Q67" s="265"/>
      <c r="R67" s="265"/>
      <c r="S67" s="265"/>
    </row>
    <row r="68" spans="1:19" ht="20.100000000000001" customHeight="1">
      <c r="A68" s="265"/>
      <c r="B68" s="265"/>
      <c r="C68" s="221"/>
      <c r="D68" s="265"/>
      <c r="E68" s="265"/>
      <c r="F68" s="265"/>
      <c r="G68" s="265"/>
      <c r="H68" s="265"/>
      <c r="I68" s="265"/>
      <c r="J68" s="218"/>
      <c r="K68" s="265"/>
      <c r="L68" s="265"/>
      <c r="M68" s="221"/>
      <c r="N68" s="265"/>
      <c r="O68" s="265"/>
      <c r="P68" s="265"/>
      <c r="Q68" s="265"/>
      <c r="R68" s="265"/>
      <c r="S68" s="265"/>
    </row>
    <row r="69" spans="1:19" ht="20.100000000000001" customHeight="1">
      <c r="A69" s="265"/>
      <c r="B69" s="265"/>
      <c r="C69" s="221"/>
      <c r="D69" s="265"/>
      <c r="E69" s="265"/>
      <c r="F69" s="265"/>
      <c r="G69" s="265"/>
      <c r="H69" s="265"/>
      <c r="I69" s="265"/>
      <c r="J69" s="218"/>
      <c r="K69" s="265"/>
      <c r="L69" s="265"/>
      <c r="M69" s="221"/>
      <c r="N69" s="265"/>
      <c r="O69" s="265"/>
      <c r="P69" s="265"/>
      <c r="Q69" s="265"/>
      <c r="R69" s="265"/>
      <c r="S69" s="265"/>
    </row>
    <row r="70" spans="1:19" ht="20.100000000000001" customHeight="1">
      <c r="A70" s="265"/>
      <c r="B70" s="265"/>
      <c r="C70" s="221"/>
      <c r="D70" s="265"/>
      <c r="E70" s="265"/>
      <c r="F70" s="265"/>
      <c r="G70" s="265"/>
      <c r="H70" s="265"/>
      <c r="I70" s="265"/>
      <c r="J70" s="218"/>
      <c r="K70" s="265"/>
      <c r="L70" s="265"/>
      <c r="M70" s="221"/>
      <c r="N70" s="265"/>
      <c r="O70" s="265"/>
      <c r="P70" s="265"/>
      <c r="Q70" s="265"/>
      <c r="R70" s="265"/>
      <c r="S70" s="265"/>
    </row>
    <row r="71" spans="1:19" ht="20.100000000000001" customHeight="1">
      <c r="A71" s="265"/>
      <c r="B71" s="265"/>
      <c r="C71" s="221"/>
      <c r="D71" s="265"/>
      <c r="E71" s="265"/>
      <c r="F71" s="265"/>
      <c r="G71" s="265"/>
      <c r="H71" s="265"/>
      <c r="I71" s="265"/>
      <c r="J71" s="218"/>
      <c r="K71" s="265"/>
      <c r="L71" s="265"/>
      <c r="M71" s="221"/>
      <c r="N71" s="265"/>
      <c r="O71" s="265"/>
      <c r="P71" s="265"/>
      <c r="Q71" s="265"/>
      <c r="R71" s="265"/>
      <c r="S71" s="265"/>
    </row>
    <row r="72" spans="1:19" ht="20.100000000000001" customHeight="1">
      <c r="A72" s="265"/>
      <c r="B72" s="265"/>
      <c r="C72" s="221"/>
      <c r="D72" s="265"/>
      <c r="E72" s="265"/>
      <c r="F72" s="265"/>
      <c r="G72" s="265"/>
      <c r="H72" s="265"/>
      <c r="I72" s="265"/>
      <c r="J72" s="218"/>
      <c r="K72" s="265"/>
      <c r="L72" s="265"/>
      <c r="M72" s="221"/>
      <c r="N72" s="265"/>
      <c r="O72" s="265"/>
      <c r="P72" s="265"/>
      <c r="Q72" s="265"/>
      <c r="R72" s="265"/>
      <c r="S72" s="265"/>
    </row>
    <row r="73" spans="1:19" ht="20.100000000000001" customHeight="1">
      <c r="A73" s="265"/>
      <c r="B73" s="265"/>
      <c r="C73" s="221"/>
      <c r="D73" s="265"/>
      <c r="E73" s="265"/>
      <c r="F73" s="265"/>
      <c r="G73" s="265"/>
      <c r="H73" s="265"/>
      <c r="I73" s="265"/>
      <c r="J73" s="218"/>
      <c r="K73" s="265"/>
      <c r="L73" s="265"/>
      <c r="M73" s="221"/>
      <c r="N73" s="265"/>
      <c r="O73" s="265"/>
      <c r="P73" s="265"/>
      <c r="Q73" s="265"/>
      <c r="R73" s="265"/>
      <c r="S73" s="265"/>
    </row>
    <row r="74" spans="1:19" ht="20.100000000000001" customHeight="1">
      <c r="A74" s="265"/>
      <c r="B74" s="265"/>
      <c r="C74" s="221"/>
      <c r="D74" s="265"/>
      <c r="E74" s="265"/>
      <c r="F74" s="265"/>
      <c r="G74" s="265"/>
      <c r="H74" s="265"/>
      <c r="I74" s="265"/>
      <c r="J74" s="218"/>
      <c r="K74" s="265"/>
      <c r="L74" s="265"/>
      <c r="M74" s="221"/>
      <c r="N74" s="265"/>
      <c r="O74" s="265"/>
      <c r="P74" s="265"/>
      <c r="Q74" s="265"/>
      <c r="R74" s="265"/>
      <c r="S74" s="265"/>
    </row>
    <row r="75" spans="1:19" ht="20.100000000000001" customHeight="1">
      <c r="A75" s="265"/>
      <c r="B75" s="265"/>
      <c r="C75" s="221"/>
      <c r="D75" s="265"/>
      <c r="E75" s="265"/>
      <c r="F75" s="265"/>
      <c r="G75" s="265"/>
      <c r="H75" s="265"/>
      <c r="I75" s="265"/>
      <c r="J75" s="218"/>
      <c r="K75" s="265"/>
      <c r="L75" s="265"/>
      <c r="M75" s="221"/>
      <c r="N75" s="265"/>
      <c r="O75" s="265"/>
      <c r="P75" s="265"/>
      <c r="Q75" s="265"/>
      <c r="R75" s="265"/>
      <c r="S75" s="265"/>
    </row>
    <row r="76" spans="1:19" ht="20.100000000000001" customHeight="1">
      <c r="A76" s="265"/>
      <c r="B76" s="265"/>
      <c r="C76" s="221"/>
      <c r="D76" s="265"/>
      <c r="E76" s="265"/>
      <c r="F76" s="265"/>
      <c r="G76" s="265"/>
      <c r="H76" s="265"/>
      <c r="I76" s="265"/>
      <c r="J76" s="218"/>
      <c r="K76" s="265"/>
      <c r="L76" s="265"/>
      <c r="M76" s="221"/>
      <c r="N76" s="265"/>
      <c r="O76" s="265"/>
      <c r="P76" s="265"/>
      <c r="Q76" s="265"/>
      <c r="R76" s="265"/>
      <c r="S76" s="265"/>
    </row>
    <row r="77" spans="1:19" ht="20.100000000000001" customHeight="1">
      <c r="A77" s="265"/>
      <c r="B77" s="265"/>
      <c r="C77" s="221"/>
      <c r="D77" s="265"/>
      <c r="E77" s="265"/>
      <c r="F77" s="265"/>
      <c r="G77" s="265"/>
      <c r="H77" s="265"/>
      <c r="I77" s="265"/>
      <c r="J77" s="218"/>
      <c r="K77" s="265"/>
      <c r="L77" s="265"/>
      <c r="M77" s="221"/>
      <c r="N77" s="265"/>
      <c r="O77" s="265"/>
      <c r="P77" s="265"/>
      <c r="Q77" s="265"/>
      <c r="R77" s="265"/>
      <c r="S77" s="265"/>
    </row>
    <row r="78" spans="1:19" ht="15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</row>
    <row r="79" spans="1:19" ht="15">
      <c r="A79" s="218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</row>
    <row r="80" spans="1:19" ht="15">
      <c r="A80" s="218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</row>
    <row r="81" spans="1:6" ht="15">
      <c r="A81" s="218"/>
      <c r="B81" s="218"/>
      <c r="C81" s="218"/>
      <c r="D81" s="218"/>
      <c r="E81" s="218"/>
      <c r="F81" s="218"/>
    </row>
  </sheetData>
  <mergeCells count="260">
    <mergeCell ref="H8:Q8"/>
    <mergeCell ref="A6:B6"/>
    <mergeCell ref="C6:D6"/>
    <mergeCell ref="A7:B7"/>
    <mergeCell ref="C7:D7"/>
    <mergeCell ref="A9:S9"/>
    <mergeCell ref="C11:F11"/>
    <mergeCell ref="C12:F12"/>
    <mergeCell ref="C13:F13"/>
    <mergeCell ref="C14:F14"/>
    <mergeCell ref="C15:F15"/>
    <mergeCell ref="M11:P11"/>
    <mergeCell ref="Q11:S11"/>
    <mergeCell ref="M12:P12"/>
    <mergeCell ref="Q12:S12"/>
    <mergeCell ref="C10:F10"/>
    <mergeCell ref="M15:P15"/>
    <mergeCell ref="Q13:S13"/>
    <mergeCell ref="M13:P13"/>
    <mergeCell ref="Q14:S14"/>
    <mergeCell ref="G10:I10"/>
    <mergeCell ref="M10:P10"/>
    <mergeCell ref="Q10:S10"/>
    <mergeCell ref="G11:I11"/>
    <mergeCell ref="G12:I12"/>
    <mergeCell ref="G13:I13"/>
    <mergeCell ref="G14:I14"/>
    <mergeCell ref="G15:I15"/>
    <mergeCell ref="G16:I16"/>
    <mergeCell ref="C17:F17"/>
    <mergeCell ref="C18:F18"/>
    <mergeCell ref="C19:F19"/>
    <mergeCell ref="C16:F16"/>
    <mergeCell ref="G17:I17"/>
    <mergeCell ref="G18:I18"/>
    <mergeCell ref="G19:I19"/>
    <mergeCell ref="G20:I20"/>
    <mergeCell ref="G21:I21"/>
    <mergeCell ref="G26:I26"/>
    <mergeCell ref="C23:F23"/>
    <mergeCell ref="C24:F24"/>
    <mergeCell ref="C25:F25"/>
    <mergeCell ref="C26:F26"/>
    <mergeCell ref="C20:F20"/>
    <mergeCell ref="C21:F21"/>
    <mergeCell ref="C22:F22"/>
    <mergeCell ref="G24:I24"/>
    <mergeCell ref="G25:I25"/>
    <mergeCell ref="G22:I22"/>
    <mergeCell ref="G23:I23"/>
    <mergeCell ref="M19:P19"/>
    <mergeCell ref="Q19:S19"/>
    <mergeCell ref="M20:P20"/>
    <mergeCell ref="Q20:S20"/>
    <mergeCell ref="M21:P21"/>
    <mergeCell ref="Q21:S21"/>
    <mergeCell ref="Q15:S15"/>
    <mergeCell ref="M16:P16"/>
    <mergeCell ref="Q16:S16"/>
    <mergeCell ref="M17:P17"/>
    <mergeCell ref="Q17:S17"/>
    <mergeCell ref="M18:P18"/>
    <mergeCell ref="Q18:S18"/>
    <mergeCell ref="M25:P25"/>
    <mergeCell ref="Q25:S25"/>
    <mergeCell ref="M26:P26"/>
    <mergeCell ref="Q26:S26"/>
    <mergeCell ref="C27:F27"/>
    <mergeCell ref="G27:I27"/>
    <mergeCell ref="M27:P27"/>
    <mergeCell ref="Q27:S27"/>
    <mergeCell ref="M22:P22"/>
    <mergeCell ref="Q22:S22"/>
    <mergeCell ref="M23:P23"/>
    <mergeCell ref="Q23:S23"/>
    <mergeCell ref="M24:P24"/>
    <mergeCell ref="Q24:S24"/>
    <mergeCell ref="C31:F31"/>
    <mergeCell ref="G31:I31"/>
    <mergeCell ref="C32:F32"/>
    <mergeCell ref="G32:I32"/>
    <mergeCell ref="C33:F33"/>
    <mergeCell ref="G33:I33"/>
    <mergeCell ref="C28:F28"/>
    <mergeCell ref="G28:I28"/>
    <mergeCell ref="C29:F29"/>
    <mergeCell ref="G29:I29"/>
    <mergeCell ref="C30:F30"/>
    <mergeCell ref="G30:I30"/>
    <mergeCell ref="C37:F37"/>
    <mergeCell ref="G37:I37"/>
    <mergeCell ref="C38:F38"/>
    <mergeCell ref="G38:I38"/>
    <mergeCell ref="C39:F39"/>
    <mergeCell ref="G39:I39"/>
    <mergeCell ref="C34:F34"/>
    <mergeCell ref="G34:I34"/>
    <mergeCell ref="C35:F35"/>
    <mergeCell ref="G35:I35"/>
    <mergeCell ref="C36:F36"/>
    <mergeCell ref="G36:I36"/>
    <mergeCell ref="C43:F43"/>
    <mergeCell ref="G43:I43"/>
    <mergeCell ref="C44:F44"/>
    <mergeCell ref="G44:I44"/>
    <mergeCell ref="C45:F45"/>
    <mergeCell ref="G45:I45"/>
    <mergeCell ref="C40:F40"/>
    <mergeCell ref="G40:I40"/>
    <mergeCell ref="C41:F41"/>
    <mergeCell ref="G41:I41"/>
    <mergeCell ref="C42:F42"/>
    <mergeCell ref="G42:I42"/>
    <mergeCell ref="M32:P32"/>
    <mergeCell ref="Q32:S32"/>
    <mergeCell ref="M33:P33"/>
    <mergeCell ref="Q33:S33"/>
    <mergeCell ref="M28:P28"/>
    <mergeCell ref="Q28:S28"/>
    <mergeCell ref="M29:P29"/>
    <mergeCell ref="Q29:S29"/>
    <mergeCell ref="M30:P30"/>
    <mergeCell ref="Q30:S30"/>
    <mergeCell ref="M44:P44"/>
    <mergeCell ref="Q44:S44"/>
    <mergeCell ref="M45:P45"/>
    <mergeCell ref="Q45:S45"/>
    <mergeCell ref="M40:P40"/>
    <mergeCell ref="Q40:S40"/>
    <mergeCell ref="M41:P41"/>
    <mergeCell ref="Q41:S41"/>
    <mergeCell ref="M42:P42"/>
    <mergeCell ref="Q42:S42"/>
    <mergeCell ref="A1:S1"/>
    <mergeCell ref="A3:S3"/>
    <mergeCell ref="A4:S4"/>
    <mergeCell ref="O6:S6"/>
    <mergeCell ref="O7:S7"/>
    <mergeCell ref="E6:G7"/>
    <mergeCell ref="I6:M6"/>
    <mergeCell ref="I7:M7"/>
    <mergeCell ref="M43:P43"/>
    <mergeCell ref="Q43:S43"/>
    <mergeCell ref="M37:P37"/>
    <mergeCell ref="Q37:S37"/>
    <mergeCell ref="M38:P38"/>
    <mergeCell ref="Q38:S38"/>
    <mergeCell ref="M39:P39"/>
    <mergeCell ref="Q39:S39"/>
    <mergeCell ref="M34:P34"/>
    <mergeCell ref="Q34:S34"/>
    <mergeCell ref="M35:P35"/>
    <mergeCell ref="Q35:S35"/>
    <mergeCell ref="M36:P36"/>
    <mergeCell ref="Q36:S36"/>
    <mergeCell ref="M31:P31"/>
    <mergeCell ref="Q31:S31"/>
    <mergeCell ref="A59:B59"/>
    <mergeCell ref="A60:B60"/>
    <mergeCell ref="D59:I59"/>
    <mergeCell ref="D60:I60"/>
    <mergeCell ref="A55:B55"/>
    <mergeCell ref="A56:B56"/>
    <mergeCell ref="A57:B57"/>
    <mergeCell ref="A52:B52"/>
    <mergeCell ref="A53:B53"/>
    <mergeCell ref="A54:B54"/>
    <mergeCell ref="K51:S51"/>
    <mergeCell ref="K52:L52"/>
    <mergeCell ref="N52:S52"/>
    <mergeCell ref="K53:L53"/>
    <mergeCell ref="N53:S53"/>
    <mergeCell ref="K54:L54"/>
    <mergeCell ref="N54:S54"/>
    <mergeCell ref="A64:B64"/>
    <mergeCell ref="D64:H64"/>
    <mergeCell ref="A51:I51"/>
    <mergeCell ref="D52:I52"/>
    <mergeCell ref="D53:I53"/>
    <mergeCell ref="D54:I54"/>
    <mergeCell ref="D55:I55"/>
    <mergeCell ref="D56:I56"/>
    <mergeCell ref="D57:I57"/>
    <mergeCell ref="D58:I58"/>
    <mergeCell ref="A61:B61"/>
    <mergeCell ref="A62:B62"/>
    <mergeCell ref="A63:B63"/>
    <mergeCell ref="D61:I61"/>
    <mergeCell ref="D62:I62"/>
    <mergeCell ref="D63:I63"/>
    <mergeCell ref="A58:B58"/>
    <mergeCell ref="K58:L58"/>
    <mergeCell ref="N58:S58"/>
    <mergeCell ref="K59:L59"/>
    <mergeCell ref="N59:S59"/>
    <mergeCell ref="K60:L60"/>
    <mergeCell ref="N60:S60"/>
    <mergeCell ref="K55:L55"/>
    <mergeCell ref="N55:S55"/>
    <mergeCell ref="K56:L56"/>
    <mergeCell ref="N56:S56"/>
    <mergeCell ref="K57:L57"/>
    <mergeCell ref="N57:S57"/>
    <mergeCell ref="D66:I66"/>
    <mergeCell ref="A67:B67"/>
    <mergeCell ref="D67:I67"/>
    <mergeCell ref="A68:B68"/>
    <mergeCell ref="D68:I68"/>
    <mergeCell ref="K61:L61"/>
    <mergeCell ref="N61:S61"/>
    <mergeCell ref="K62:L62"/>
    <mergeCell ref="N62:S62"/>
    <mergeCell ref="K63:L63"/>
    <mergeCell ref="N63:S63"/>
    <mergeCell ref="K68:L68"/>
    <mergeCell ref="N68:S68"/>
    <mergeCell ref="A76:B76"/>
    <mergeCell ref="D76:I76"/>
    <mergeCell ref="A77:B77"/>
    <mergeCell ref="D77:I77"/>
    <mergeCell ref="A72:B72"/>
    <mergeCell ref="D72:I72"/>
    <mergeCell ref="A73:B73"/>
    <mergeCell ref="D73:I73"/>
    <mergeCell ref="A74:B74"/>
    <mergeCell ref="D74:I74"/>
    <mergeCell ref="A69:B69"/>
    <mergeCell ref="D69:I69"/>
    <mergeCell ref="A70:B70"/>
    <mergeCell ref="D70:I70"/>
    <mergeCell ref="A71:B71"/>
    <mergeCell ref="D71:I71"/>
    <mergeCell ref="A49:S49"/>
    <mergeCell ref="K75:L75"/>
    <mergeCell ref="N75:S75"/>
    <mergeCell ref="K69:L69"/>
    <mergeCell ref="N69:S69"/>
    <mergeCell ref="K70:L70"/>
    <mergeCell ref="N70:S70"/>
    <mergeCell ref="K71:L71"/>
    <mergeCell ref="N71:S71"/>
    <mergeCell ref="K65:S65"/>
    <mergeCell ref="K66:L66"/>
    <mergeCell ref="N66:S66"/>
    <mergeCell ref="K67:L67"/>
    <mergeCell ref="N67:S67"/>
    <mergeCell ref="A75:B75"/>
    <mergeCell ref="D75:I75"/>
    <mergeCell ref="A65:I65"/>
    <mergeCell ref="A66:B66"/>
    <mergeCell ref="K76:L76"/>
    <mergeCell ref="N76:S76"/>
    <mergeCell ref="K77:L77"/>
    <mergeCell ref="N77:S77"/>
    <mergeCell ref="K72:L72"/>
    <mergeCell ref="N72:S72"/>
    <mergeCell ref="K73:L73"/>
    <mergeCell ref="N73:S73"/>
    <mergeCell ref="K74:L74"/>
    <mergeCell ref="N74:S74"/>
  </mergeCells>
  <printOptions horizontalCentered="1"/>
  <pageMargins left="0.70866141732283472" right="0.70866141732283472" top="0.39370078740157483" bottom="0.74803149606299213" header="0.31496062992125984" footer="0.31496062992125984"/>
  <pageSetup paperSize="10000" scale="7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E6ED-4FF4-47BE-8676-D48DFC38F5A8}">
  <dimension ref="A1:AD135"/>
  <sheetViews>
    <sheetView showGridLines="0" showRowColHeaders="0" showZeros="0" view="pageBreakPreview" zoomScale="70" zoomScaleSheetLayoutView="70" workbookViewId="0">
      <selection activeCell="W34" sqref="W34:W3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" defaultRowHeight="13.5"/>
  <cols>
    <col min="1" max="1" width="5.25" style="104" customWidth="1"/>
    <col min="2" max="2" width="23.25" style="104" customWidth="1"/>
    <col min="3" max="3" width="12.875" style="107" customWidth="1"/>
    <col min="4" max="4" width="9.875" style="157" hidden="1" customWidth="1"/>
    <col min="5" max="5" width="9.375" style="157" hidden="1" customWidth="1"/>
    <col min="6" max="6" width="7.125" style="157" hidden="1" customWidth="1"/>
    <col min="7" max="7" width="16.25" style="157" hidden="1" customWidth="1"/>
    <col min="8" max="9" width="15.375" style="157" hidden="1" customWidth="1"/>
    <col min="10" max="10" width="8.625" style="157" hidden="1" customWidth="1"/>
    <col min="11" max="11" width="7.25" style="157" hidden="1" customWidth="1"/>
    <col min="12" max="12" width="9.375" style="157" hidden="1" customWidth="1"/>
    <col min="13" max="13" width="2.5" style="157" hidden="1" customWidth="1"/>
    <col min="14" max="14" width="7.25" style="158" customWidth="1"/>
    <col min="15" max="15" width="8.375" style="159" customWidth="1"/>
    <col min="16" max="16" width="6.625" style="159" customWidth="1"/>
    <col min="17" max="17" width="8.375" style="160" customWidth="1"/>
    <col min="18" max="18" width="8" style="160" customWidth="1"/>
    <col min="19" max="19" width="13.75" style="107" customWidth="1"/>
    <col min="20" max="20" width="0.25" style="107" hidden="1" customWidth="1"/>
    <col min="21" max="21" width="7.5" style="136" customWidth="1"/>
    <col min="22" max="22" width="0.375" style="161" hidden="1" customWidth="1"/>
    <col min="23" max="23" width="15.5" style="162" customWidth="1"/>
    <col min="24" max="24" width="15.875" style="107" customWidth="1"/>
    <col min="25" max="25" width="13" style="107" customWidth="1"/>
    <col min="26" max="26" width="9.875" style="107" customWidth="1"/>
    <col min="27" max="27" width="8" style="107" customWidth="1"/>
    <col min="28" max="28" width="10.875" style="107" customWidth="1"/>
    <col min="29" max="29" width="8" style="107" customWidth="1"/>
    <col min="30" max="30" width="49.75" style="104" customWidth="1"/>
    <col min="31" max="16384" width="9" style="104"/>
  </cols>
  <sheetData>
    <row r="1" spans="1:30" s="94" customFormat="1" ht="113.25" customHeight="1">
      <c r="A1" s="302" t="s">
        <v>209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</row>
    <row r="2" spans="1:30" s="94" customFormat="1" ht="28.5" customHeight="1">
      <c r="A2" s="304" t="s">
        <v>217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</row>
    <row r="3" spans="1:30" s="304" customFormat="1" ht="9" customHeight="1"/>
    <row r="4" spans="1:30" s="94" customFormat="1" ht="28.5" customHeight="1">
      <c r="A4" s="301" t="s">
        <v>218</v>
      </c>
      <c r="B4" s="301"/>
      <c r="C4" s="305">
        <f>'FRONT PAGE'!C28</f>
        <v>0</v>
      </c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1" t="s">
        <v>220</v>
      </c>
      <c r="R4" s="301"/>
      <c r="S4" s="301"/>
      <c r="T4" s="95"/>
      <c r="U4" s="96">
        <v>1</v>
      </c>
      <c r="V4" s="97"/>
      <c r="W4" s="290">
        <f>'FRONT PAGE'!H28</f>
        <v>0</v>
      </c>
      <c r="X4" s="291"/>
      <c r="Y4" s="291"/>
      <c r="Z4" s="292"/>
      <c r="AA4" s="96">
        <v>3</v>
      </c>
      <c r="AB4" s="293">
        <f>'FRONT PAGE'!M28</f>
        <v>0</v>
      </c>
      <c r="AC4" s="293"/>
      <c r="AD4" s="293"/>
    </row>
    <row r="5" spans="1:30" s="94" customFormat="1" ht="28.5" customHeight="1">
      <c r="A5" s="301" t="s">
        <v>219</v>
      </c>
      <c r="B5" s="301"/>
      <c r="C5" s="306">
        <f>'FRONT PAGE'!C29</f>
        <v>0</v>
      </c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1"/>
      <c r="R5" s="301"/>
      <c r="S5" s="301"/>
      <c r="T5" s="95"/>
      <c r="U5" s="96">
        <v>2</v>
      </c>
      <c r="V5" s="97"/>
      <c r="W5" s="290">
        <f>'FRONT PAGE'!H29</f>
        <v>0</v>
      </c>
      <c r="X5" s="291"/>
      <c r="Y5" s="291"/>
      <c r="Z5" s="292"/>
      <c r="AA5" s="96">
        <v>4</v>
      </c>
      <c r="AB5" s="293">
        <f>'FRONT PAGE'!M29</f>
        <v>0</v>
      </c>
      <c r="AC5" s="293"/>
      <c r="AD5" s="293"/>
    </row>
    <row r="6" spans="1:30" s="94" customFormat="1" ht="28.5" customHeight="1">
      <c r="A6" s="294" t="s">
        <v>221</v>
      </c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</row>
    <row r="7" spans="1:30" s="94" customFormat="1" ht="28.5" customHeight="1">
      <c r="A7" s="295" t="s">
        <v>222</v>
      </c>
      <c r="B7" s="296"/>
      <c r="C7" s="297">
        <f>'FRONT PAGE'!F21</f>
        <v>0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5" t="s">
        <v>227</v>
      </c>
      <c r="Q7" s="296"/>
      <c r="R7" s="297">
        <f>'FRONT PAGE'!C25</f>
        <v>0</v>
      </c>
      <c r="S7" s="297"/>
      <c r="T7" s="98"/>
      <c r="U7" s="296" t="s">
        <v>226</v>
      </c>
      <c r="V7" s="296"/>
      <c r="W7" s="298"/>
      <c r="X7" s="299">
        <f>'FRONT PAGE'!J25</f>
        <v>0</v>
      </c>
      <c r="Y7" s="300"/>
      <c r="Z7" s="301" t="s">
        <v>223</v>
      </c>
      <c r="AA7" s="301"/>
      <c r="AB7" s="321">
        <f>'FRONT PAGE'!H23</f>
        <v>0</v>
      </c>
      <c r="AC7" s="321"/>
      <c r="AD7" s="99"/>
    </row>
    <row r="8" spans="1:30" ht="24.95" customHeight="1">
      <c r="A8" s="322" t="s">
        <v>11</v>
      </c>
      <c r="B8" s="325" t="s">
        <v>216</v>
      </c>
      <c r="C8" s="325" t="s">
        <v>33</v>
      </c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326" t="s">
        <v>210</v>
      </c>
      <c r="O8" s="327" t="s">
        <v>5</v>
      </c>
      <c r="P8" s="327" t="s">
        <v>13</v>
      </c>
      <c r="Q8" s="329" t="s">
        <v>14</v>
      </c>
      <c r="R8" s="329" t="s">
        <v>6</v>
      </c>
      <c r="S8" s="319" t="s">
        <v>211</v>
      </c>
      <c r="T8" s="102" t="s">
        <v>33</v>
      </c>
      <c r="U8" s="314" t="s">
        <v>15</v>
      </c>
      <c r="V8" s="103"/>
      <c r="W8" s="316" t="s">
        <v>224</v>
      </c>
      <c r="X8" s="318" t="s">
        <v>212</v>
      </c>
      <c r="Y8" s="318" t="s">
        <v>213</v>
      </c>
      <c r="Z8" s="318" t="s">
        <v>225</v>
      </c>
      <c r="AA8" s="318" t="s">
        <v>214</v>
      </c>
      <c r="AB8" s="318" t="s">
        <v>37</v>
      </c>
      <c r="AC8" s="318" t="s">
        <v>215</v>
      </c>
      <c r="AD8" s="345" t="s">
        <v>38</v>
      </c>
    </row>
    <row r="9" spans="1:30" ht="24.95" customHeight="1">
      <c r="A9" s="323"/>
      <c r="B9" s="325"/>
      <c r="C9" s="325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326"/>
      <c r="O9" s="328"/>
      <c r="P9" s="328"/>
      <c r="Q9" s="330"/>
      <c r="R9" s="330"/>
      <c r="S9" s="319"/>
      <c r="T9" s="102" t="s">
        <v>39</v>
      </c>
      <c r="U9" s="315"/>
      <c r="V9" s="103"/>
      <c r="W9" s="317"/>
      <c r="X9" s="319"/>
      <c r="Y9" s="319"/>
      <c r="Z9" s="319"/>
      <c r="AA9" s="319"/>
      <c r="AB9" s="319"/>
      <c r="AC9" s="319"/>
      <c r="AD9" s="346"/>
    </row>
    <row r="10" spans="1:30" s="107" customFormat="1" ht="24.95" customHeight="1">
      <c r="A10" s="323"/>
      <c r="B10" s="325"/>
      <c r="C10" s="325"/>
      <c r="D10" s="100" t="s">
        <v>17</v>
      </c>
      <c r="E10" s="100" t="s">
        <v>18</v>
      </c>
      <c r="F10" s="105" t="s">
        <v>0</v>
      </c>
      <c r="G10" s="105" t="s">
        <v>1</v>
      </c>
      <c r="H10" s="105" t="s">
        <v>19</v>
      </c>
      <c r="I10" s="106" t="s">
        <v>2</v>
      </c>
      <c r="J10" s="105" t="s">
        <v>3</v>
      </c>
      <c r="K10" s="105"/>
      <c r="L10" s="105" t="s">
        <v>20</v>
      </c>
      <c r="M10" s="105" t="s">
        <v>21</v>
      </c>
      <c r="N10" s="326"/>
      <c r="O10" s="328"/>
      <c r="P10" s="328"/>
      <c r="Q10" s="330"/>
      <c r="R10" s="330"/>
      <c r="S10" s="319"/>
      <c r="T10" s="102" t="s">
        <v>44</v>
      </c>
      <c r="U10" s="315"/>
      <c r="V10" s="103"/>
      <c r="W10" s="317"/>
      <c r="X10" s="319"/>
      <c r="Y10" s="319"/>
      <c r="Z10" s="319"/>
      <c r="AA10" s="319"/>
      <c r="AB10" s="319"/>
      <c r="AC10" s="319"/>
      <c r="AD10" s="346"/>
    </row>
    <row r="11" spans="1:30" ht="24.95" customHeight="1">
      <c r="A11" s="324"/>
      <c r="B11" s="325"/>
      <c r="C11" s="325"/>
      <c r="D11" s="101"/>
      <c r="E11" s="101"/>
      <c r="F11" s="108"/>
      <c r="G11" s="108"/>
      <c r="H11" s="108"/>
      <c r="I11" s="109"/>
      <c r="J11" s="108"/>
      <c r="K11" s="108"/>
      <c r="L11" s="108"/>
      <c r="M11" s="108"/>
      <c r="N11" s="326"/>
      <c r="O11" s="328"/>
      <c r="P11" s="328"/>
      <c r="Q11" s="330"/>
      <c r="R11" s="330"/>
      <c r="S11" s="320"/>
      <c r="T11" s="110" t="s">
        <v>47</v>
      </c>
      <c r="U11" s="315"/>
      <c r="V11" s="103"/>
      <c r="W11" s="317"/>
      <c r="X11" s="320"/>
      <c r="Y11" s="320"/>
      <c r="Z11" s="320"/>
      <c r="AA11" s="320"/>
      <c r="AB11" s="320"/>
      <c r="AC11" s="320"/>
      <c r="AD11" s="347"/>
    </row>
    <row r="12" spans="1:30" ht="15" customHeight="1">
      <c r="A12" s="307">
        <v>0</v>
      </c>
      <c r="B12" s="308"/>
      <c r="C12" s="71"/>
      <c r="D12" s="310">
        <f>TRUNC(C12)+((C12-TRUNC(C12))/0.6)</f>
        <v>0</v>
      </c>
      <c r="E12" s="310">
        <f>TRUNC(C13)+((C13-TRUNC(C13))/0.6)</f>
        <v>0</v>
      </c>
      <c r="F12" s="311">
        <f>ROUND(((LOG10(TAN(PI()/4+(D12/2*PI()/180)))*7915.7046)-(3437.7468*((0.0816968^2*SIN(D12*PI()/180))+(0.0816968^4/3*((SIN(D12*PI()/180))^3))+(0.0816968^6/5*((SIN(D12*PI()/180))^5))))),2)</f>
        <v>0</v>
      </c>
      <c r="G12" s="112"/>
      <c r="H12" s="312">
        <f>IF(E12&lt;0,E12+360,E12)</f>
        <v>0</v>
      </c>
      <c r="I12" s="113"/>
      <c r="J12" s="112"/>
      <c r="K12" s="112"/>
      <c r="L12" s="112"/>
      <c r="M12" s="112"/>
      <c r="N12" s="114"/>
      <c r="O12" s="115"/>
      <c r="P12" s="116"/>
      <c r="Q12" s="313">
        <v>0</v>
      </c>
      <c r="R12" s="338">
        <f>'GENERAL INFORMATION'!C14</f>
        <v>0</v>
      </c>
      <c r="S12" s="340"/>
      <c r="T12" s="117" t="s">
        <v>7</v>
      </c>
      <c r="U12" s="163"/>
      <c r="V12" s="118"/>
      <c r="W12" s="342">
        <v>45982.208333333336</v>
      </c>
      <c r="X12" s="340"/>
      <c r="Y12" s="343"/>
      <c r="Z12" s="340"/>
      <c r="AA12" s="340"/>
      <c r="AB12" s="57"/>
      <c r="AC12" s="331"/>
      <c r="AD12" s="333"/>
    </row>
    <row r="13" spans="1:30" ht="15" customHeight="1">
      <c r="A13" s="307"/>
      <c r="B13" s="309"/>
      <c r="C13" s="72"/>
      <c r="D13" s="310"/>
      <c r="E13" s="310"/>
      <c r="F13" s="311"/>
      <c r="G13" s="312">
        <f>ABS(D12-D14)*60</f>
        <v>0</v>
      </c>
      <c r="H13" s="312"/>
      <c r="I13" s="334">
        <f>ABS(H12-H14)*60</f>
        <v>0</v>
      </c>
      <c r="J13" s="335">
        <f>ABS(F12-F14)</f>
        <v>0</v>
      </c>
      <c r="K13" s="336" t="e">
        <f>IF(AND(D12&lt;D14,H12=H14),0,IF(AND(D12&gt;D14,H12=H14),180,IF(AND(D12=D14,H12&lt;H14),90,IF(AND(D12=D14,H12&gt;H14),270,(ATAN(I13/J13)*180/PI())))))</f>
        <v>#DIV/0!</v>
      </c>
      <c r="L13" s="310" t="e">
        <f>IF(OR(K13=0,K13=90,K13=180,K13=270),K13,IF(AND(D12&lt;D14,H12&lt;H14),K13,IF(AND(D12&lt;D14,H12&gt;H14),360-K13,IF(AND(D12&gt;D14,H12&lt;H14),180-K13,IF(AND(D12&gt;D14,H12&gt;H14),180+K13)))))</f>
        <v>#DIV/0!</v>
      </c>
      <c r="M13" s="310">
        <f>(IF(I13=0,G13,IF(G13=0,COS(D14*PI()/180)*I13,G13/COS(K13*PI()/180))))</f>
        <v>0</v>
      </c>
      <c r="N13" s="337" t="str">
        <f>IF(C15="","",ROUND(L13,1))</f>
        <v/>
      </c>
      <c r="O13" s="352" t="str">
        <f>IF(C15="","",ROUND(M13,1))</f>
        <v/>
      </c>
      <c r="P13" s="353"/>
      <c r="Q13" s="313"/>
      <c r="R13" s="339"/>
      <c r="S13" s="341"/>
      <c r="T13" s="122" t="s">
        <v>23</v>
      </c>
      <c r="U13" s="354"/>
      <c r="V13" s="356" t="e">
        <f>(O13/P13+U13/60)/24</f>
        <v>#VALUE!</v>
      </c>
      <c r="W13" s="342"/>
      <c r="X13" s="341"/>
      <c r="Y13" s="344"/>
      <c r="Z13" s="341"/>
      <c r="AA13" s="341"/>
      <c r="AB13" s="56"/>
      <c r="AC13" s="332"/>
      <c r="AD13" s="333"/>
    </row>
    <row r="14" spans="1:30" ht="15" customHeight="1">
      <c r="A14" s="307">
        <v>1</v>
      </c>
      <c r="B14" s="357"/>
      <c r="C14" s="54"/>
      <c r="D14" s="310">
        <f>TRUNC(C14)+((C14-TRUNC(C14))/0.6)</f>
        <v>0</v>
      </c>
      <c r="E14" s="310">
        <f>TRUNC(C15)+((C15-TRUNC(C15))/0.6)</f>
        <v>0</v>
      </c>
      <c r="F14" s="311">
        <f>ROUND(((LOG10(TAN(PI()/4+(D14/2*PI()/180)))*7915.7046)-(3437.7468*((0.0816968^2*SIN(D14*PI()/180))+(0.0816968^4/3*((SIN(D14*PI()/180))^3))+(0.0816968^6/5*((SIN(D14*PI()/180))^5))))),2)</f>
        <v>0</v>
      </c>
      <c r="G14" s="312"/>
      <c r="H14" s="312">
        <f>IF(E14&lt;0,E14+360,E14)</f>
        <v>0</v>
      </c>
      <c r="I14" s="334"/>
      <c r="J14" s="335"/>
      <c r="K14" s="336"/>
      <c r="L14" s="310"/>
      <c r="M14" s="310"/>
      <c r="N14" s="337"/>
      <c r="O14" s="352"/>
      <c r="P14" s="353"/>
      <c r="Q14" s="350" t="str">
        <f>IF(O13="","",Q12+O13)</f>
        <v/>
      </c>
      <c r="R14" s="350" t="str">
        <f>IF(O13="","",R12-O13)</f>
        <v/>
      </c>
      <c r="S14" s="340"/>
      <c r="T14" s="117" t="s">
        <v>7</v>
      </c>
      <c r="U14" s="355"/>
      <c r="V14" s="356"/>
      <c r="W14" s="351" t="str">
        <f>IF(P13="","",W12+V13)</f>
        <v/>
      </c>
      <c r="X14" s="340"/>
      <c r="Y14" s="343"/>
      <c r="Z14" s="340"/>
      <c r="AA14" s="340"/>
      <c r="AB14" s="57"/>
      <c r="AC14" s="331"/>
      <c r="AD14" s="333"/>
    </row>
    <row r="15" spans="1:30" ht="15" customHeight="1">
      <c r="A15" s="307"/>
      <c r="B15" s="357"/>
      <c r="C15" s="55"/>
      <c r="D15" s="310"/>
      <c r="E15" s="310"/>
      <c r="F15" s="311"/>
      <c r="G15" s="312">
        <f>ABS(D14-D16)*60</f>
        <v>0</v>
      </c>
      <c r="H15" s="312"/>
      <c r="I15" s="334">
        <f>ABS(H14-H16)*60</f>
        <v>0</v>
      </c>
      <c r="J15" s="335">
        <f>ABS(F14-F16)</f>
        <v>0</v>
      </c>
      <c r="K15" s="336" t="e">
        <f>IF(AND(D14&lt;D16,H14=H16),0,IF(AND(D14&gt;D16,H14=H16),180,IF(AND(D14=D16,H14&lt;H16),90,IF(AND(D14=D16,H14&gt;H16),270,(ATAN(I15/J15)*180/PI())))))</f>
        <v>#DIV/0!</v>
      </c>
      <c r="L15" s="310" t="e">
        <f>IF(OR(K15=0,K15=90,K15=180,K15=270),K15,IF(AND(D14&lt;D16,H14&lt;H16),K15,IF(AND(D14&lt;D16,H14&gt;H16),360-K15,IF(AND(D14&gt;D16,H14&lt;H16),180-K15,IF(AND(D14&gt;D16,H14&gt;H16),180+K15)))))</f>
        <v>#DIV/0!</v>
      </c>
      <c r="M15" s="310">
        <f>(IF(I15=0,G15,IF(G15=0,COS(D16*PI()/180)*I15,G15/COS(K15*PI()/180))))</f>
        <v>0</v>
      </c>
      <c r="N15" s="337" t="str">
        <f>IF(C17="","",ROUND(L15,1))</f>
        <v/>
      </c>
      <c r="O15" s="352" t="str">
        <f>IF(C17="","",ROUND(M15,1))</f>
        <v/>
      </c>
      <c r="P15" s="353"/>
      <c r="Q15" s="350"/>
      <c r="R15" s="350"/>
      <c r="S15" s="341"/>
      <c r="T15" s="122" t="s">
        <v>23</v>
      </c>
      <c r="U15" s="358"/>
      <c r="V15" s="356" t="e">
        <f>(O15/P15+U15/60)/24</f>
        <v>#VALUE!</v>
      </c>
      <c r="W15" s="351"/>
      <c r="X15" s="341"/>
      <c r="Y15" s="344"/>
      <c r="Z15" s="341"/>
      <c r="AA15" s="341"/>
      <c r="AB15" s="56"/>
      <c r="AC15" s="332"/>
      <c r="AD15" s="333"/>
    </row>
    <row r="16" spans="1:30" ht="15" customHeight="1">
      <c r="A16" s="307">
        <v>2</v>
      </c>
      <c r="B16" s="348"/>
      <c r="C16" s="54"/>
      <c r="D16" s="310">
        <f>TRUNC(C16)+((C16-TRUNC(C16))/0.6)</f>
        <v>0</v>
      </c>
      <c r="E16" s="310">
        <f>TRUNC(C17)+((C17-TRUNC(C17))/0.6)</f>
        <v>0</v>
      </c>
      <c r="F16" s="311">
        <f>ROUND(((LOG10(TAN(PI()/4+(D16/2*PI()/180)))*7915.7046)-(3437.7468*((0.0816968^2*SIN(D16*PI()/180))+(0.0816968^4/3*((SIN(D16*PI()/180))^3))+(0.0816968^6/5*((SIN(D16*PI()/180))^5))))),2)</f>
        <v>0</v>
      </c>
      <c r="G16" s="312"/>
      <c r="H16" s="312">
        <f>IF(E16&lt;0,E16+360,E16)</f>
        <v>0</v>
      </c>
      <c r="I16" s="334"/>
      <c r="J16" s="335"/>
      <c r="K16" s="336"/>
      <c r="L16" s="310"/>
      <c r="M16" s="310"/>
      <c r="N16" s="337"/>
      <c r="O16" s="352"/>
      <c r="P16" s="353"/>
      <c r="Q16" s="350" t="str">
        <f>IF(O15="","",Q14+O15)</f>
        <v/>
      </c>
      <c r="R16" s="350" t="str">
        <f>IF(O15="","",R14-O15)</f>
        <v/>
      </c>
      <c r="S16" s="340"/>
      <c r="T16" s="117" t="s">
        <v>7</v>
      </c>
      <c r="U16" s="355"/>
      <c r="V16" s="356"/>
      <c r="W16" s="351" t="str">
        <f t="shared" ref="W16" si="0">IF(P15="","",W14+V15)</f>
        <v/>
      </c>
      <c r="X16" s="340"/>
      <c r="Y16" s="343"/>
      <c r="Z16" s="340"/>
      <c r="AA16" s="340"/>
      <c r="AB16" s="57"/>
      <c r="AC16" s="331"/>
      <c r="AD16" s="333"/>
    </row>
    <row r="17" spans="1:30" ht="15" customHeight="1">
      <c r="A17" s="307"/>
      <c r="B17" s="349"/>
      <c r="C17" s="55"/>
      <c r="D17" s="310"/>
      <c r="E17" s="310"/>
      <c r="F17" s="311"/>
      <c r="G17" s="312">
        <f>ABS(D16-D18)*60</f>
        <v>0</v>
      </c>
      <c r="H17" s="312"/>
      <c r="I17" s="334">
        <f>ABS(H16-H18)*60</f>
        <v>0</v>
      </c>
      <c r="J17" s="335">
        <f>ABS(F16-F18)</f>
        <v>0</v>
      </c>
      <c r="K17" s="336" t="e">
        <f>IF(AND(D16&lt;D18,H16=H18),0,IF(AND(D16&gt;D18,H16=H18),180,IF(AND(D16=D18,H16&lt;H18),90,IF(AND(D16=D18,H16&gt;H18),270,(ATAN(I17/J17)*180/PI())))))</f>
        <v>#DIV/0!</v>
      </c>
      <c r="L17" s="310" t="e">
        <f>IF(OR(K17=0,K17=90,K17=180,K17=270),K17,IF(AND(D16&lt;D18,H16&lt;H18),K17,IF(AND(D16&lt;D18,H16&gt;H18),360-K17,IF(AND(D16&gt;D18,H16&lt;H18),180-K17,IF(AND(D16&gt;D18,H16&gt;H18),180+K17)))))</f>
        <v>#DIV/0!</v>
      </c>
      <c r="M17" s="310">
        <f>(IF(I17=0,G17,IF(G17=0,COS(D18*PI()/180)*I17,G17/COS(K17*PI()/180))))</f>
        <v>0</v>
      </c>
      <c r="N17" s="337" t="str">
        <f>IF(C19="","",ROUND(L17,1))</f>
        <v/>
      </c>
      <c r="O17" s="352" t="str">
        <f>IF(C19="","",ROUND(M17,1))</f>
        <v/>
      </c>
      <c r="P17" s="353"/>
      <c r="Q17" s="350"/>
      <c r="R17" s="350"/>
      <c r="S17" s="341"/>
      <c r="T17" s="122" t="s">
        <v>23</v>
      </c>
      <c r="U17" s="358"/>
      <c r="V17" s="356" t="e">
        <f>(O17/P17+U17/60)/24</f>
        <v>#VALUE!</v>
      </c>
      <c r="W17" s="351"/>
      <c r="X17" s="341"/>
      <c r="Y17" s="344"/>
      <c r="Z17" s="341"/>
      <c r="AA17" s="341"/>
      <c r="AB17" s="56"/>
      <c r="AC17" s="332"/>
      <c r="AD17" s="333"/>
    </row>
    <row r="18" spans="1:30" ht="15" customHeight="1">
      <c r="A18" s="307">
        <v>3</v>
      </c>
      <c r="B18" s="348"/>
      <c r="C18" s="54"/>
      <c r="D18" s="310">
        <f>TRUNC(C18)+((C18-TRUNC(C18))/0.6)</f>
        <v>0</v>
      </c>
      <c r="E18" s="310">
        <f>TRUNC(C19)+((C19-TRUNC(C19))/0.6)</f>
        <v>0</v>
      </c>
      <c r="F18" s="311">
        <f>ROUND(((LOG10(TAN(PI()/4+(D18/2*PI()/180)))*7915.7046)-(3437.7468*((0.0816968^2*SIN(D18*PI()/180))+(0.0816968^4/3*((SIN(D18*PI()/180))^3))+(0.0816968^6/5*((SIN(D18*PI()/180))^5))))),2)</f>
        <v>0</v>
      </c>
      <c r="G18" s="312"/>
      <c r="H18" s="312">
        <f>IF(E18&lt;0,E18+360,E18)</f>
        <v>0</v>
      </c>
      <c r="I18" s="334"/>
      <c r="J18" s="335"/>
      <c r="K18" s="336"/>
      <c r="L18" s="310"/>
      <c r="M18" s="310"/>
      <c r="N18" s="337"/>
      <c r="O18" s="352"/>
      <c r="P18" s="353"/>
      <c r="Q18" s="350" t="str">
        <f>IF(O17="","",Q16+O17)</f>
        <v/>
      </c>
      <c r="R18" s="350" t="str">
        <f>IF(O17="","",R16-O17)</f>
        <v/>
      </c>
      <c r="S18" s="340"/>
      <c r="T18" s="117" t="s">
        <v>7</v>
      </c>
      <c r="U18" s="355"/>
      <c r="V18" s="356"/>
      <c r="W18" s="351" t="str">
        <f t="shared" ref="W18" si="1">IF(P17="","",W16+V17)</f>
        <v/>
      </c>
      <c r="X18" s="340"/>
      <c r="Y18" s="343"/>
      <c r="Z18" s="340"/>
      <c r="AA18" s="340"/>
      <c r="AB18" s="57"/>
      <c r="AC18" s="331"/>
      <c r="AD18" s="333"/>
    </row>
    <row r="19" spans="1:30" ht="15" customHeight="1">
      <c r="A19" s="307"/>
      <c r="B19" s="349"/>
      <c r="C19" s="55"/>
      <c r="D19" s="310"/>
      <c r="E19" s="310"/>
      <c r="F19" s="311"/>
      <c r="G19" s="312">
        <f>ABS(D18-D20)*60</f>
        <v>0</v>
      </c>
      <c r="H19" s="312"/>
      <c r="I19" s="334">
        <f>ABS(H18-H20)*60</f>
        <v>0</v>
      </c>
      <c r="J19" s="335">
        <f>ABS(F18-F20)</f>
        <v>0</v>
      </c>
      <c r="K19" s="336" t="e">
        <f>IF(AND(D18&lt;D20,H18=H20),0,IF(AND(D18&gt;D20,H18=H20),180,IF(AND(D18=D20,H18&lt;H20),90,IF(AND(D18=D20,H18&gt;H20),270,(ATAN(I19/J19)*180/PI())))))</f>
        <v>#DIV/0!</v>
      </c>
      <c r="L19" s="310" t="e">
        <f>IF(OR(K19=0,K19=90,K19=180,K19=270),K19,IF(AND(D18&lt;D20,H18&lt;H20),K19,IF(AND(D18&lt;D20,H18&gt;H20),360-K19,IF(AND(D18&gt;D20,H18&lt;H20),180-K19,IF(AND(D18&gt;D20,H18&gt;H20),180+K19)))))</f>
        <v>#DIV/0!</v>
      </c>
      <c r="M19" s="310">
        <f>(IF(I19=0,G19,IF(G19=0,COS(D20*PI()/180)*I19,G19/COS(K19*PI()/180))))</f>
        <v>0</v>
      </c>
      <c r="N19" s="337" t="str">
        <f>IF(C21="","",ROUND(L19,1))</f>
        <v/>
      </c>
      <c r="O19" s="352" t="str">
        <f>IF(C21="","",ROUND(M19,1))</f>
        <v/>
      </c>
      <c r="P19" s="353"/>
      <c r="Q19" s="350"/>
      <c r="R19" s="350"/>
      <c r="S19" s="341"/>
      <c r="T19" s="122" t="s">
        <v>23</v>
      </c>
      <c r="U19" s="358"/>
      <c r="V19" s="356" t="e">
        <f>(O19/P19+U19/60)/24</f>
        <v>#VALUE!</v>
      </c>
      <c r="W19" s="351"/>
      <c r="X19" s="341"/>
      <c r="Y19" s="344"/>
      <c r="Z19" s="341"/>
      <c r="AA19" s="341"/>
      <c r="AB19" s="56"/>
      <c r="AC19" s="332"/>
      <c r="AD19" s="333"/>
    </row>
    <row r="20" spans="1:30" ht="15" customHeight="1">
      <c r="A20" s="307">
        <v>4</v>
      </c>
      <c r="B20" s="348"/>
      <c r="C20" s="54"/>
      <c r="D20" s="310">
        <f>TRUNC(C20)+((C20-TRUNC(C20))/0.6)</f>
        <v>0</v>
      </c>
      <c r="E20" s="310">
        <f>TRUNC(C21)+((C21-TRUNC(C21))/0.6)</f>
        <v>0</v>
      </c>
      <c r="F20" s="311">
        <f>ROUND(((LOG10(TAN(PI()/4+(D20/2*PI()/180)))*7915.7046)-(3437.7468*((0.0816968^2*SIN(D20*PI()/180))+(0.0816968^4/3*((SIN(D20*PI()/180))^3))+(0.0816968^6/5*((SIN(D20*PI()/180))^5))))),2)</f>
        <v>0</v>
      </c>
      <c r="G20" s="312"/>
      <c r="H20" s="312">
        <f>IF(E20&lt;0,E20+360,E20)</f>
        <v>0</v>
      </c>
      <c r="I20" s="334"/>
      <c r="J20" s="335"/>
      <c r="K20" s="336"/>
      <c r="L20" s="310"/>
      <c r="M20" s="310"/>
      <c r="N20" s="337"/>
      <c r="O20" s="352"/>
      <c r="P20" s="353"/>
      <c r="Q20" s="350" t="str">
        <f>IF(O19="","",Q18+O19)</f>
        <v/>
      </c>
      <c r="R20" s="350" t="str">
        <f>IF(O19="","",R18-O19)</f>
        <v/>
      </c>
      <c r="S20" s="340"/>
      <c r="T20" s="117" t="s">
        <v>7</v>
      </c>
      <c r="U20" s="355"/>
      <c r="V20" s="356"/>
      <c r="W20" s="351" t="str">
        <f t="shared" ref="W20" si="2">IF(P19="","",W18+V19)</f>
        <v/>
      </c>
      <c r="X20" s="340"/>
      <c r="Y20" s="343"/>
      <c r="Z20" s="340"/>
      <c r="AA20" s="340"/>
      <c r="AB20" s="57"/>
      <c r="AC20" s="331"/>
      <c r="AD20" s="333"/>
    </row>
    <row r="21" spans="1:30" ht="15" customHeight="1">
      <c r="A21" s="307"/>
      <c r="B21" s="349"/>
      <c r="C21" s="55"/>
      <c r="D21" s="310"/>
      <c r="E21" s="310"/>
      <c r="F21" s="311"/>
      <c r="G21" s="312">
        <f>ABS(D20-D22)*60</f>
        <v>0</v>
      </c>
      <c r="H21" s="312"/>
      <c r="I21" s="334">
        <f>ABS(H20-H22)*60</f>
        <v>0</v>
      </c>
      <c r="J21" s="335">
        <f>ABS(F20-F22)</f>
        <v>0</v>
      </c>
      <c r="K21" s="336" t="e">
        <f>IF(AND(D20&lt;D22,H20=H22),0,IF(AND(D20&gt;D22,H20=H22),180,IF(AND(D20=D22,H20&lt;H22),90,IF(AND(D20=D22,H20&gt;H22),270,(ATAN(I21/J21)*180/PI())))))</f>
        <v>#DIV/0!</v>
      </c>
      <c r="L21" s="310" t="e">
        <f>IF(OR(K21=0,K21=90,K21=180,K21=270),K21,IF(AND(D20&lt;D22,H20&lt;H22),K21,IF(AND(D20&lt;D22,H20&gt;H22),360-K21,IF(AND(D20&gt;D22,H20&lt;H22),180-K21,IF(AND(D20&gt;D22,H20&gt;H22),180+K21)))))</f>
        <v>#DIV/0!</v>
      </c>
      <c r="M21" s="310">
        <f>(IF(I21=0,G21,IF(G21=0,COS(D22*PI()/180)*I21,G21/COS(K21*PI()/180))))</f>
        <v>0</v>
      </c>
      <c r="N21" s="337" t="str">
        <f>IF(C23="","",ROUND(L21,1))</f>
        <v/>
      </c>
      <c r="O21" s="352" t="str">
        <f>IF(C23="","",ROUND(M21,1))</f>
        <v/>
      </c>
      <c r="P21" s="353"/>
      <c r="Q21" s="350"/>
      <c r="R21" s="350"/>
      <c r="S21" s="341"/>
      <c r="T21" s="122" t="s">
        <v>24</v>
      </c>
      <c r="U21" s="358"/>
      <c r="V21" s="356" t="e">
        <f>(O21/P21+U21/60)/24</f>
        <v>#VALUE!</v>
      </c>
      <c r="W21" s="351"/>
      <c r="X21" s="341"/>
      <c r="Y21" s="344"/>
      <c r="Z21" s="341"/>
      <c r="AA21" s="341"/>
      <c r="AB21" s="56"/>
      <c r="AC21" s="332"/>
      <c r="AD21" s="333"/>
    </row>
    <row r="22" spans="1:30" ht="15" customHeight="1">
      <c r="A22" s="307">
        <v>5</v>
      </c>
      <c r="B22" s="348"/>
      <c r="C22" s="54"/>
      <c r="D22" s="310">
        <f>TRUNC(C22)+((C22-TRUNC(C22))/0.6)</f>
        <v>0</v>
      </c>
      <c r="E22" s="310">
        <f>TRUNC(C23)+((C23-TRUNC(C23))/0.6)</f>
        <v>0</v>
      </c>
      <c r="F22" s="311">
        <f>ROUND(((LOG10(TAN(PI()/4+(D22/2*PI()/180)))*7915.7046)-(3437.7468*((0.0816968^2*SIN(D22*PI()/180))+(0.0816968^4/3*((SIN(D22*PI()/180))^3))+(0.0816968^6/5*((SIN(D22*PI()/180))^5))))),2)</f>
        <v>0</v>
      </c>
      <c r="G22" s="312"/>
      <c r="H22" s="312">
        <f>IF(E22&lt;0,E22+360,E22)</f>
        <v>0</v>
      </c>
      <c r="I22" s="334"/>
      <c r="J22" s="335"/>
      <c r="K22" s="336"/>
      <c r="L22" s="310"/>
      <c r="M22" s="310"/>
      <c r="N22" s="337"/>
      <c r="O22" s="352"/>
      <c r="P22" s="353"/>
      <c r="Q22" s="350" t="str">
        <f>IF(O21="","",Q20+O21)</f>
        <v/>
      </c>
      <c r="R22" s="350" t="str">
        <f>IF(O21="","",R20-O21)</f>
        <v/>
      </c>
      <c r="S22" s="340"/>
      <c r="T22" s="117" t="s">
        <v>7</v>
      </c>
      <c r="U22" s="355"/>
      <c r="V22" s="356"/>
      <c r="W22" s="351" t="str">
        <f t="shared" ref="W22" si="3">IF(P21="","",W20+V21)</f>
        <v/>
      </c>
      <c r="X22" s="340"/>
      <c r="Y22" s="343"/>
      <c r="Z22" s="340"/>
      <c r="AA22" s="340"/>
      <c r="AB22" s="57"/>
      <c r="AC22" s="331"/>
      <c r="AD22" s="333"/>
    </row>
    <row r="23" spans="1:30" ht="15" customHeight="1">
      <c r="A23" s="307"/>
      <c r="B23" s="349"/>
      <c r="C23" s="55"/>
      <c r="D23" s="310"/>
      <c r="E23" s="310"/>
      <c r="F23" s="311"/>
      <c r="G23" s="312">
        <f>ABS(D22-D24)*60</f>
        <v>0</v>
      </c>
      <c r="H23" s="312"/>
      <c r="I23" s="334">
        <f>ABS(H22-H24)*60</f>
        <v>0</v>
      </c>
      <c r="J23" s="335">
        <f>ABS(F22-F24)</f>
        <v>0</v>
      </c>
      <c r="K23" s="336" t="e">
        <f>IF(AND(D22&lt;D24,H22=H24),0,IF(AND(D22&gt;D24,H22=H24),180,IF(AND(D22=D24,H22&lt;H24),90,IF(AND(D22=D24,H22&gt;H24),270,(ATAN(I23/J23)*180/PI())))))</f>
        <v>#DIV/0!</v>
      </c>
      <c r="L23" s="310" t="e">
        <f>IF(OR(K23=0,K23=90,K23=180,K23=270),K23,IF(AND(D22&lt;D24,H22&lt;H24),K23,IF(AND(D22&lt;D24,H22&gt;H24),360-K23,IF(AND(D22&gt;D24,H22&lt;H24),180-K23,IF(AND(D22&gt;D24,H22&gt;H24),180+K23)))))</f>
        <v>#DIV/0!</v>
      </c>
      <c r="M23" s="310">
        <f>(IF(I23=0,G23,IF(G23=0,COS(D24*PI()/180)*I23,G23/COS(K23*PI()/180))))</f>
        <v>0</v>
      </c>
      <c r="N23" s="337" t="str">
        <f>IF(C25="","",ROUND(L23,1))</f>
        <v/>
      </c>
      <c r="O23" s="352" t="str">
        <f>IF(C25="","",ROUND(M23,1))</f>
        <v/>
      </c>
      <c r="P23" s="353"/>
      <c r="Q23" s="350"/>
      <c r="R23" s="350"/>
      <c r="S23" s="341"/>
      <c r="T23" s="122" t="s">
        <v>23</v>
      </c>
      <c r="U23" s="358"/>
      <c r="V23" s="356" t="e">
        <f>(O23/P23+U23/60)/24</f>
        <v>#VALUE!</v>
      </c>
      <c r="W23" s="351"/>
      <c r="X23" s="341"/>
      <c r="Y23" s="344"/>
      <c r="Z23" s="341"/>
      <c r="AA23" s="341"/>
      <c r="AB23" s="56"/>
      <c r="AC23" s="332"/>
      <c r="AD23" s="333"/>
    </row>
    <row r="24" spans="1:30" ht="15" customHeight="1">
      <c r="A24" s="307">
        <v>6</v>
      </c>
      <c r="B24" s="348"/>
      <c r="C24" s="54"/>
      <c r="D24" s="310">
        <f>TRUNC(C24)+((C24-TRUNC(C24))/0.6)</f>
        <v>0</v>
      </c>
      <c r="E24" s="310">
        <f>TRUNC(C25)+((C25-TRUNC(C25))/0.6)</f>
        <v>0</v>
      </c>
      <c r="F24" s="311">
        <f>ROUND(((LOG10(TAN(PI()/4+(D24/2*PI()/180)))*7915.7046)-(3437.7468*((0.0816968^2*SIN(D24*PI()/180))+(0.0816968^4/3*((SIN(D24*PI()/180))^3))+(0.0816968^6/5*((SIN(D24*PI()/180))^5))))),2)</f>
        <v>0</v>
      </c>
      <c r="G24" s="312"/>
      <c r="H24" s="312">
        <f>IF(E24&lt;0,E24+360,E24)</f>
        <v>0</v>
      </c>
      <c r="I24" s="334"/>
      <c r="J24" s="335"/>
      <c r="K24" s="336"/>
      <c r="L24" s="310"/>
      <c r="M24" s="310"/>
      <c r="N24" s="337"/>
      <c r="O24" s="352"/>
      <c r="P24" s="353"/>
      <c r="Q24" s="350" t="str">
        <f>IF(O23="","",Q22+O23)</f>
        <v/>
      </c>
      <c r="R24" s="350" t="str">
        <f>IF(O23="","",R22-O23)</f>
        <v/>
      </c>
      <c r="S24" s="340"/>
      <c r="T24" s="117" t="s">
        <v>25</v>
      </c>
      <c r="U24" s="355"/>
      <c r="V24" s="356"/>
      <c r="W24" s="351" t="str">
        <f t="shared" ref="W24" si="4">IF(P23="","",W22+V23)</f>
        <v/>
      </c>
      <c r="X24" s="340"/>
      <c r="Y24" s="343"/>
      <c r="Z24" s="340"/>
      <c r="AA24" s="340"/>
      <c r="AB24" s="57"/>
      <c r="AC24" s="331"/>
      <c r="AD24" s="333"/>
    </row>
    <row r="25" spans="1:30" ht="15" customHeight="1">
      <c r="A25" s="307"/>
      <c r="B25" s="349"/>
      <c r="C25" s="55"/>
      <c r="D25" s="310"/>
      <c r="E25" s="310"/>
      <c r="F25" s="311"/>
      <c r="G25" s="312">
        <f>ABS(D24-D26)*60</f>
        <v>0</v>
      </c>
      <c r="H25" s="312"/>
      <c r="I25" s="334">
        <f>ABS(H24-H26)*60</f>
        <v>0</v>
      </c>
      <c r="J25" s="335">
        <f>ABS(F24-F26)</f>
        <v>0</v>
      </c>
      <c r="K25" s="336" t="e">
        <f>IF(AND(D24&lt;D26,H24=H26),0,IF(AND(D24&gt;D26,H24=H26),180,IF(AND(D24=D26,H24&lt;H26),90,IF(AND(D24=D26,H24&gt;H26),270,(ATAN(I25/J25)*180/PI())))))</f>
        <v>#DIV/0!</v>
      </c>
      <c r="L25" s="310" t="e">
        <f>IF(OR(K25=0,K25=90,K25=180,K25=270),K25,IF(AND(D24&lt;D26,H24&lt;H26),K25,IF(AND(D24&lt;D26,H24&gt;H26),360-K25,IF(AND(D24&gt;D26,H24&lt;H26),180-K25,IF(AND(D24&gt;D26,H24&gt;H26),180+K25)))))</f>
        <v>#DIV/0!</v>
      </c>
      <c r="M25" s="310">
        <f>(IF(I25=0,G25,IF(G25=0,COS(D26*PI()/180)*I25,G25/COS(K25*PI()/180))))</f>
        <v>0</v>
      </c>
      <c r="N25" s="337" t="str">
        <f>IF(C27="","",ROUND(L25,1))</f>
        <v/>
      </c>
      <c r="O25" s="352" t="str">
        <f>IF(C27="","",ROUND(M25,1))</f>
        <v/>
      </c>
      <c r="P25" s="353"/>
      <c r="Q25" s="350"/>
      <c r="R25" s="350"/>
      <c r="S25" s="341"/>
      <c r="T25" s="122" t="s">
        <v>24</v>
      </c>
      <c r="U25" s="358"/>
      <c r="V25" s="356" t="e">
        <f>(O25/P25+U25/60)/24</f>
        <v>#VALUE!</v>
      </c>
      <c r="W25" s="351"/>
      <c r="X25" s="341"/>
      <c r="Y25" s="344"/>
      <c r="Z25" s="341"/>
      <c r="AA25" s="341"/>
      <c r="AB25" s="56"/>
      <c r="AC25" s="332"/>
      <c r="AD25" s="333"/>
    </row>
    <row r="26" spans="1:30" ht="15" customHeight="1">
      <c r="A26" s="307">
        <v>7</v>
      </c>
      <c r="B26" s="348"/>
      <c r="C26" s="54"/>
      <c r="D26" s="310">
        <f>TRUNC(C26)+((C26-TRUNC(C26))/0.6)</f>
        <v>0</v>
      </c>
      <c r="E26" s="310">
        <f>TRUNC(C27)+((C27-TRUNC(C27))/0.6)</f>
        <v>0</v>
      </c>
      <c r="F26" s="311">
        <f>ROUND(((LOG10(TAN(PI()/4+(D26/2*PI()/180)))*7915.7046)-(3437.7468*((0.0816968^2*SIN(D26*PI()/180))+(0.0816968^4/3*((SIN(D26*PI()/180))^3))+(0.0816968^6/5*((SIN(D26*PI()/180))^5))))),2)</f>
        <v>0</v>
      </c>
      <c r="G26" s="312"/>
      <c r="H26" s="312">
        <f>IF(E26&lt;0,E26+360,E26)</f>
        <v>0</v>
      </c>
      <c r="I26" s="334"/>
      <c r="J26" s="335"/>
      <c r="K26" s="336"/>
      <c r="L26" s="310"/>
      <c r="M26" s="310"/>
      <c r="N26" s="337"/>
      <c r="O26" s="352"/>
      <c r="P26" s="353"/>
      <c r="Q26" s="350" t="str">
        <f>IF(O25="","",Q24+O25)</f>
        <v/>
      </c>
      <c r="R26" s="350" t="str">
        <f>IF(O25="","",R24-O25)</f>
        <v/>
      </c>
      <c r="S26" s="340"/>
      <c r="T26" s="117" t="s">
        <v>25</v>
      </c>
      <c r="U26" s="355"/>
      <c r="V26" s="356"/>
      <c r="W26" s="351" t="str">
        <f t="shared" ref="W26" si="5">IF(P25="","",W24+V25)</f>
        <v/>
      </c>
      <c r="X26" s="340"/>
      <c r="Y26" s="343"/>
      <c r="Z26" s="340"/>
      <c r="AA26" s="340"/>
      <c r="AB26" s="57"/>
      <c r="AC26" s="331"/>
      <c r="AD26" s="333"/>
    </row>
    <row r="27" spans="1:30" ht="15" customHeight="1">
      <c r="A27" s="307"/>
      <c r="B27" s="349"/>
      <c r="C27" s="55"/>
      <c r="D27" s="310"/>
      <c r="E27" s="310"/>
      <c r="F27" s="311"/>
      <c r="G27" s="312">
        <f>ABS(D26-D28)*60</f>
        <v>0</v>
      </c>
      <c r="H27" s="312"/>
      <c r="I27" s="334">
        <f>ABS(H26-H28)*60</f>
        <v>0</v>
      </c>
      <c r="J27" s="335">
        <f>ABS(F26-F28)</f>
        <v>0</v>
      </c>
      <c r="K27" s="336" t="e">
        <f>IF(AND(D26&lt;D28,H26=H28),0,IF(AND(D26&gt;D28,H26=H28),180,IF(AND(D26=D28,H26&lt;H28),90,IF(AND(D26=D28,H26&gt;H28),270,(ATAN(I27/J27)*180/PI())))))</f>
        <v>#DIV/0!</v>
      </c>
      <c r="L27" s="310" t="e">
        <f>IF(OR(K27=0,K27=90,K27=180,K27=270),K27,IF(AND(D26&lt;D28,H26&lt;H28),K27,IF(AND(D26&lt;D28,H26&gt;H28),360-K27,IF(AND(D26&gt;D28,H26&lt;H28),180-K27,IF(AND(D26&gt;D28,H26&gt;H28),180+K27)))))</f>
        <v>#DIV/0!</v>
      </c>
      <c r="M27" s="310">
        <f>(IF(I27=0,G27,IF(G27=0,COS(D28*PI()/180)*I27,G27/COS(K27*PI()/180))))</f>
        <v>0</v>
      </c>
      <c r="N27" s="337" t="str">
        <f>IF(C29="","",ROUND(L27,1))</f>
        <v/>
      </c>
      <c r="O27" s="352" t="str">
        <f>IF(C29="","",ROUND(M27,1))</f>
        <v/>
      </c>
      <c r="P27" s="353"/>
      <c r="Q27" s="350"/>
      <c r="R27" s="350"/>
      <c r="S27" s="341"/>
      <c r="T27" s="122" t="s">
        <v>24</v>
      </c>
      <c r="U27" s="358"/>
      <c r="V27" s="356" t="e">
        <f>(O27/P27+U27/60)/24</f>
        <v>#VALUE!</v>
      </c>
      <c r="W27" s="351"/>
      <c r="X27" s="341"/>
      <c r="Y27" s="344"/>
      <c r="Z27" s="341"/>
      <c r="AA27" s="341"/>
      <c r="AB27" s="56"/>
      <c r="AC27" s="332"/>
      <c r="AD27" s="333"/>
    </row>
    <row r="28" spans="1:30" ht="15" customHeight="1">
      <c r="A28" s="307">
        <v>8</v>
      </c>
      <c r="B28" s="348"/>
      <c r="C28" s="54"/>
      <c r="D28" s="310">
        <f>TRUNC(C28)+((C28-TRUNC(C28))/0.6)</f>
        <v>0</v>
      </c>
      <c r="E28" s="310">
        <f>TRUNC(C29)+((C29-TRUNC(C29))/0.6)</f>
        <v>0</v>
      </c>
      <c r="F28" s="311">
        <f>ROUND(((LOG10(TAN(PI()/4+(D28/2*PI()/180)))*7915.7046)-(3437.7468*((0.0816968^2*SIN(D28*PI()/180))+(0.0816968^4/3*((SIN(D28*PI()/180))^3))+(0.0816968^6/5*((SIN(D28*PI()/180))^5))))),2)</f>
        <v>0</v>
      </c>
      <c r="G28" s="312"/>
      <c r="H28" s="312">
        <f>IF(E28&lt;0,E28+360,E28)</f>
        <v>0</v>
      </c>
      <c r="I28" s="334"/>
      <c r="J28" s="335"/>
      <c r="K28" s="336"/>
      <c r="L28" s="310"/>
      <c r="M28" s="310"/>
      <c r="N28" s="337"/>
      <c r="O28" s="352"/>
      <c r="P28" s="353"/>
      <c r="Q28" s="350" t="str">
        <f>IF(O27="","",Q26+O27)</f>
        <v/>
      </c>
      <c r="R28" s="350" t="str">
        <f>IF(O27="","",R26-O27)</f>
        <v/>
      </c>
      <c r="S28" s="340"/>
      <c r="T28" s="117" t="s">
        <v>30</v>
      </c>
      <c r="U28" s="355"/>
      <c r="V28" s="356"/>
      <c r="W28" s="351" t="str">
        <f t="shared" ref="W28" si="6">IF(P27="","",W26+V27)</f>
        <v/>
      </c>
      <c r="X28" s="340"/>
      <c r="Y28" s="343"/>
      <c r="Z28" s="340"/>
      <c r="AA28" s="340"/>
      <c r="AB28" s="57"/>
      <c r="AC28" s="331"/>
      <c r="AD28" s="333"/>
    </row>
    <row r="29" spans="1:30" ht="15" customHeight="1">
      <c r="A29" s="307"/>
      <c r="B29" s="349"/>
      <c r="C29" s="55"/>
      <c r="D29" s="310"/>
      <c r="E29" s="310"/>
      <c r="F29" s="311"/>
      <c r="G29" s="312">
        <f>ABS(D28-D30)*60</f>
        <v>0</v>
      </c>
      <c r="H29" s="312"/>
      <c r="I29" s="334">
        <f>ABS(H28-H30)*60</f>
        <v>0</v>
      </c>
      <c r="J29" s="335">
        <f>ABS(F28-F30)</f>
        <v>0</v>
      </c>
      <c r="K29" s="336" t="e">
        <f>IF(AND(D28&lt;D30,H28=H30),0,IF(AND(D28&gt;D30,H28=H30),180,IF(AND(D28=D30,H28&lt;H30),90,IF(AND(D28=D30,H28&gt;H30),270,(ATAN(I29/J29)*180/PI())))))</f>
        <v>#DIV/0!</v>
      </c>
      <c r="L29" s="310" t="e">
        <f>IF(OR(K29=0,K29=90,K29=180,K29=270),K29,IF(AND(D28&lt;D30,H28&lt;H30),K29,IF(AND(D28&lt;D30,H28&gt;H30),360-K29,IF(AND(D28&gt;D30,H28&lt;H30),180-K29,IF(AND(D28&gt;D30,H28&gt;H30),180+K29)))))</f>
        <v>#DIV/0!</v>
      </c>
      <c r="M29" s="310">
        <f>(IF(I29=0,G29,IF(G29=0,COS(D30*PI()/180)*I29,G29/COS(K29*PI()/180))))</f>
        <v>0</v>
      </c>
      <c r="N29" s="337" t="str">
        <f>IF(C31="","",ROUND(L29,1))</f>
        <v/>
      </c>
      <c r="O29" s="352" t="str">
        <f>IF(C31="","",ROUND(M29,1))</f>
        <v/>
      </c>
      <c r="P29" s="353"/>
      <c r="Q29" s="350"/>
      <c r="R29" s="350"/>
      <c r="S29" s="341"/>
      <c r="T29" s="122" t="s">
        <v>24</v>
      </c>
      <c r="U29" s="358"/>
      <c r="V29" s="356" t="e">
        <f>(O29/P29+U29/60)/24</f>
        <v>#VALUE!</v>
      </c>
      <c r="W29" s="351"/>
      <c r="X29" s="341"/>
      <c r="Y29" s="344"/>
      <c r="Z29" s="341"/>
      <c r="AA29" s="341"/>
      <c r="AB29" s="53"/>
      <c r="AC29" s="332"/>
      <c r="AD29" s="333"/>
    </row>
    <row r="30" spans="1:30" ht="15" customHeight="1">
      <c r="A30" s="307">
        <v>9</v>
      </c>
      <c r="B30" s="348"/>
      <c r="C30" s="54"/>
      <c r="D30" s="310">
        <f>TRUNC(C30)+((C30-TRUNC(C30))/0.6)</f>
        <v>0</v>
      </c>
      <c r="E30" s="310">
        <f>TRUNC(C31)+((C31-TRUNC(C31))/0.6)</f>
        <v>0</v>
      </c>
      <c r="F30" s="311">
        <f>ROUND(((LOG10(TAN(PI()/4+(D30/2*PI()/180)))*7915.7046)-(3437.7468*((0.0816968^2*SIN(D30*PI()/180))+(0.0816968^4/3*((SIN(D30*PI()/180))^3))+(0.0816968^6/5*((SIN(D30*PI()/180))^5))))),2)</f>
        <v>0</v>
      </c>
      <c r="G30" s="312"/>
      <c r="H30" s="312">
        <f>IF(E30&lt;0,E30+360,E30)</f>
        <v>0</v>
      </c>
      <c r="I30" s="334"/>
      <c r="J30" s="335"/>
      <c r="K30" s="336"/>
      <c r="L30" s="310"/>
      <c r="M30" s="310"/>
      <c r="N30" s="337"/>
      <c r="O30" s="352"/>
      <c r="P30" s="353"/>
      <c r="Q30" s="350" t="str">
        <f>IF(O29="","",Q28+O29)</f>
        <v/>
      </c>
      <c r="R30" s="350" t="str">
        <f>IF(O29="","",R28-O29)</f>
        <v/>
      </c>
      <c r="S30" s="340"/>
      <c r="T30" s="117" t="s">
        <v>25</v>
      </c>
      <c r="U30" s="355"/>
      <c r="V30" s="356"/>
      <c r="W30" s="351" t="str">
        <f t="shared" ref="W30" si="7">IF(P29="","",W28+V29)</f>
        <v/>
      </c>
      <c r="X30" s="340"/>
      <c r="Y30" s="343"/>
      <c r="Z30" s="340"/>
      <c r="AA30" s="340"/>
      <c r="AB30" s="52"/>
      <c r="AC30" s="331"/>
      <c r="AD30" s="333"/>
    </row>
    <row r="31" spans="1:30" ht="15" customHeight="1">
      <c r="A31" s="307"/>
      <c r="B31" s="349"/>
      <c r="C31" s="55"/>
      <c r="D31" s="310"/>
      <c r="E31" s="310"/>
      <c r="F31" s="311"/>
      <c r="G31" s="312">
        <f>ABS(D30-D32)*60</f>
        <v>0</v>
      </c>
      <c r="H31" s="312"/>
      <c r="I31" s="334">
        <f>ABS(H30-H32)*60</f>
        <v>0</v>
      </c>
      <c r="J31" s="335">
        <f>ABS(F30-F32)</f>
        <v>0</v>
      </c>
      <c r="K31" s="336" t="e">
        <f>IF(AND(D30&lt;D32,H30=H32),0,IF(AND(D30&gt;D32,H30=H32),180,IF(AND(D30=D32,H30&lt;H32),90,IF(AND(D30=D32,H30&gt;H32),270,(ATAN(I31/J31)*180/PI())))))</f>
        <v>#DIV/0!</v>
      </c>
      <c r="L31" s="310" t="e">
        <f>IF(OR(K31=0,K31=90,K31=180,K31=270),K31,IF(AND(D30&lt;D32,H30&lt;H32),K31,IF(AND(D30&lt;D32,H30&gt;H32),360-K31,IF(AND(D30&gt;D32,H30&lt;H32),180-K31,IF(AND(D30&gt;D32,H30&gt;H32),180+K31)))))</f>
        <v>#DIV/0!</v>
      </c>
      <c r="M31" s="310">
        <f>(IF(I31=0,G31,IF(G31=0,COS(D32*PI()/180)*I31,G31/COS(K31*PI()/180))))</f>
        <v>0</v>
      </c>
      <c r="N31" s="337" t="str">
        <f>IF(C33="","",ROUND(L31,1))</f>
        <v/>
      </c>
      <c r="O31" s="352" t="str">
        <f>IF(C33="","",ROUND(M31,1))</f>
        <v/>
      </c>
      <c r="P31" s="353"/>
      <c r="Q31" s="350"/>
      <c r="R31" s="350"/>
      <c r="S31" s="341"/>
      <c r="T31" s="122" t="s">
        <v>23</v>
      </c>
      <c r="U31" s="358"/>
      <c r="V31" s="356" t="e">
        <f>(O31/P31+U31/60)/24</f>
        <v>#VALUE!</v>
      </c>
      <c r="W31" s="351"/>
      <c r="X31" s="341"/>
      <c r="Y31" s="344"/>
      <c r="Z31" s="341"/>
      <c r="AA31" s="341"/>
      <c r="AB31" s="53"/>
      <c r="AC31" s="332"/>
      <c r="AD31" s="333"/>
    </row>
    <row r="32" spans="1:30" ht="15" customHeight="1">
      <c r="A32" s="307">
        <v>10</v>
      </c>
      <c r="B32" s="348"/>
      <c r="C32" s="54"/>
      <c r="D32" s="310">
        <f>TRUNC(C32)+((C32-TRUNC(C32))/0.6)</f>
        <v>0</v>
      </c>
      <c r="E32" s="310">
        <f>TRUNC(C33)+((C33-TRUNC(C33))/0.6)</f>
        <v>0</v>
      </c>
      <c r="F32" s="311">
        <f>ROUND(((LOG10(TAN(PI()/4+(D32/2*PI()/180)))*7915.7046)-(3437.7468*((0.0816968^2*SIN(D32*PI()/180))+(0.0816968^4/3*((SIN(D32*PI()/180))^3))+(0.0816968^6/5*((SIN(D32*PI()/180))^5))))),2)</f>
        <v>0</v>
      </c>
      <c r="G32" s="312"/>
      <c r="H32" s="312">
        <f>IF(E32&lt;0,E32+360,E32)</f>
        <v>0</v>
      </c>
      <c r="I32" s="334"/>
      <c r="J32" s="335"/>
      <c r="K32" s="336"/>
      <c r="L32" s="310"/>
      <c r="M32" s="310"/>
      <c r="N32" s="337"/>
      <c r="O32" s="352"/>
      <c r="P32" s="353"/>
      <c r="Q32" s="350" t="str">
        <f>IF(O31="","",Q30+O31)</f>
        <v/>
      </c>
      <c r="R32" s="350" t="str">
        <f>IF(O31="","",R30-O31)</f>
        <v/>
      </c>
      <c r="S32" s="340"/>
      <c r="T32" s="117" t="s">
        <v>25</v>
      </c>
      <c r="U32" s="355"/>
      <c r="V32" s="356"/>
      <c r="W32" s="351" t="str">
        <f t="shared" ref="W32" si="8">IF(P31="","",W30+V31)</f>
        <v/>
      </c>
      <c r="X32" s="340"/>
      <c r="Y32" s="343"/>
      <c r="Z32" s="340"/>
      <c r="AA32" s="340"/>
      <c r="AB32" s="57"/>
      <c r="AC32" s="331"/>
      <c r="AD32" s="333"/>
    </row>
    <row r="33" spans="1:30" ht="15" customHeight="1">
      <c r="A33" s="307"/>
      <c r="B33" s="349"/>
      <c r="C33" s="55"/>
      <c r="D33" s="310"/>
      <c r="E33" s="310"/>
      <c r="F33" s="311"/>
      <c r="G33" s="312">
        <f>ABS(D32-D34)*60</f>
        <v>0</v>
      </c>
      <c r="H33" s="312"/>
      <c r="I33" s="334">
        <f>ABS(H32-H34)*60</f>
        <v>0</v>
      </c>
      <c r="J33" s="335">
        <f>ABS(F32-F34)</f>
        <v>0</v>
      </c>
      <c r="K33" s="336" t="e">
        <f>IF(AND(D32&lt;D34,H32=H34),0,IF(AND(D32&gt;D34,H32=H34),180,IF(AND(D32=D34,H32&lt;H34),90,IF(AND(D32=D34,H32&gt;H34),270,(ATAN(I33/J33)*180/PI())))))</f>
        <v>#DIV/0!</v>
      </c>
      <c r="L33" s="310" t="e">
        <f>IF(OR(K33=0,K33=90,K33=180,K33=270),K33,IF(AND(D32&lt;D34,H32&lt;H34),K33,IF(AND(D32&lt;D34,H32&gt;H34),360-K33,IF(AND(D32&gt;D34,H32&lt;H34),180-K33,IF(AND(D32&gt;D34,H32&gt;H34),180+K33)))))</f>
        <v>#DIV/0!</v>
      </c>
      <c r="M33" s="310">
        <f>(IF(I33=0,G33,IF(G33=0,COS(D34*PI()/180)*I33,G33/COS(K33*PI()/180))))</f>
        <v>0</v>
      </c>
      <c r="N33" s="337" t="str">
        <f>IF(C35="","",ROUND(L33,1))</f>
        <v/>
      </c>
      <c r="O33" s="352" t="str">
        <f>IF(C35="","",ROUND(M33,1))</f>
        <v/>
      </c>
      <c r="P33" s="353"/>
      <c r="Q33" s="350"/>
      <c r="R33" s="350"/>
      <c r="S33" s="341"/>
      <c r="T33" s="122" t="s">
        <v>22</v>
      </c>
      <c r="U33" s="358"/>
      <c r="V33" s="356" t="e">
        <f>(O33/P33+U33/60)/24</f>
        <v>#VALUE!</v>
      </c>
      <c r="W33" s="351"/>
      <c r="X33" s="341"/>
      <c r="Y33" s="344"/>
      <c r="Z33" s="341"/>
      <c r="AA33" s="341"/>
      <c r="AB33" s="56"/>
      <c r="AC33" s="332"/>
      <c r="AD33" s="333"/>
    </row>
    <row r="34" spans="1:30" ht="15" customHeight="1">
      <c r="A34" s="307">
        <v>11</v>
      </c>
      <c r="B34" s="348"/>
      <c r="C34" s="54"/>
      <c r="D34" s="310">
        <f>TRUNC(C34)+((C34-TRUNC(C34))/0.6)</f>
        <v>0</v>
      </c>
      <c r="E34" s="310">
        <f>TRUNC(C35)+((C35-TRUNC(C35))/0.6)</f>
        <v>0</v>
      </c>
      <c r="F34" s="311">
        <f>ROUND(((LOG10(TAN(PI()/4+(D34/2*PI()/180)))*7915.7046)-(3437.7468*((0.0816968^2*SIN(D34*PI()/180))+(0.0816968^4/3*((SIN(D34*PI()/180))^3))+(0.0816968^6/5*((SIN(D34*PI()/180))^5))))),2)</f>
        <v>0</v>
      </c>
      <c r="G34" s="312"/>
      <c r="H34" s="312">
        <f>IF(E34&lt;0,E34+360,E34)</f>
        <v>0</v>
      </c>
      <c r="I34" s="334"/>
      <c r="J34" s="335"/>
      <c r="K34" s="336"/>
      <c r="L34" s="310"/>
      <c r="M34" s="310"/>
      <c r="N34" s="337"/>
      <c r="O34" s="352"/>
      <c r="P34" s="353"/>
      <c r="Q34" s="350" t="str">
        <f>IF(O33="","",Q32+O33)</f>
        <v/>
      </c>
      <c r="R34" s="350" t="str">
        <f>IF(O33="","",R32-O33)</f>
        <v/>
      </c>
      <c r="S34" s="340"/>
      <c r="T34" s="117" t="s">
        <v>25</v>
      </c>
      <c r="U34" s="355"/>
      <c r="V34" s="356"/>
      <c r="W34" s="351" t="str">
        <f t="shared" ref="W34" si="9">IF(P33="","",W32+V33)</f>
        <v/>
      </c>
      <c r="X34" s="340"/>
      <c r="Y34" s="343"/>
      <c r="Z34" s="340"/>
      <c r="AA34" s="340"/>
      <c r="AB34" s="57"/>
      <c r="AC34" s="331"/>
      <c r="AD34" s="333"/>
    </row>
    <row r="35" spans="1:30" ht="15.75" customHeight="1">
      <c r="A35" s="307"/>
      <c r="B35" s="349"/>
      <c r="C35" s="55"/>
      <c r="D35" s="310"/>
      <c r="E35" s="310"/>
      <c r="F35" s="311"/>
      <c r="G35" s="312">
        <f>ABS(D34-D36)*60</f>
        <v>0</v>
      </c>
      <c r="H35" s="312"/>
      <c r="I35" s="334">
        <f>ABS(H34-H36)*60</f>
        <v>0</v>
      </c>
      <c r="J35" s="335">
        <f>ABS(F34-F36)</f>
        <v>0</v>
      </c>
      <c r="K35" s="336" t="e">
        <f>IF(AND(D34&lt;D36,H34=H36),0,IF(AND(D34&gt;D36,H34=H36),180,IF(AND(D34=D36,H34&lt;H36),90,IF(AND(D34=D36,H34&gt;H36),270,(ATAN(I35/J35)*180/PI())))))</f>
        <v>#DIV/0!</v>
      </c>
      <c r="L35" s="310" t="e">
        <f>IF(OR(K35=0,K35=90,K35=180,K35=270),K35,IF(AND(D34&lt;D36,H34&lt;H36),K35,IF(AND(D34&lt;D36,H34&gt;H36),360-K35,IF(AND(D34&gt;D36,H34&lt;H36),180-K35,IF(AND(D34&gt;D36,H34&gt;H36),180+K35)))))</f>
        <v>#DIV/0!</v>
      </c>
      <c r="M35" s="310">
        <f>(IF(I35=0,G35,IF(G35=0,COS(D36*PI()/180)*I35,G35/COS(K35*PI()/180))))</f>
        <v>0</v>
      </c>
      <c r="N35" s="337" t="str">
        <f>IF(C37="","",ROUND(L35,1))</f>
        <v/>
      </c>
      <c r="O35" s="352" t="str">
        <f>IF(C37="","",ROUND(M35,1))</f>
        <v/>
      </c>
      <c r="P35" s="353"/>
      <c r="Q35" s="350"/>
      <c r="R35" s="350"/>
      <c r="S35" s="341"/>
      <c r="T35" s="122" t="s">
        <v>22</v>
      </c>
      <c r="U35" s="358"/>
      <c r="V35" s="356" t="e">
        <f>(O35/P35+U35/60)/24</f>
        <v>#VALUE!</v>
      </c>
      <c r="W35" s="351"/>
      <c r="X35" s="341"/>
      <c r="Y35" s="344"/>
      <c r="Z35" s="341"/>
      <c r="AA35" s="341"/>
      <c r="AB35" s="56"/>
      <c r="AC35" s="332"/>
      <c r="AD35" s="333"/>
    </row>
    <row r="36" spans="1:30" ht="15" customHeight="1">
      <c r="A36" s="307">
        <v>12</v>
      </c>
      <c r="B36" s="348"/>
      <c r="C36" s="54"/>
      <c r="D36" s="310">
        <f>TRUNC(C36)+((C36-TRUNC(C36))/0.6)</f>
        <v>0</v>
      </c>
      <c r="E36" s="310">
        <f>TRUNC(C37)+((C37-TRUNC(C37))/0.6)</f>
        <v>0</v>
      </c>
      <c r="F36" s="311">
        <f>ROUND(((LOG10(TAN(PI()/4+(D36/2*PI()/180)))*7915.7046)-(3437.7468*((0.0816968^2*SIN(D36*PI()/180))+(0.0816968^4/3*((SIN(D36*PI()/180))^3))+(0.0816968^6/5*((SIN(D36*PI()/180))^5))))),2)</f>
        <v>0</v>
      </c>
      <c r="G36" s="312"/>
      <c r="H36" s="312">
        <f>IF(E36&lt;0,E36+360,E36)</f>
        <v>0</v>
      </c>
      <c r="I36" s="334"/>
      <c r="J36" s="335"/>
      <c r="K36" s="336"/>
      <c r="L36" s="310"/>
      <c r="M36" s="310"/>
      <c r="N36" s="337"/>
      <c r="O36" s="352"/>
      <c r="P36" s="353"/>
      <c r="Q36" s="350" t="str">
        <f>IF(O35="","",Q34+O35)</f>
        <v/>
      </c>
      <c r="R36" s="350" t="str">
        <f>IF(O35="","",R34-O35)</f>
        <v/>
      </c>
      <c r="S36" s="340"/>
      <c r="T36" s="117" t="s">
        <v>25</v>
      </c>
      <c r="U36" s="355"/>
      <c r="V36" s="356"/>
      <c r="W36" s="351" t="str">
        <f t="shared" ref="W36" si="10">IF(P35="","",W34+V35)</f>
        <v/>
      </c>
      <c r="X36" s="340"/>
      <c r="Y36" s="343"/>
      <c r="Z36" s="340"/>
      <c r="AA36" s="340"/>
      <c r="AB36" s="57"/>
      <c r="AC36" s="331"/>
      <c r="AD36" s="333"/>
    </row>
    <row r="37" spans="1:30" ht="15" customHeight="1">
      <c r="A37" s="307"/>
      <c r="B37" s="349"/>
      <c r="C37" s="55"/>
      <c r="D37" s="310"/>
      <c r="E37" s="310"/>
      <c r="F37" s="311"/>
      <c r="G37" s="312">
        <f>ABS(D36-D38)*60</f>
        <v>0</v>
      </c>
      <c r="H37" s="312"/>
      <c r="I37" s="334">
        <f>ABS(H36-H38)*60</f>
        <v>0</v>
      </c>
      <c r="J37" s="335">
        <f>ABS(F36-F38)</f>
        <v>0</v>
      </c>
      <c r="K37" s="336" t="e">
        <f>IF(AND(D36&lt;D38,H36=H38),0,IF(AND(D36&gt;D38,H36=H38),180,IF(AND(D36=D38,H36&lt;H38),90,IF(AND(D36=D38,H36&gt;H38),270,(ATAN(I37/J37)*180/PI())))))</f>
        <v>#DIV/0!</v>
      </c>
      <c r="L37" s="310" t="e">
        <f>IF(OR(K37=0,K37=90,K37=180,K37=270),K37,IF(AND(D36&lt;D38,H36&lt;H38),K37,IF(AND(D36&lt;D38,H36&gt;H38),360-K37,IF(AND(D36&gt;D38,H36&lt;H38),180-K37,IF(AND(D36&gt;D38,H36&gt;H38),180+K37)))))</f>
        <v>#DIV/0!</v>
      </c>
      <c r="M37" s="310">
        <f>(IF(I37=0,G37,IF(G37=0,COS(D38*PI()/180)*I37,G37/COS(K37*PI()/180))))</f>
        <v>0</v>
      </c>
      <c r="N37" s="337" t="str">
        <f>IF(C39="","",ROUND(L37,1))</f>
        <v/>
      </c>
      <c r="O37" s="352" t="str">
        <f>IF(C39="","",ROUND(M37,1))</f>
        <v/>
      </c>
      <c r="P37" s="353"/>
      <c r="Q37" s="350"/>
      <c r="R37" s="350"/>
      <c r="S37" s="341"/>
      <c r="T37" s="122" t="s">
        <v>27</v>
      </c>
      <c r="U37" s="358"/>
      <c r="V37" s="356" t="e">
        <f>(O37/P37+U37/60)/24</f>
        <v>#VALUE!</v>
      </c>
      <c r="W37" s="351"/>
      <c r="X37" s="341"/>
      <c r="Y37" s="344"/>
      <c r="Z37" s="341"/>
      <c r="AA37" s="341"/>
      <c r="AB37" s="56"/>
      <c r="AC37" s="332"/>
      <c r="AD37" s="333"/>
    </row>
    <row r="38" spans="1:30" ht="15" customHeight="1">
      <c r="A38" s="307">
        <v>13</v>
      </c>
      <c r="B38" s="348"/>
      <c r="C38" s="54"/>
      <c r="D38" s="310">
        <f>TRUNC(C38)+((C38-TRUNC(C38))/0.6)</f>
        <v>0</v>
      </c>
      <c r="E38" s="310">
        <f>TRUNC(C39)+((C39-TRUNC(C39))/0.6)</f>
        <v>0</v>
      </c>
      <c r="F38" s="311">
        <f>ROUND(((LOG10(TAN(PI()/4+(D38/2*PI()/180)))*7915.7046)-(3437.7468*((0.0816968^2*SIN(D38*PI()/180))+(0.0816968^4/3*((SIN(D38*PI()/180))^3))+(0.0816968^6/5*((SIN(D38*PI()/180))^5))))),2)</f>
        <v>0</v>
      </c>
      <c r="G38" s="312"/>
      <c r="H38" s="312">
        <f>IF(E38&lt;0,E38+360,E38)</f>
        <v>0</v>
      </c>
      <c r="I38" s="334"/>
      <c r="J38" s="335"/>
      <c r="K38" s="336"/>
      <c r="L38" s="310"/>
      <c r="M38" s="310"/>
      <c r="N38" s="337"/>
      <c r="O38" s="352"/>
      <c r="P38" s="353"/>
      <c r="Q38" s="350" t="str">
        <f>IF(O37="","",Q36+O37)</f>
        <v/>
      </c>
      <c r="R38" s="350" t="str">
        <f>IF(O37="","",R36-O37)</f>
        <v/>
      </c>
      <c r="S38" s="340"/>
      <c r="T38" s="117" t="s">
        <v>25</v>
      </c>
      <c r="U38" s="355"/>
      <c r="V38" s="356"/>
      <c r="W38" s="351" t="str">
        <f t="shared" ref="W38" si="11">IF(P37="","",W36+V37)</f>
        <v/>
      </c>
      <c r="X38" s="340"/>
      <c r="Y38" s="343"/>
      <c r="Z38" s="340"/>
      <c r="AA38" s="340"/>
      <c r="AB38" s="57"/>
      <c r="AC38" s="331"/>
      <c r="AD38" s="333"/>
    </row>
    <row r="39" spans="1:30" ht="15" customHeight="1">
      <c r="A39" s="307"/>
      <c r="B39" s="349"/>
      <c r="C39" s="55"/>
      <c r="D39" s="310"/>
      <c r="E39" s="310"/>
      <c r="F39" s="311"/>
      <c r="G39" s="312">
        <f>ABS(D38-D40)*60</f>
        <v>0</v>
      </c>
      <c r="H39" s="312"/>
      <c r="I39" s="334">
        <f>ABS(H38-H40)*60</f>
        <v>0</v>
      </c>
      <c r="J39" s="335">
        <f>ABS(F38-F40)</f>
        <v>0</v>
      </c>
      <c r="K39" s="336" t="e">
        <f>IF(AND(D38&lt;D40,H38=H40),0,IF(AND(D38&gt;D40,H38=H40),180,IF(AND(D38=D40,H38&lt;H40),90,IF(AND(D38=D40,H38&gt;H40),270,(ATAN(I39/J39)*180/PI())))))</f>
        <v>#DIV/0!</v>
      </c>
      <c r="L39" s="310" t="e">
        <f>IF(OR(K39=0,K39=90,K39=180,K39=270),K39,IF(AND(D38&lt;D40,H38&lt;H40),K39,IF(AND(D38&lt;D40,H38&gt;H40),360-K39,IF(AND(D38&gt;D40,H38&lt;H40),180-K39,IF(AND(D38&gt;D40,H38&gt;H40),180+K39)))))</f>
        <v>#DIV/0!</v>
      </c>
      <c r="M39" s="310">
        <f>(IF(I39=0,G39,IF(G39=0,COS(D40*PI()/180)*I39,G39/COS(K39*PI()/180))))</f>
        <v>0</v>
      </c>
      <c r="N39" s="337" t="str">
        <f>IF(C41="","",ROUND(L39,1))</f>
        <v/>
      </c>
      <c r="O39" s="352" t="str">
        <f>IF(C41="","",ROUND(M39,1))</f>
        <v/>
      </c>
      <c r="P39" s="353"/>
      <c r="Q39" s="350"/>
      <c r="R39" s="350"/>
      <c r="S39" s="341"/>
      <c r="T39" s="122" t="s">
        <v>27</v>
      </c>
      <c r="U39" s="358"/>
      <c r="V39" s="356" t="e">
        <f>(O39/P39+U39/60)/24</f>
        <v>#VALUE!</v>
      </c>
      <c r="W39" s="351"/>
      <c r="X39" s="341"/>
      <c r="Y39" s="344"/>
      <c r="Z39" s="341"/>
      <c r="AA39" s="341"/>
      <c r="AB39" s="56"/>
      <c r="AC39" s="332"/>
      <c r="AD39" s="333"/>
    </row>
    <row r="40" spans="1:30" ht="15" customHeight="1">
      <c r="A40" s="307">
        <v>14</v>
      </c>
      <c r="B40" s="348"/>
      <c r="C40" s="54"/>
      <c r="D40" s="310">
        <f>TRUNC(C40)+((C40-TRUNC(C40))/0.6)</f>
        <v>0</v>
      </c>
      <c r="E40" s="310">
        <f>TRUNC(C41)+((C41-TRUNC(C41))/0.6)</f>
        <v>0</v>
      </c>
      <c r="F40" s="311">
        <f>ROUND(((LOG10(TAN(PI()/4+(D40/2*PI()/180)))*7915.7046)-(3437.7468*((0.0816968^2*SIN(D40*PI()/180))+(0.0816968^4/3*((SIN(D40*PI()/180))^3))+(0.0816968^6/5*((SIN(D40*PI()/180))^5))))),2)</f>
        <v>0</v>
      </c>
      <c r="G40" s="312"/>
      <c r="H40" s="312">
        <f>IF(E40&lt;0,E40+360,E40)</f>
        <v>0</v>
      </c>
      <c r="I40" s="334"/>
      <c r="J40" s="335"/>
      <c r="K40" s="336"/>
      <c r="L40" s="310"/>
      <c r="M40" s="310"/>
      <c r="N40" s="337"/>
      <c r="O40" s="352"/>
      <c r="P40" s="353"/>
      <c r="Q40" s="350" t="str">
        <f>IF(O39="","",Q38+O39)</f>
        <v/>
      </c>
      <c r="R40" s="350" t="str">
        <f>IF(O39="","",R38-O39)</f>
        <v/>
      </c>
      <c r="S40" s="340"/>
      <c r="T40" s="117" t="s">
        <v>26</v>
      </c>
      <c r="U40" s="355"/>
      <c r="V40" s="356"/>
      <c r="W40" s="351" t="str">
        <f t="shared" ref="W40" si="12">IF(P39="","",W38+V39)</f>
        <v/>
      </c>
      <c r="X40" s="340"/>
      <c r="Y40" s="343"/>
      <c r="Z40" s="340"/>
      <c r="AA40" s="340"/>
      <c r="AB40" s="57"/>
      <c r="AC40" s="331"/>
      <c r="AD40" s="333"/>
    </row>
    <row r="41" spans="1:30" ht="15" customHeight="1">
      <c r="A41" s="307"/>
      <c r="B41" s="349"/>
      <c r="C41" s="55"/>
      <c r="D41" s="310"/>
      <c r="E41" s="310"/>
      <c r="F41" s="311"/>
      <c r="G41" s="312">
        <f>ABS(D40-D42)*60</f>
        <v>0</v>
      </c>
      <c r="H41" s="312"/>
      <c r="I41" s="334">
        <f>ABS(H40-H42)*60</f>
        <v>0</v>
      </c>
      <c r="J41" s="335">
        <f>ABS(F40-F42)</f>
        <v>0</v>
      </c>
      <c r="K41" s="336" t="e">
        <f>IF(AND(D40&lt;D42,H40=H42),0,IF(AND(D40&gt;D42,H40=H42),180,IF(AND(D40=D42,H40&lt;H42),90,IF(AND(D40=D42,H40&gt;H42),270,(ATAN(I41/J41)*180/PI())))))</f>
        <v>#DIV/0!</v>
      </c>
      <c r="L41" s="310" t="e">
        <f>IF(OR(K41=0,K41=90,K41=180,K41=270),K41,IF(AND(D40&lt;D42,H40&lt;H42),K41,IF(AND(D40&lt;D42,H40&gt;H42),360-K41,IF(AND(D40&gt;D42,H40&lt;H42),180-K41,IF(AND(D40&gt;D42,H40&gt;H42),180+K41)))))</f>
        <v>#DIV/0!</v>
      </c>
      <c r="M41" s="310">
        <f>(IF(I41=0,G41,IF(G41=0,COS(D42*PI()/180)*I41,G41/COS(K41*PI()/180))))</f>
        <v>0</v>
      </c>
      <c r="N41" s="337" t="str">
        <f>IF(C43="","",ROUND(L41,1))</f>
        <v/>
      </c>
      <c r="O41" s="352" t="str">
        <f>IF(C43="","",ROUND(M41,1))</f>
        <v/>
      </c>
      <c r="P41" s="353"/>
      <c r="Q41" s="350"/>
      <c r="R41" s="350"/>
      <c r="S41" s="341"/>
      <c r="T41" s="122" t="s">
        <v>29</v>
      </c>
      <c r="U41" s="358"/>
      <c r="V41" s="356" t="e">
        <f>(O41/P41+U41/60)/24</f>
        <v>#VALUE!</v>
      </c>
      <c r="W41" s="351"/>
      <c r="X41" s="341"/>
      <c r="Y41" s="344"/>
      <c r="Z41" s="341"/>
      <c r="AA41" s="341"/>
      <c r="AB41" s="56"/>
      <c r="AC41" s="332"/>
      <c r="AD41" s="333"/>
    </row>
    <row r="42" spans="1:30" ht="15" customHeight="1">
      <c r="A42" s="307">
        <v>15</v>
      </c>
      <c r="B42" s="348"/>
      <c r="C42" s="54"/>
      <c r="D42" s="310">
        <f>TRUNC(C42)+((C42-TRUNC(C42))/0.6)</f>
        <v>0</v>
      </c>
      <c r="E42" s="310">
        <f>TRUNC(C43)+((C43-TRUNC(C43))/0.6)</f>
        <v>0</v>
      </c>
      <c r="F42" s="311">
        <f>ROUND(((LOG10(TAN(PI()/4+(D42/2*PI()/180)))*7915.7046)-(3437.7468*((0.0816968^2*SIN(D42*PI()/180))+(0.0816968^4/3*((SIN(D42*PI()/180))^3))+(0.0816968^6/5*((SIN(D42*PI()/180))^5))))),2)</f>
        <v>0</v>
      </c>
      <c r="G42" s="312"/>
      <c r="H42" s="312">
        <f>IF(E42&lt;0,E42+360,E42)</f>
        <v>0</v>
      </c>
      <c r="I42" s="334"/>
      <c r="J42" s="335"/>
      <c r="K42" s="336"/>
      <c r="L42" s="310"/>
      <c r="M42" s="310"/>
      <c r="N42" s="337"/>
      <c r="O42" s="352"/>
      <c r="P42" s="353"/>
      <c r="Q42" s="350" t="str">
        <f>IF(O41="","",Q40+O41)</f>
        <v/>
      </c>
      <c r="R42" s="350" t="str">
        <f>IF(O41="","",R40-O41)</f>
        <v/>
      </c>
      <c r="S42" s="340"/>
      <c r="T42" s="117" t="s">
        <v>26</v>
      </c>
      <c r="U42" s="355"/>
      <c r="V42" s="356"/>
      <c r="W42" s="351" t="str">
        <f t="shared" ref="W42" si="13">IF(P41="","",W40+V41)</f>
        <v/>
      </c>
      <c r="X42" s="340"/>
      <c r="Y42" s="343"/>
      <c r="Z42" s="340"/>
      <c r="AA42" s="340"/>
      <c r="AB42" s="57"/>
      <c r="AC42" s="331"/>
      <c r="AD42" s="333"/>
    </row>
    <row r="43" spans="1:30" ht="15" customHeight="1">
      <c r="A43" s="307"/>
      <c r="B43" s="349"/>
      <c r="C43" s="55"/>
      <c r="D43" s="310"/>
      <c r="E43" s="310"/>
      <c r="F43" s="311"/>
      <c r="G43" s="312">
        <f>ABS(D42-D44)*60</f>
        <v>0</v>
      </c>
      <c r="H43" s="312"/>
      <c r="I43" s="334">
        <f>ABS(H42-H44)*60</f>
        <v>0</v>
      </c>
      <c r="J43" s="335">
        <f>ABS(F42-F44)</f>
        <v>0</v>
      </c>
      <c r="K43" s="336" t="e">
        <f>IF(AND(D42&lt;D44,H42=H44),0,IF(AND(D42&gt;D44,H42=H44),180,IF(AND(D42=D44,H42&lt;H44),90,IF(AND(D42=D44,H42&gt;H44),270,(ATAN(I43/J43)*180/PI())))))</f>
        <v>#DIV/0!</v>
      </c>
      <c r="L43" s="310" t="e">
        <f>IF(OR(K43=0,K43=90,K43=180,K43=270),K43,IF(AND(D42&lt;D44,H42&lt;H44),K43,IF(AND(D42&lt;D44,H42&gt;H44),360-K43,IF(AND(D42&gt;D44,H42&lt;H44),180-K43,IF(AND(D42&gt;D44,H42&gt;H44),180+K43)))))</f>
        <v>#DIV/0!</v>
      </c>
      <c r="M43" s="310">
        <f>(IF(I43=0,G43,IF(G43=0,COS(D44*PI()/180)*I43,G43/COS(K43*PI()/180))))</f>
        <v>0</v>
      </c>
      <c r="N43" s="337" t="str">
        <f>IF(C45="","",ROUND(L43,1))</f>
        <v/>
      </c>
      <c r="O43" s="352" t="str">
        <f>IF(C45="","",ROUND(M43,1))</f>
        <v/>
      </c>
      <c r="P43" s="353"/>
      <c r="Q43" s="350"/>
      <c r="R43" s="350"/>
      <c r="S43" s="341"/>
      <c r="T43" s="122" t="s">
        <v>29</v>
      </c>
      <c r="U43" s="358"/>
      <c r="V43" s="356" t="e">
        <f>(O43/P43+U43/60)/24</f>
        <v>#VALUE!</v>
      </c>
      <c r="W43" s="351"/>
      <c r="X43" s="341"/>
      <c r="Y43" s="344"/>
      <c r="Z43" s="341"/>
      <c r="AA43" s="341"/>
      <c r="AB43" s="56"/>
      <c r="AC43" s="332"/>
      <c r="AD43" s="333"/>
    </row>
    <row r="44" spans="1:30" ht="15" customHeight="1">
      <c r="A44" s="307">
        <v>16</v>
      </c>
      <c r="B44" s="348"/>
      <c r="C44" s="54"/>
      <c r="D44" s="310">
        <f>TRUNC(C44)+((C44-TRUNC(C44))/0.6)</f>
        <v>0</v>
      </c>
      <c r="E44" s="310">
        <f>TRUNC(C45)+((C45-TRUNC(C45))/0.6)</f>
        <v>0</v>
      </c>
      <c r="F44" s="311">
        <f>ROUND(((LOG10(TAN(PI()/4+(D44/2*PI()/180)))*7915.7046)-(3437.7468*((0.0816968^2*SIN(D44*PI()/180))+(0.0816968^4/3*((SIN(D44*PI()/180))^3))+(0.0816968^6/5*((SIN(D44*PI()/180))^5))))),2)</f>
        <v>0</v>
      </c>
      <c r="G44" s="312"/>
      <c r="H44" s="312">
        <f>IF(E44&lt;0,E44+360,E44)</f>
        <v>0</v>
      </c>
      <c r="I44" s="334"/>
      <c r="J44" s="335"/>
      <c r="K44" s="336"/>
      <c r="L44" s="310"/>
      <c r="M44" s="310"/>
      <c r="N44" s="337"/>
      <c r="O44" s="352"/>
      <c r="P44" s="353"/>
      <c r="Q44" s="350" t="str">
        <f>IF(O43="","",Q42+O43)</f>
        <v/>
      </c>
      <c r="R44" s="350" t="str">
        <f>IF(O43="","",R42-O43)</f>
        <v/>
      </c>
      <c r="S44" s="340"/>
      <c r="T44" s="117" t="s">
        <v>25</v>
      </c>
      <c r="U44" s="355"/>
      <c r="V44" s="356"/>
      <c r="W44" s="351" t="str">
        <f t="shared" ref="W44" si="14">IF(P43="","",W42+V43)</f>
        <v/>
      </c>
      <c r="X44" s="340"/>
      <c r="Y44" s="343"/>
      <c r="Z44" s="340"/>
      <c r="AA44" s="340"/>
      <c r="AB44" s="57"/>
      <c r="AC44" s="331"/>
      <c r="AD44" s="333"/>
    </row>
    <row r="45" spans="1:30" ht="15" customHeight="1">
      <c r="A45" s="307"/>
      <c r="B45" s="349"/>
      <c r="C45" s="55"/>
      <c r="D45" s="310"/>
      <c r="E45" s="310"/>
      <c r="F45" s="311"/>
      <c r="G45" s="312">
        <f>ABS(D44-D46)*60</f>
        <v>0</v>
      </c>
      <c r="H45" s="312"/>
      <c r="I45" s="334">
        <f>ABS(H44-H46)*60</f>
        <v>0</v>
      </c>
      <c r="J45" s="335">
        <f>ABS(F44-F46)</f>
        <v>0</v>
      </c>
      <c r="K45" s="336" t="e">
        <f>IF(AND(D44&lt;D46,H44=H46),0,IF(AND(D44&gt;D46,H44=H46),180,IF(AND(D44=D46,H44&lt;H46),90,IF(AND(D44=D46,H44&gt;H46),270,(ATAN(I45/J45)*180/PI())))))</f>
        <v>#DIV/0!</v>
      </c>
      <c r="L45" s="310" t="e">
        <f>IF(OR(K45=0,K45=90,K45=180,K45=270),K45,IF(AND(D44&lt;D46,H44&lt;H46),K45,IF(AND(D44&lt;D46,H44&gt;H46),360-K45,IF(AND(D44&gt;D46,H44&lt;H46),180-K45,IF(AND(D44&gt;D46,H44&gt;H46),180+K45)))))</f>
        <v>#DIV/0!</v>
      </c>
      <c r="M45" s="310">
        <f>(IF(I45=0,G45,IF(G45=0,COS(D46*PI()/180)*I45,G45/COS(K45*PI()/180))))</f>
        <v>0</v>
      </c>
      <c r="N45" s="337" t="str">
        <f>IF(C47="","",ROUND(L45,1))</f>
        <v/>
      </c>
      <c r="O45" s="352" t="str">
        <f>IF(C47="","",ROUND(M45,1))</f>
        <v/>
      </c>
      <c r="P45" s="353"/>
      <c r="Q45" s="350"/>
      <c r="R45" s="350"/>
      <c r="S45" s="341"/>
      <c r="T45" s="122" t="s">
        <v>27</v>
      </c>
      <c r="U45" s="358"/>
      <c r="V45" s="356" t="e">
        <f>(O45/P45+U45/60)/24</f>
        <v>#VALUE!</v>
      </c>
      <c r="W45" s="351"/>
      <c r="X45" s="341"/>
      <c r="Y45" s="344"/>
      <c r="Z45" s="341"/>
      <c r="AA45" s="341"/>
      <c r="AB45" s="56"/>
      <c r="AC45" s="332"/>
      <c r="AD45" s="333"/>
    </row>
    <row r="46" spans="1:30" ht="15" customHeight="1">
      <c r="A46" s="307">
        <v>17</v>
      </c>
      <c r="B46" s="348"/>
      <c r="C46" s="54"/>
      <c r="D46" s="310">
        <f>TRUNC(C46)+((C46-TRUNC(C46))/0.6)</f>
        <v>0</v>
      </c>
      <c r="E46" s="310">
        <f>TRUNC(C47)+((C47-TRUNC(C47))/0.6)</f>
        <v>0</v>
      </c>
      <c r="F46" s="311">
        <f>ROUND(((LOG10(TAN(PI()/4+(D46/2*PI()/180)))*7915.7046)-(3437.7468*((0.0816968^2*SIN(D46*PI()/180))+(0.0816968^4/3*((SIN(D46*PI()/180))^3))+(0.0816968^6/5*((SIN(D46*PI()/180))^5))))),2)</f>
        <v>0</v>
      </c>
      <c r="G46" s="312"/>
      <c r="H46" s="312">
        <f>IF(E46&lt;0,E46+360,E46)</f>
        <v>0</v>
      </c>
      <c r="I46" s="334"/>
      <c r="J46" s="335"/>
      <c r="K46" s="336"/>
      <c r="L46" s="310"/>
      <c r="M46" s="310"/>
      <c r="N46" s="337"/>
      <c r="O46" s="352"/>
      <c r="P46" s="353"/>
      <c r="Q46" s="350" t="str">
        <f>IF(O45="","",Q44+O45)</f>
        <v/>
      </c>
      <c r="R46" s="350" t="str">
        <f>IF(O45="","",R44-O45)</f>
        <v/>
      </c>
      <c r="S46" s="340"/>
      <c r="T46" s="117" t="s">
        <v>25</v>
      </c>
      <c r="U46" s="355"/>
      <c r="V46" s="356"/>
      <c r="W46" s="351" t="str">
        <f t="shared" ref="W46" si="15">IF(P45="","",W44+V45)</f>
        <v/>
      </c>
      <c r="X46" s="340"/>
      <c r="Y46" s="343"/>
      <c r="Z46" s="340"/>
      <c r="AA46" s="340"/>
      <c r="AB46" s="57"/>
      <c r="AC46" s="331"/>
      <c r="AD46" s="333"/>
    </row>
    <row r="47" spans="1:30" ht="15" customHeight="1">
      <c r="A47" s="307"/>
      <c r="B47" s="349"/>
      <c r="C47" s="55"/>
      <c r="D47" s="310"/>
      <c r="E47" s="310"/>
      <c r="F47" s="311"/>
      <c r="G47" s="312">
        <f>ABS(D46-D48)*60</f>
        <v>0</v>
      </c>
      <c r="H47" s="312"/>
      <c r="I47" s="334">
        <f>ABS(H46-H48)*60</f>
        <v>0</v>
      </c>
      <c r="J47" s="335">
        <f>ABS(F46-F48)</f>
        <v>0</v>
      </c>
      <c r="K47" s="336" t="e">
        <f>IF(AND(D46&lt;D48,H46=H48),0,IF(AND(D46&gt;D48,H46=H48),180,IF(AND(D46=D48,H46&lt;H48),90,IF(AND(D46=D48,H46&gt;H48),270,(ATAN(I47/J47)*180/PI())))))</f>
        <v>#DIV/0!</v>
      </c>
      <c r="L47" s="310" t="e">
        <f>IF(OR(K47=0,K47=90,K47=180,K47=270),K47,IF(AND(D46&lt;D48,H46&lt;H48),K47,IF(AND(D46&lt;D48,H46&gt;H48),360-K47,IF(AND(D46&gt;D48,H46&lt;H48),180-K47,IF(AND(D46&gt;D48,H46&gt;H48),180+K47)))))</f>
        <v>#DIV/0!</v>
      </c>
      <c r="M47" s="310">
        <f>(IF(I47=0,G47,IF(G47=0,COS(D48*PI()/180)*I47,G47/COS(K47*PI()/180))))</f>
        <v>0</v>
      </c>
      <c r="N47" s="337" t="str">
        <f>IF(C49="","",ROUND(L47,1))</f>
        <v/>
      </c>
      <c r="O47" s="352" t="str">
        <f>IF(C49="","",ROUND(M47,1))</f>
        <v/>
      </c>
      <c r="P47" s="353"/>
      <c r="Q47" s="350"/>
      <c r="R47" s="350"/>
      <c r="S47" s="341"/>
      <c r="T47" s="122" t="s">
        <v>22</v>
      </c>
      <c r="U47" s="358"/>
      <c r="V47" s="356" t="e">
        <f>(O47/P47+U47/60)/24</f>
        <v>#VALUE!</v>
      </c>
      <c r="W47" s="351"/>
      <c r="X47" s="341"/>
      <c r="Y47" s="344"/>
      <c r="Z47" s="341"/>
      <c r="AA47" s="341"/>
      <c r="AB47" s="93"/>
      <c r="AC47" s="332"/>
      <c r="AD47" s="333"/>
    </row>
    <row r="48" spans="1:30" ht="15" customHeight="1">
      <c r="A48" s="307">
        <v>18</v>
      </c>
      <c r="B48" s="348"/>
      <c r="C48" s="54"/>
      <c r="D48" s="310">
        <f>TRUNC(C48)+((C48-TRUNC(C48))/0.6)</f>
        <v>0</v>
      </c>
      <c r="E48" s="310">
        <f>TRUNC(C49)+((C49-TRUNC(C49))/0.6)</f>
        <v>0</v>
      </c>
      <c r="F48" s="311">
        <f>ROUND(((LOG10(TAN(PI()/4+(D48/2*PI()/180)))*7915.7046)-(3437.7468*((0.0816968^2*SIN(D48*PI()/180))+(0.0816968^4/3*((SIN(D48*PI()/180))^3))+(0.0816968^6/5*((SIN(D48*PI()/180))^5))))),2)</f>
        <v>0</v>
      </c>
      <c r="G48" s="312"/>
      <c r="H48" s="312">
        <f>IF(E48&lt;0,E48+360,E48)</f>
        <v>0</v>
      </c>
      <c r="I48" s="334"/>
      <c r="J48" s="335"/>
      <c r="K48" s="336"/>
      <c r="L48" s="310"/>
      <c r="M48" s="310"/>
      <c r="N48" s="337"/>
      <c r="O48" s="352"/>
      <c r="P48" s="353"/>
      <c r="Q48" s="350" t="str">
        <f>IF(O47="","",Q46+O47)</f>
        <v/>
      </c>
      <c r="R48" s="350" t="str">
        <f>IF(O47="","",R46-O47)</f>
        <v/>
      </c>
      <c r="S48" s="340"/>
      <c r="T48" s="117" t="s">
        <v>25</v>
      </c>
      <c r="U48" s="355"/>
      <c r="V48" s="356"/>
      <c r="W48" s="351" t="str">
        <f>IF(P47="","",W46+V47)</f>
        <v/>
      </c>
      <c r="X48" s="340"/>
      <c r="Y48" s="343"/>
      <c r="Z48" s="340"/>
      <c r="AA48" s="340"/>
      <c r="AB48" s="57"/>
      <c r="AC48" s="331"/>
      <c r="AD48" s="333"/>
    </row>
    <row r="49" spans="1:30" ht="15" customHeight="1">
      <c r="A49" s="307"/>
      <c r="B49" s="349"/>
      <c r="C49" s="55"/>
      <c r="D49" s="310"/>
      <c r="E49" s="310"/>
      <c r="F49" s="311"/>
      <c r="G49" s="364">
        <f>ABS(D48-D50)*60</f>
        <v>0</v>
      </c>
      <c r="H49" s="312"/>
      <c r="I49" s="368">
        <f>ABS(H48-H50)*60</f>
        <v>0</v>
      </c>
      <c r="J49" s="370">
        <f>ABS(F48-F50)</f>
        <v>0</v>
      </c>
      <c r="K49" s="372" t="e">
        <f>IF(AND(D48&lt;D50,H48=H50),0,IF(AND(D48&gt;D50,H48=H50),180,IF(AND(D48=D50,H48&lt;H50),90,IF(AND(D48=D50,H48&gt;H50),270,(ATAN(I49/J49)*180/PI())))))</f>
        <v>#DIV/0!</v>
      </c>
      <c r="L49" s="360" t="e">
        <f>IF(OR(K49=0,K49=90,K49=180,K49=270),K49,IF(AND(D48&lt;D50,H48&lt;H50),K49,IF(AND(D48&lt;D50,H48&gt;H50),360-K49,IF(AND(D48&gt;D50,H48&lt;H50),180-K49,IF(AND(D48&gt;D50,H48&gt;H50),180+K49)))))</f>
        <v>#DIV/0!</v>
      </c>
      <c r="M49" s="360">
        <f>(IF(I49=0,G49,IF(G49=0,COS(D50*PI()/180)*I49,G49/COS(K49*PI()/180))))</f>
        <v>0</v>
      </c>
      <c r="N49" s="374" t="str">
        <f>IF(C51="","",ROUND(L49,1))</f>
        <v/>
      </c>
      <c r="O49" s="376" t="str">
        <f>IF(C51="","",ROUND(M49,1))</f>
        <v/>
      </c>
      <c r="P49" s="378"/>
      <c r="Q49" s="350"/>
      <c r="R49" s="350"/>
      <c r="S49" s="341"/>
      <c r="T49" s="122" t="s">
        <v>23</v>
      </c>
      <c r="U49" s="358"/>
      <c r="V49" s="359" t="e">
        <f>(O49/P49+U49/60)/24</f>
        <v>#VALUE!</v>
      </c>
      <c r="W49" s="351"/>
      <c r="X49" s="341"/>
      <c r="Y49" s="344"/>
      <c r="Z49" s="341"/>
      <c r="AA49" s="341"/>
      <c r="AB49" s="93"/>
      <c r="AC49" s="332"/>
      <c r="AD49" s="333"/>
    </row>
    <row r="50" spans="1:30" ht="15" customHeight="1">
      <c r="A50" s="307">
        <v>19</v>
      </c>
      <c r="B50" s="348"/>
      <c r="C50" s="54"/>
      <c r="D50" s="360">
        <f>TRUNC(C50)+((C50-TRUNC(C50))/0.6)</f>
        <v>0</v>
      </c>
      <c r="E50" s="360">
        <f>TRUNC(C51)+((C51-TRUNC(C51))/0.6)</f>
        <v>0</v>
      </c>
      <c r="F50" s="362">
        <f>ROUND(((LOG10(TAN(PI()/4+(D50/2*PI()/180)))*7915.7046)-(3437.7468*((0.0816968^2*SIN(D50*PI()/180))+(0.0816968^4/3*((SIN(D50*PI()/180))^3))+(0.0816968^6/5*((SIN(D50*PI()/180))^5))))),2)</f>
        <v>0</v>
      </c>
      <c r="G50" s="364"/>
      <c r="H50" s="364">
        <f>IF(E50&lt;0,E50+360,E50)</f>
        <v>0</v>
      </c>
      <c r="I50" s="369"/>
      <c r="J50" s="371"/>
      <c r="K50" s="373"/>
      <c r="L50" s="361"/>
      <c r="M50" s="361"/>
      <c r="N50" s="375"/>
      <c r="O50" s="377"/>
      <c r="P50" s="379"/>
      <c r="Q50" s="366" t="str">
        <f>IF(O49="","",Q48+O49)</f>
        <v/>
      </c>
      <c r="R50" s="366" t="str">
        <f>IF(O49="","",R48-O49)</f>
        <v/>
      </c>
      <c r="S50" s="340"/>
      <c r="T50" s="117"/>
      <c r="U50" s="355"/>
      <c r="V50" s="359"/>
      <c r="W50" s="351" t="str">
        <f t="shared" ref="W50" si="16">IF(P49="","",W48+V49)</f>
        <v/>
      </c>
      <c r="X50" s="340"/>
      <c r="Y50" s="340"/>
      <c r="Z50" s="340"/>
      <c r="AA50" s="340"/>
      <c r="AB50" s="57"/>
      <c r="AC50" s="331"/>
      <c r="AD50" s="333"/>
    </row>
    <row r="51" spans="1:30" ht="15" customHeight="1">
      <c r="A51" s="307"/>
      <c r="B51" s="349"/>
      <c r="C51" s="55"/>
      <c r="D51" s="361"/>
      <c r="E51" s="361"/>
      <c r="F51" s="363"/>
      <c r="G51" s="128"/>
      <c r="H51" s="365"/>
      <c r="I51" s="128"/>
      <c r="J51" s="128"/>
      <c r="K51" s="128"/>
      <c r="L51" s="128"/>
      <c r="M51" s="128"/>
      <c r="N51" s="114"/>
      <c r="O51" s="115"/>
      <c r="P51" s="116"/>
      <c r="Q51" s="367"/>
      <c r="R51" s="367"/>
      <c r="S51" s="340"/>
      <c r="T51" s="122"/>
      <c r="U51" s="129"/>
      <c r="V51" s="118"/>
      <c r="W51" s="351"/>
      <c r="X51" s="341"/>
      <c r="Y51" s="340"/>
      <c r="Z51" s="341"/>
      <c r="AA51" s="341"/>
      <c r="AB51" s="56"/>
      <c r="AC51" s="332"/>
      <c r="AD51" s="333"/>
    </row>
    <row r="52" spans="1:30" s="94" customFormat="1" ht="0.75" hidden="1" customHeight="1">
      <c r="A52" s="130" t="s">
        <v>8</v>
      </c>
      <c r="B52" s="387" t="s">
        <v>62</v>
      </c>
      <c r="C52" s="131">
        <v>35.03</v>
      </c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3" t="s">
        <v>9</v>
      </c>
      <c r="Q52" s="134">
        <f>Q1</f>
        <v>0</v>
      </c>
      <c r="R52" s="135"/>
      <c r="S52" s="135"/>
      <c r="T52" s="133">
        <f>T1</f>
        <v>0</v>
      </c>
      <c r="U52" s="136"/>
      <c r="V52" s="132"/>
      <c r="W52" s="137"/>
      <c r="X52" s="164"/>
      <c r="Y52" s="164"/>
      <c r="Z52" s="164"/>
      <c r="AA52" s="164"/>
      <c r="AB52" s="164"/>
      <c r="AC52" s="51"/>
      <c r="AD52" s="18"/>
    </row>
    <row r="53" spans="1:30" s="94" customFormat="1" ht="7.5" hidden="1" customHeight="1">
      <c r="B53" s="388"/>
      <c r="C53" s="140">
        <v>136.51</v>
      </c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2"/>
      <c r="O53" s="142"/>
      <c r="P53" s="143" t="s">
        <v>10</v>
      </c>
      <c r="Q53" s="144">
        <f>Q2</f>
        <v>0</v>
      </c>
      <c r="R53" s="145"/>
      <c r="S53" s="146"/>
      <c r="T53" s="133">
        <f>T2</f>
        <v>0</v>
      </c>
      <c r="U53" s="147"/>
      <c r="V53" s="148"/>
      <c r="W53" s="149"/>
      <c r="X53" s="165"/>
      <c r="Y53" s="165"/>
      <c r="Z53" s="165"/>
      <c r="AA53" s="165"/>
      <c r="AB53" s="165"/>
      <c r="AC53" s="165"/>
      <c r="AD53" s="166"/>
    </row>
    <row r="54" spans="1:30" s="94" customFormat="1" ht="5.25" hidden="1" customHeight="1">
      <c r="A54" s="151" t="e">
        <f>#REF!</f>
        <v>#REF!</v>
      </c>
      <c r="B54" s="151"/>
      <c r="C54" s="15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52"/>
      <c r="O54" s="153"/>
      <c r="P54" s="153"/>
      <c r="Q54" s="154"/>
      <c r="R54" s="154"/>
      <c r="S54" s="132"/>
      <c r="T54" s="132"/>
      <c r="U54" s="136"/>
      <c r="V54" s="155"/>
      <c r="W54" s="137"/>
      <c r="X54" s="164"/>
      <c r="Y54" s="164"/>
      <c r="Z54" s="164"/>
      <c r="AA54" s="164"/>
      <c r="AB54" s="164"/>
      <c r="AC54" s="164"/>
      <c r="AD54" s="167" t="e">
        <f>#REF!</f>
        <v>#REF!</v>
      </c>
    </row>
    <row r="55" spans="1:30" ht="24.95" customHeight="1">
      <c r="A55" s="322" t="s">
        <v>11</v>
      </c>
      <c r="B55" s="325" t="s">
        <v>216</v>
      </c>
      <c r="C55" s="325" t="s">
        <v>33</v>
      </c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326" t="s">
        <v>210</v>
      </c>
      <c r="O55" s="327" t="s">
        <v>5</v>
      </c>
      <c r="P55" s="327" t="s">
        <v>13</v>
      </c>
      <c r="Q55" s="329" t="s">
        <v>14</v>
      </c>
      <c r="R55" s="329" t="s">
        <v>6</v>
      </c>
      <c r="S55" s="319" t="s">
        <v>211</v>
      </c>
      <c r="T55" s="102" t="s">
        <v>33</v>
      </c>
      <c r="U55" s="314" t="s">
        <v>15</v>
      </c>
      <c r="V55" s="103"/>
      <c r="W55" s="316" t="s">
        <v>224</v>
      </c>
      <c r="X55" s="380" t="s">
        <v>212</v>
      </c>
      <c r="Y55" s="380" t="s">
        <v>213</v>
      </c>
      <c r="Z55" s="380" t="s">
        <v>225</v>
      </c>
      <c r="AA55" s="380" t="s">
        <v>214</v>
      </c>
      <c r="AB55" s="380" t="s">
        <v>37</v>
      </c>
      <c r="AC55" s="380" t="s">
        <v>215</v>
      </c>
      <c r="AD55" s="383" t="s">
        <v>38</v>
      </c>
    </row>
    <row r="56" spans="1:30" s="107" customFormat="1" ht="24.95" customHeight="1">
      <c r="A56" s="323"/>
      <c r="B56" s="325"/>
      <c r="C56" s="325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326"/>
      <c r="O56" s="328"/>
      <c r="P56" s="328"/>
      <c r="Q56" s="330"/>
      <c r="R56" s="330"/>
      <c r="S56" s="319"/>
      <c r="T56" s="102" t="s">
        <v>39</v>
      </c>
      <c r="U56" s="315"/>
      <c r="V56" s="103"/>
      <c r="W56" s="317"/>
      <c r="X56" s="381"/>
      <c r="Y56" s="381"/>
      <c r="Z56" s="381"/>
      <c r="AA56" s="381"/>
      <c r="AB56" s="381"/>
      <c r="AC56" s="381"/>
      <c r="AD56" s="384"/>
    </row>
    <row r="57" spans="1:30" ht="24.95" customHeight="1">
      <c r="A57" s="323"/>
      <c r="B57" s="325"/>
      <c r="C57" s="325"/>
      <c r="D57" s="100" t="s">
        <v>17</v>
      </c>
      <c r="E57" s="100" t="s">
        <v>18</v>
      </c>
      <c r="F57" s="105" t="s">
        <v>0</v>
      </c>
      <c r="G57" s="105" t="s">
        <v>1</v>
      </c>
      <c r="H57" s="105" t="s">
        <v>19</v>
      </c>
      <c r="I57" s="106" t="s">
        <v>2</v>
      </c>
      <c r="J57" s="105" t="s">
        <v>3</v>
      </c>
      <c r="K57" s="105"/>
      <c r="L57" s="105" t="s">
        <v>20</v>
      </c>
      <c r="M57" s="105" t="s">
        <v>21</v>
      </c>
      <c r="N57" s="326"/>
      <c r="O57" s="328"/>
      <c r="P57" s="328"/>
      <c r="Q57" s="330"/>
      <c r="R57" s="330"/>
      <c r="S57" s="319"/>
      <c r="T57" s="102" t="s">
        <v>44</v>
      </c>
      <c r="U57" s="315"/>
      <c r="V57" s="103"/>
      <c r="W57" s="317"/>
      <c r="X57" s="381"/>
      <c r="Y57" s="381"/>
      <c r="Z57" s="381"/>
      <c r="AA57" s="381"/>
      <c r="AB57" s="381"/>
      <c r="AC57" s="381"/>
      <c r="AD57" s="384"/>
    </row>
    <row r="58" spans="1:30" ht="24.75" customHeight="1">
      <c r="A58" s="324"/>
      <c r="B58" s="325"/>
      <c r="C58" s="325"/>
      <c r="D58" s="101"/>
      <c r="E58" s="101"/>
      <c r="F58" s="108"/>
      <c r="G58" s="108"/>
      <c r="H58" s="108"/>
      <c r="I58" s="109"/>
      <c r="J58" s="108"/>
      <c r="K58" s="108"/>
      <c r="L58" s="108"/>
      <c r="M58" s="108"/>
      <c r="N58" s="326"/>
      <c r="O58" s="328"/>
      <c r="P58" s="328"/>
      <c r="Q58" s="330"/>
      <c r="R58" s="330"/>
      <c r="S58" s="320"/>
      <c r="T58" s="110" t="s">
        <v>47</v>
      </c>
      <c r="U58" s="315"/>
      <c r="V58" s="103"/>
      <c r="W58" s="317"/>
      <c r="X58" s="382"/>
      <c r="Y58" s="382"/>
      <c r="Z58" s="382"/>
      <c r="AA58" s="382"/>
      <c r="AB58" s="382"/>
      <c r="AC58" s="382"/>
      <c r="AD58" s="385"/>
    </row>
    <row r="59" spans="1:30" ht="22.5" customHeight="1">
      <c r="A59" s="386">
        <v>19</v>
      </c>
      <c r="B59" s="348">
        <f>B50</f>
        <v>0</v>
      </c>
      <c r="C59" s="124">
        <f>C50</f>
        <v>0</v>
      </c>
      <c r="D59" s="310">
        <f>TRUNC(C59)+((C59-TRUNC(C59))/0.6)</f>
        <v>0</v>
      </c>
      <c r="E59" s="310">
        <f>TRUNC(C60)+((C60-TRUNC(C60))/0.6)</f>
        <v>0</v>
      </c>
      <c r="F59" s="311">
        <f>ROUND(((LOG10(TAN(PI()/4+(D59/2*PI()/180)))*7915.7046)-(3437.7468*((0.0816968^2*SIN(D59*PI()/180))+(0.0816968^4/3*((SIN(D59*PI()/180))^3))+(0.0816968^6/5*((SIN(D59*PI()/180))^5))))),2)</f>
        <v>0</v>
      </c>
      <c r="G59" s="112"/>
      <c r="H59" s="312">
        <f>IF(E59&lt;0,E59+360,E59)</f>
        <v>0</v>
      </c>
      <c r="I59" s="113"/>
      <c r="J59" s="112"/>
      <c r="K59" s="112"/>
      <c r="L59" s="112"/>
      <c r="M59" s="112"/>
      <c r="N59" s="121" t="str">
        <f>N49</f>
        <v/>
      </c>
      <c r="O59" s="121" t="str">
        <f>O49</f>
        <v/>
      </c>
      <c r="P59" s="156">
        <f>P49</f>
        <v>0</v>
      </c>
      <c r="Q59" s="350" t="str">
        <f>Q50</f>
        <v/>
      </c>
      <c r="R59" s="350" t="str">
        <f>R50</f>
        <v/>
      </c>
      <c r="S59" s="340"/>
      <c r="T59" s="117" t="s">
        <v>7</v>
      </c>
      <c r="U59" s="129"/>
      <c r="V59" s="118"/>
      <c r="W59" s="390" t="str">
        <f>W50</f>
        <v/>
      </c>
      <c r="X59" s="340"/>
      <c r="Y59" s="340"/>
      <c r="Z59" s="340"/>
      <c r="AA59" s="340"/>
      <c r="AB59" s="57"/>
      <c r="AC59" s="331"/>
      <c r="AD59" s="389"/>
    </row>
    <row r="60" spans="1:30" ht="15" customHeight="1">
      <c r="A60" s="386"/>
      <c r="B60" s="349"/>
      <c r="C60" s="125">
        <f>C51</f>
        <v>0</v>
      </c>
      <c r="D60" s="310"/>
      <c r="E60" s="310"/>
      <c r="F60" s="311"/>
      <c r="G60" s="312">
        <f>ABS(D59-D61)*60</f>
        <v>0</v>
      </c>
      <c r="H60" s="312"/>
      <c r="I60" s="334">
        <f>ABS(H59-H61)*60</f>
        <v>0</v>
      </c>
      <c r="J60" s="335">
        <f>ABS(F59-F61)</f>
        <v>0</v>
      </c>
      <c r="K60" s="336" t="e">
        <f>IF(AND(D59&lt;D61,H59=H61),0,IF(AND(D59&gt;D61,H59=H61),180,IF(AND(D59=D61,H59&lt;H61),90,IF(AND(D59=D61,H59&gt;H61),270,(ATAN(I60/J60)*180/PI())))))</f>
        <v>#DIV/0!</v>
      </c>
      <c r="L60" s="310" t="e">
        <f>IF(OR(K60=0,K60=90,K60=180,K60=270),K60,IF(AND(D59&lt;D61,H59&lt;H61),K60,IF(AND(D59&lt;D61,H59&gt;H61),360-K60,IF(AND(D59&gt;D61,H59&lt;H61),180-K60,IF(AND(D59&gt;D61,H59&gt;H61),180+K60)))))</f>
        <v>#DIV/0!</v>
      </c>
      <c r="M60" s="310">
        <f>(IF(I60=0,G60,IF(G60=0,COS(D61*PI()/180)*I60,G60/COS(K60*PI()/180))))</f>
        <v>0</v>
      </c>
      <c r="N60" s="337" t="str">
        <f>IF(C62="","",ROUND(L60,1))</f>
        <v/>
      </c>
      <c r="O60" s="352" t="str">
        <f>IF(C62="","",ROUND(M60,1))</f>
        <v/>
      </c>
      <c r="P60" s="353"/>
      <c r="Q60" s="350"/>
      <c r="R60" s="350"/>
      <c r="S60" s="341"/>
      <c r="T60" s="122" t="s">
        <v>23</v>
      </c>
      <c r="U60" s="358"/>
      <c r="V60" s="356" t="e">
        <f>(O60/P60+U60/60)/24</f>
        <v>#VALUE!</v>
      </c>
      <c r="W60" s="391"/>
      <c r="X60" s="341"/>
      <c r="Y60" s="340"/>
      <c r="Z60" s="341"/>
      <c r="AA60" s="341"/>
      <c r="AB60" s="56"/>
      <c r="AC60" s="332"/>
      <c r="AD60" s="389"/>
    </row>
    <row r="61" spans="1:30" ht="15" customHeight="1">
      <c r="A61" s="386">
        <v>20</v>
      </c>
      <c r="B61" s="392"/>
      <c r="C61" s="54"/>
      <c r="D61" s="310">
        <f>TRUNC(C61)+((C61-TRUNC(C61))/0.6)</f>
        <v>0</v>
      </c>
      <c r="E61" s="310">
        <f>TRUNC(C62)+((C62-TRUNC(C62))/0.6)</f>
        <v>0</v>
      </c>
      <c r="F61" s="311">
        <f>ROUND(((LOG10(TAN(PI()/4+(D61/2*PI()/180)))*7915.7046)-(3437.7468*((0.0816968^2*SIN(D61*PI()/180))+(0.0816968^4/3*((SIN(D61*PI()/180))^3))+(0.0816968^6/5*((SIN(D61*PI()/180))^5))))),2)</f>
        <v>0</v>
      </c>
      <c r="G61" s="312"/>
      <c r="H61" s="312">
        <f>IF(E61&lt;0,E61+360,E61)</f>
        <v>0</v>
      </c>
      <c r="I61" s="334"/>
      <c r="J61" s="335"/>
      <c r="K61" s="336"/>
      <c r="L61" s="310"/>
      <c r="M61" s="310"/>
      <c r="N61" s="337"/>
      <c r="O61" s="352"/>
      <c r="P61" s="353"/>
      <c r="Q61" s="350" t="str">
        <f>IF(O60="","",Q59+O60)</f>
        <v/>
      </c>
      <c r="R61" s="350" t="str">
        <f>IF(O60="","",R59-O60)</f>
        <v/>
      </c>
      <c r="S61" s="340"/>
      <c r="T61" s="117" t="s">
        <v>7</v>
      </c>
      <c r="U61" s="355"/>
      <c r="V61" s="356"/>
      <c r="W61" s="351" t="str">
        <f>IF(P60="","",W59+V60)</f>
        <v/>
      </c>
      <c r="X61" s="340"/>
      <c r="Y61" s="340"/>
      <c r="Z61" s="340"/>
      <c r="AA61" s="340"/>
      <c r="AB61" s="57"/>
      <c r="AC61" s="331"/>
      <c r="AD61" s="389"/>
    </row>
    <row r="62" spans="1:30" ht="15" customHeight="1">
      <c r="A62" s="386"/>
      <c r="B62" s="392"/>
      <c r="C62" s="55"/>
      <c r="D62" s="310"/>
      <c r="E62" s="310"/>
      <c r="F62" s="311"/>
      <c r="G62" s="312">
        <f>ABS(D61-D63)*60</f>
        <v>0</v>
      </c>
      <c r="H62" s="312"/>
      <c r="I62" s="334">
        <f>ABS(H61-H63)*60</f>
        <v>0</v>
      </c>
      <c r="J62" s="335">
        <f>ABS(F61-F63)</f>
        <v>0</v>
      </c>
      <c r="K62" s="336" t="e">
        <f>IF(AND(D61&lt;D63,H61=H63),0,IF(AND(D61&gt;D63,H61=H63),180,IF(AND(D61=D63,H61&lt;H63),90,IF(AND(D61=D63,H61&gt;H63),270,(ATAN(I62/J62)*180/PI())))))</f>
        <v>#DIV/0!</v>
      </c>
      <c r="L62" s="310" t="e">
        <f>IF(OR(K62=0,K62=90,K62=180,K62=270),K62,IF(AND(D61&lt;D63,H61&lt;H63),K62,IF(AND(D61&lt;D63,H61&gt;H63),360-K62,IF(AND(D61&gt;D63,H61&lt;H63),180-K62,IF(AND(D61&gt;D63,H61&gt;H63),180+K62)))))</f>
        <v>#DIV/0!</v>
      </c>
      <c r="M62" s="310">
        <f>(IF(I62=0,G62,IF(G62=0,COS(D63*PI()/180)*I62,G62/COS(K62*PI()/180))))</f>
        <v>0</v>
      </c>
      <c r="N62" s="337" t="str">
        <f>IF(C64="","",ROUND(L62,1))</f>
        <v/>
      </c>
      <c r="O62" s="352" t="str">
        <f>IF(C64="","",ROUND(M62,1))</f>
        <v/>
      </c>
      <c r="P62" s="353"/>
      <c r="Q62" s="350"/>
      <c r="R62" s="350"/>
      <c r="S62" s="341"/>
      <c r="T62" s="122" t="s">
        <v>23</v>
      </c>
      <c r="U62" s="358"/>
      <c r="V62" s="356" t="e">
        <f>(O62/P62+U62/60)/24</f>
        <v>#VALUE!</v>
      </c>
      <c r="W62" s="351"/>
      <c r="X62" s="341"/>
      <c r="Y62" s="340"/>
      <c r="Z62" s="341"/>
      <c r="AA62" s="341"/>
      <c r="AB62" s="56"/>
      <c r="AC62" s="332"/>
      <c r="AD62" s="389"/>
    </row>
    <row r="63" spans="1:30" ht="15" customHeight="1">
      <c r="A63" s="386">
        <v>21</v>
      </c>
      <c r="B63" s="392"/>
      <c r="C63" s="54"/>
      <c r="D63" s="310">
        <f>TRUNC(C63)+((C63-TRUNC(C63))/0.6)</f>
        <v>0</v>
      </c>
      <c r="E63" s="310">
        <f>TRUNC(C64)+((C64-TRUNC(C64))/0.6)</f>
        <v>0</v>
      </c>
      <c r="F63" s="311">
        <f>ROUND(((LOG10(TAN(PI()/4+(D63/2*PI()/180)))*7915.7046)-(3437.7468*((0.0816968^2*SIN(D63*PI()/180))+(0.0816968^4/3*((SIN(D63*PI()/180))^3))+(0.0816968^6/5*((SIN(D63*PI()/180))^5))))),2)</f>
        <v>0</v>
      </c>
      <c r="G63" s="312"/>
      <c r="H63" s="312">
        <f>IF(E63&lt;0,E63+360,E63)</f>
        <v>0</v>
      </c>
      <c r="I63" s="334"/>
      <c r="J63" s="335"/>
      <c r="K63" s="336"/>
      <c r="L63" s="310"/>
      <c r="M63" s="310"/>
      <c r="N63" s="337"/>
      <c r="O63" s="352"/>
      <c r="P63" s="353"/>
      <c r="Q63" s="350" t="str">
        <f>IF(O62="","",Q61+O62)</f>
        <v/>
      </c>
      <c r="R63" s="350" t="str">
        <f>IF(O62="","",R61-O62)</f>
        <v/>
      </c>
      <c r="S63" s="340"/>
      <c r="T63" s="117" t="s">
        <v>7</v>
      </c>
      <c r="U63" s="355"/>
      <c r="V63" s="356"/>
      <c r="W63" s="351" t="str">
        <f>IF(P62="","",W61+V62)</f>
        <v/>
      </c>
      <c r="X63" s="340"/>
      <c r="Y63" s="340"/>
      <c r="Z63" s="340"/>
      <c r="AA63" s="340"/>
      <c r="AB63" s="57"/>
      <c r="AC63" s="331"/>
      <c r="AD63" s="389"/>
    </row>
    <row r="64" spans="1:30" ht="15" customHeight="1">
      <c r="A64" s="386"/>
      <c r="B64" s="392"/>
      <c r="C64" s="55"/>
      <c r="D64" s="310"/>
      <c r="E64" s="310"/>
      <c r="F64" s="311"/>
      <c r="G64" s="312">
        <f>ABS(D63-D65)*60</f>
        <v>0</v>
      </c>
      <c r="H64" s="312"/>
      <c r="I64" s="334">
        <f>ABS(H63-H65)*60</f>
        <v>0</v>
      </c>
      <c r="J64" s="335">
        <f>ABS(F63-F65)</f>
        <v>0</v>
      </c>
      <c r="K64" s="336" t="e">
        <f>IF(AND(D63&lt;D65,H63=H65),0,IF(AND(D63&gt;D65,H63=H65),180,IF(AND(D63=D65,H63&lt;H65),90,IF(AND(D63=D65,H63&gt;H65),270,(ATAN(I64/J64)*180/PI())))))</f>
        <v>#DIV/0!</v>
      </c>
      <c r="L64" s="310" t="e">
        <f>IF(OR(K64=0,K64=90,K64=180,K64=270),K64,IF(AND(D63&lt;D65,H63&lt;H65),K64,IF(AND(D63&lt;D65,H63&gt;H65),360-K64,IF(AND(D63&gt;D65,H63&lt;H65),180-K64,IF(AND(D63&gt;D65,H63&gt;H65),180+K64)))))</f>
        <v>#DIV/0!</v>
      </c>
      <c r="M64" s="310">
        <f>(IF(I64=0,G64,IF(G64=0,COS(D65*PI()/180)*I64,G64/COS(K64*PI()/180))))</f>
        <v>0</v>
      </c>
      <c r="N64" s="337" t="str">
        <f>IF(C66="","",ROUND(L64,1))</f>
        <v/>
      </c>
      <c r="O64" s="352" t="str">
        <f>IF(C66="","",ROUND(M64,1))</f>
        <v/>
      </c>
      <c r="P64" s="353"/>
      <c r="Q64" s="350"/>
      <c r="R64" s="350"/>
      <c r="S64" s="341"/>
      <c r="T64" s="122" t="s">
        <v>23</v>
      </c>
      <c r="U64" s="358"/>
      <c r="V64" s="356" t="e">
        <f>(O64/P64+U64/60)/24</f>
        <v>#VALUE!</v>
      </c>
      <c r="W64" s="351"/>
      <c r="X64" s="341"/>
      <c r="Y64" s="340"/>
      <c r="Z64" s="341"/>
      <c r="AA64" s="341"/>
      <c r="AB64" s="56"/>
      <c r="AC64" s="332"/>
      <c r="AD64" s="389"/>
    </row>
    <row r="65" spans="1:30" ht="15" customHeight="1">
      <c r="A65" s="386">
        <v>22</v>
      </c>
      <c r="B65" s="348"/>
      <c r="C65" s="54"/>
      <c r="D65" s="310">
        <f>TRUNC(C65)+((C65-TRUNC(C65))/0.6)</f>
        <v>0</v>
      </c>
      <c r="E65" s="310">
        <f>TRUNC(C66)+((C66-TRUNC(C66))/0.6)</f>
        <v>0</v>
      </c>
      <c r="F65" s="311">
        <f>ROUND(((LOG10(TAN(PI()/4+(D65/2*PI()/180)))*7915.7046)-(3437.7468*((0.0816968^2*SIN(D65*PI()/180))+(0.0816968^4/3*((SIN(D65*PI()/180))^3))+(0.0816968^6/5*((SIN(D65*PI()/180))^5))))),2)</f>
        <v>0</v>
      </c>
      <c r="G65" s="312"/>
      <c r="H65" s="312">
        <f>IF(E65&lt;0,E65+360,E65)</f>
        <v>0</v>
      </c>
      <c r="I65" s="334"/>
      <c r="J65" s="335"/>
      <c r="K65" s="336"/>
      <c r="L65" s="310"/>
      <c r="M65" s="310"/>
      <c r="N65" s="337"/>
      <c r="O65" s="352"/>
      <c r="P65" s="353"/>
      <c r="Q65" s="350" t="str">
        <f>IF(O64="","",Q63+O64)</f>
        <v/>
      </c>
      <c r="R65" s="350" t="str">
        <f>IF(O64="","",R63-O64)</f>
        <v/>
      </c>
      <c r="S65" s="340"/>
      <c r="T65" s="117" t="s">
        <v>7</v>
      </c>
      <c r="U65" s="355"/>
      <c r="V65" s="356"/>
      <c r="W65" s="351" t="str">
        <f>IF(P64="","",W63+V64)</f>
        <v/>
      </c>
      <c r="X65" s="340"/>
      <c r="Y65" s="340"/>
      <c r="Z65" s="340"/>
      <c r="AA65" s="340"/>
      <c r="AB65" s="57"/>
      <c r="AC65" s="331"/>
      <c r="AD65" s="389"/>
    </row>
    <row r="66" spans="1:30" ht="15" customHeight="1">
      <c r="A66" s="386"/>
      <c r="B66" s="349"/>
      <c r="C66" s="55"/>
      <c r="D66" s="310"/>
      <c r="E66" s="310"/>
      <c r="F66" s="311"/>
      <c r="G66" s="312">
        <f>ABS(D65-D67)*60</f>
        <v>0</v>
      </c>
      <c r="H66" s="312"/>
      <c r="I66" s="334">
        <f>ABS(H65-H67)*60</f>
        <v>0</v>
      </c>
      <c r="J66" s="335">
        <f>ABS(F65-F67)</f>
        <v>0</v>
      </c>
      <c r="K66" s="336" t="e">
        <f>IF(AND(D65&lt;D67,H65=H67),0,IF(AND(D65&gt;D67,H65=H67),180,IF(AND(D65=D67,H65&lt;H67),90,IF(AND(D65=D67,H65&gt;H67),270,(ATAN(I66/J66)*180/PI())))))</f>
        <v>#DIV/0!</v>
      </c>
      <c r="L66" s="310" t="e">
        <f>IF(OR(K66=0,K66=90,K66=180,K66=270),K66,IF(AND(D65&lt;D67,H65&lt;H67),K66,IF(AND(D65&lt;D67,H65&gt;H67),360-K66,IF(AND(D65&gt;D67,H65&lt;H67),180-K66,IF(AND(D65&gt;D67,H65&gt;H67),180+K66)))))</f>
        <v>#DIV/0!</v>
      </c>
      <c r="M66" s="310">
        <f>(IF(I66=0,G66,IF(G66=0,COS(D67*PI()/180)*I66,G66/COS(K66*PI()/180))))</f>
        <v>0</v>
      </c>
      <c r="N66" s="337" t="str">
        <f>IF(C68="","",ROUND(L66,1))</f>
        <v/>
      </c>
      <c r="O66" s="352" t="str">
        <f>IF(C68="","",ROUND(M66,1))</f>
        <v/>
      </c>
      <c r="P66" s="353"/>
      <c r="Q66" s="350"/>
      <c r="R66" s="350"/>
      <c r="S66" s="341"/>
      <c r="T66" s="122" t="s">
        <v>23</v>
      </c>
      <c r="U66" s="358"/>
      <c r="V66" s="356" t="e">
        <f>(O66/P66+U66/60)/24</f>
        <v>#VALUE!</v>
      </c>
      <c r="W66" s="351"/>
      <c r="X66" s="341"/>
      <c r="Y66" s="340"/>
      <c r="Z66" s="341"/>
      <c r="AA66" s="341"/>
      <c r="AB66" s="56"/>
      <c r="AC66" s="332"/>
      <c r="AD66" s="389"/>
    </row>
    <row r="67" spans="1:30" ht="15" customHeight="1">
      <c r="A67" s="386">
        <v>23</v>
      </c>
      <c r="B67" s="348"/>
      <c r="C67" s="54"/>
      <c r="D67" s="310">
        <f>TRUNC(C67)+((C67-TRUNC(C67))/0.6)</f>
        <v>0</v>
      </c>
      <c r="E67" s="310">
        <f>TRUNC(C68)+((C68-TRUNC(C68))/0.6)</f>
        <v>0</v>
      </c>
      <c r="F67" s="311">
        <f>ROUND(((LOG10(TAN(PI()/4+(D67/2*PI()/180)))*7915.7046)-(3437.7468*((0.0816968^2*SIN(D67*PI()/180))+(0.0816968^4/3*((SIN(D67*PI()/180))^3))+(0.0816968^6/5*((SIN(D67*PI()/180))^5))))),2)</f>
        <v>0</v>
      </c>
      <c r="G67" s="312"/>
      <c r="H67" s="312">
        <f>IF(E67&lt;0,E67+360,E67)</f>
        <v>0</v>
      </c>
      <c r="I67" s="334"/>
      <c r="J67" s="335"/>
      <c r="K67" s="336"/>
      <c r="L67" s="310"/>
      <c r="M67" s="310"/>
      <c r="N67" s="337"/>
      <c r="O67" s="352"/>
      <c r="P67" s="353"/>
      <c r="Q67" s="350" t="str">
        <f>IF(O66="","",Q65+O66)</f>
        <v/>
      </c>
      <c r="R67" s="350" t="str">
        <f>IF(O66="","",R65-O66)</f>
        <v/>
      </c>
      <c r="S67" s="340"/>
      <c r="T67" s="117" t="s">
        <v>7</v>
      </c>
      <c r="U67" s="355"/>
      <c r="V67" s="356"/>
      <c r="W67" s="351" t="str">
        <f>IF(P66="","",W65+V66)</f>
        <v/>
      </c>
      <c r="X67" s="340"/>
      <c r="Y67" s="340"/>
      <c r="Z67" s="340"/>
      <c r="AA67" s="340"/>
      <c r="AB67" s="57"/>
      <c r="AC67" s="331"/>
      <c r="AD67" s="389"/>
    </row>
    <row r="68" spans="1:30" ht="15" customHeight="1">
      <c r="A68" s="386"/>
      <c r="B68" s="349"/>
      <c r="C68" s="55"/>
      <c r="D68" s="310"/>
      <c r="E68" s="310"/>
      <c r="F68" s="311"/>
      <c r="G68" s="312">
        <f>ABS(D67-D69)*60</f>
        <v>0</v>
      </c>
      <c r="H68" s="312"/>
      <c r="I68" s="334">
        <f>ABS(H67-H69)*60</f>
        <v>0</v>
      </c>
      <c r="J68" s="335">
        <f>ABS(F67-F69)</f>
        <v>0</v>
      </c>
      <c r="K68" s="336" t="e">
        <f>IF(AND(D67&lt;D69,H67=H69),0,IF(AND(D67&gt;D69,H67=H69),180,IF(AND(D67=D69,H67&lt;H69),90,IF(AND(D67=D69,H67&gt;H69),270,(ATAN(I68/J68)*180/PI())))))</f>
        <v>#DIV/0!</v>
      </c>
      <c r="L68" s="310" t="e">
        <f>IF(OR(K68=0,K68=90,K68=180,K68=270),K68,IF(AND(D67&lt;D69,H67&lt;H69),K68,IF(AND(D67&lt;D69,H67&gt;H69),360-K68,IF(AND(D67&gt;D69,H67&lt;H69),180-K68,IF(AND(D67&gt;D69,H67&gt;H69),180+K68)))))</f>
        <v>#DIV/0!</v>
      </c>
      <c r="M68" s="310">
        <f>(IF(I68=0,G68,IF(G68=0,COS(D69*PI()/180)*I68,G68/COS(K68*PI()/180))))</f>
        <v>0</v>
      </c>
      <c r="N68" s="337" t="str">
        <f>IF(C70="","",ROUND(L68,1))</f>
        <v/>
      </c>
      <c r="O68" s="352" t="str">
        <f>IF(C70="","",ROUND(M68,1))</f>
        <v/>
      </c>
      <c r="P68" s="353"/>
      <c r="Q68" s="350"/>
      <c r="R68" s="350"/>
      <c r="S68" s="341"/>
      <c r="T68" s="122" t="s">
        <v>24</v>
      </c>
      <c r="U68" s="358"/>
      <c r="V68" s="356" t="e">
        <f>(O68/P68+U68/60)/24</f>
        <v>#VALUE!</v>
      </c>
      <c r="W68" s="351"/>
      <c r="X68" s="341"/>
      <c r="Y68" s="340"/>
      <c r="Z68" s="341"/>
      <c r="AA68" s="341"/>
      <c r="AB68" s="56"/>
      <c r="AC68" s="332"/>
      <c r="AD68" s="389"/>
    </row>
    <row r="69" spans="1:30" ht="15" customHeight="1">
      <c r="A69" s="386">
        <v>24</v>
      </c>
      <c r="B69" s="348"/>
      <c r="C69" s="54"/>
      <c r="D69" s="310">
        <f>TRUNC(C69)+((C69-TRUNC(C69))/0.6)</f>
        <v>0</v>
      </c>
      <c r="E69" s="310">
        <f>TRUNC(C70)+((C70-TRUNC(C70))/0.6)</f>
        <v>0</v>
      </c>
      <c r="F69" s="311">
        <f>ROUND(((LOG10(TAN(PI()/4+(D69/2*PI()/180)))*7915.7046)-(3437.7468*((0.0816968^2*SIN(D69*PI()/180))+(0.0816968^4/3*((SIN(D69*PI()/180))^3))+(0.0816968^6/5*((SIN(D69*PI()/180))^5))))),2)</f>
        <v>0</v>
      </c>
      <c r="G69" s="312"/>
      <c r="H69" s="312">
        <f>IF(E69&lt;0,E69+360,E69)</f>
        <v>0</v>
      </c>
      <c r="I69" s="334"/>
      <c r="J69" s="335"/>
      <c r="K69" s="336"/>
      <c r="L69" s="310"/>
      <c r="M69" s="310"/>
      <c r="N69" s="337"/>
      <c r="O69" s="352"/>
      <c r="P69" s="353"/>
      <c r="Q69" s="350" t="str">
        <f>IF(O68="","",Q67+O68)</f>
        <v/>
      </c>
      <c r="R69" s="350" t="str">
        <f>IF(O68="","",R67-O68)</f>
        <v/>
      </c>
      <c r="S69" s="340"/>
      <c r="T69" s="117" t="s">
        <v>7</v>
      </c>
      <c r="U69" s="355"/>
      <c r="V69" s="356"/>
      <c r="W69" s="351" t="str">
        <f>IF(P68="","",W67+V68)</f>
        <v/>
      </c>
      <c r="X69" s="340"/>
      <c r="Y69" s="340"/>
      <c r="Z69" s="340"/>
      <c r="AA69" s="340"/>
      <c r="AB69" s="57"/>
      <c r="AC69" s="331"/>
      <c r="AD69" s="389"/>
    </row>
    <row r="70" spans="1:30" ht="15" customHeight="1">
      <c r="A70" s="386"/>
      <c r="B70" s="349"/>
      <c r="C70" s="55"/>
      <c r="D70" s="310"/>
      <c r="E70" s="310"/>
      <c r="F70" s="311"/>
      <c r="G70" s="312">
        <f>ABS(D69-D71)*60</f>
        <v>0</v>
      </c>
      <c r="H70" s="312"/>
      <c r="I70" s="334">
        <f>ABS(H69-H71)*60</f>
        <v>0</v>
      </c>
      <c r="J70" s="335">
        <f>ABS(F69-F71)</f>
        <v>0</v>
      </c>
      <c r="K70" s="336" t="e">
        <f>IF(AND(D69&lt;D71,H69=H71),0,IF(AND(D69&gt;D71,H69=H71),180,IF(AND(D69=D71,H69&lt;H71),90,IF(AND(D69=D71,H69&gt;H71),270,(ATAN(I70/J70)*180/PI())))))</f>
        <v>#DIV/0!</v>
      </c>
      <c r="L70" s="310" t="e">
        <f>IF(OR(K70=0,K70=90,K70=180,K70=270),K70,IF(AND(D69&lt;D71,H69&lt;H71),K70,IF(AND(D69&lt;D71,H69&gt;H71),360-K70,IF(AND(D69&gt;D71,H69&lt;H71),180-K70,IF(AND(D69&gt;D71,H69&gt;H71),180+K70)))))</f>
        <v>#DIV/0!</v>
      </c>
      <c r="M70" s="310">
        <f>(IF(I70=0,G70,IF(G70=0,COS(D71*PI()/180)*I70,G70/COS(K70*PI()/180))))</f>
        <v>0</v>
      </c>
      <c r="N70" s="337" t="str">
        <f>IF(C72="","",ROUND(L70,1))</f>
        <v/>
      </c>
      <c r="O70" s="352" t="str">
        <f>IF(C72="","",ROUND(M70,1))</f>
        <v/>
      </c>
      <c r="P70" s="353"/>
      <c r="Q70" s="350"/>
      <c r="R70" s="350"/>
      <c r="S70" s="341"/>
      <c r="T70" s="122" t="s">
        <v>23</v>
      </c>
      <c r="U70" s="358"/>
      <c r="V70" s="356" t="e">
        <f>(O70/P70+U70/60)/24</f>
        <v>#VALUE!</v>
      </c>
      <c r="W70" s="351"/>
      <c r="X70" s="341"/>
      <c r="Y70" s="340"/>
      <c r="Z70" s="341"/>
      <c r="AA70" s="341"/>
      <c r="AB70" s="56"/>
      <c r="AC70" s="332"/>
      <c r="AD70" s="389"/>
    </row>
    <row r="71" spans="1:30" ht="15" customHeight="1">
      <c r="A71" s="386">
        <v>25</v>
      </c>
      <c r="B71" s="393"/>
      <c r="C71" s="54"/>
      <c r="D71" s="310">
        <f>TRUNC(C71)+((C71-TRUNC(C71))/0.6)</f>
        <v>0</v>
      </c>
      <c r="E71" s="310">
        <f>TRUNC(C72)+((C72-TRUNC(C72))/0.6)</f>
        <v>0</v>
      </c>
      <c r="F71" s="311">
        <f>ROUND(((LOG10(TAN(PI()/4+(D71/2*PI()/180)))*7915.7046)-(3437.7468*((0.0816968^2*SIN(D71*PI()/180))+(0.0816968^4/3*((SIN(D71*PI()/180))^3))+(0.0816968^6/5*((SIN(D71*PI()/180))^5))))),2)</f>
        <v>0</v>
      </c>
      <c r="G71" s="312"/>
      <c r="H71" s="312">
        <f>IF(E71&lt;0,E71+360,E71)</f>
        <v>0</v>
      </c>
      <c r="I71" s="334"/>
      <c r="J71" s="335"/>
      <c r="K71" s="336"/>
      <c r="L71" s="310"/>
      <c r="M71" s="310"/>
      <c r="N71" s="337"/>
      <c r="O71" s="352"/>
      <c r="P71" s="353"/>
      <c r="Q71" s="350" t="str">
        <f>IF(O70="","",Q69+O70)</f>
        <v/>
      </c>
      <c r="R71" s="350" t="str">
        <f>IF(O70="","",R69-O70)</f>
        <v/>
      </c>
      <c r="S71" s="340"/>
      <c r="T71" s="117" t="s">
        <v>25</v>
      </c>
      <c r="U71" s="355"/>
      <c r="V71" s="356"/>
      <c r="W71" s="351" t="str">
        <f>IF(P70="","",W69+V70)</f>
        <v/>
      </c>
      <c r="X71" s="340"/>
      <c r="Y71" s="340"/>
      <c r="Z71" s="340"/>
      <c r="AA71" s="340"/>
      <c r="AB71" s="52"/>
      <c r="AC71" s="331"/>
      <c r="AD71" s="389"/>
    </row>
    <row r="72" spans="1:30" ht="15" customHeight="1">
      <c r="A72" s="386"/>
      <c r="B72" s="393"/>
      <c r="C72" s="55"/>
      <c r="D72" s="310"/>
      <c r="E72" s="310"/>
      <c r="F72" s="311"/>
      <c r="G72" s="312">
        <f>ABS(D71-D73)*60</f>
        <v>0</v>
      </c>
      <c r="H72" s="312"/>
      <c r="I72" s="334">
        <f>ABS(H71-H73)*60</f>
        <v>0</v>
      </c>
      <c r="J72" s="335">
        <f>ABS(F71-F73)</f>
        <v>0</v>
      </c>
      <c r="K72" s="336" t="e">
        <f>IF(AND(D71&lt;D73,H71=H73),0,IF(AND(D71&gt;D73,H71=H73),180,IF(AND(D71=D73,H71&lt;H73),90,IF(AND(D71=D73,H71&gt;H73),270,(ATAN(I72/J72)*180/PI())))))</f>
        <v>#DIV/0!</v>
      </c>
      <c r="L72" s="310" t="e">
        <f>IF(OR(K72=0,K72=90,K72=180,K72=270),K72,IF(AND(D71&lt;D73,H71&lt;H73),K72,IF(AND(D71&lt;D73,H71&gt;H73),360-K72,IF(AND(D71&gt;D73,H71&lt;H73),180-K72,IF(AND(D71&gt;D73,H71&gt;H73),180+K72)))))</f>
        <v>#DIV/0!</v>
      </c>
      <c r="M72" s="310">
        <f>(IF(I72=0,G72,IF(G72=0,COS(D73*PI()/180)*I72,G72/COS(K72*PI()/180))))</f>
        <v>0</v>
      </c>
      <c r="N72" s="337" t="str">
        <f>IF(C74="","",ROUND(L72,1))</f>
        <v/>
      </c>
      <c r="O72" s="352" t="str">
        <f>IF(C74="","",ROUND(M72,1))</f>
        <v/>
      </c>
      <c r="P72" s="353"/>
      <c r="Q72" s="350"/>
      <c r="R72" s="350"/>
      <c r="S72" s="341"/>
      <c r="T72" s="122" t="s">
        <v>24</v>
      </c>
      <c r="U72" s="358"/>
      <c r="V72" s="356" t="e">
        <f>(O72/P72+U72/60)/24</f>
        <v>#VALUE!</v>
      </c>
      <c r="W72" s="351"/>
      <c r="X72" s="341"/>
      <c r="Y72" s="340"/>
      <c r="Z72" s="341"/>
      <c r="AA72" s="341"/>
      <c r="AB72" s="53"/>
      <c r="AC72" s="332"/>
      <c r="AD72" s="389"/>
    </row>
    <row r="73" spans="1:30" ht="15" customHeight="1">
      <c r="A73" s="386">
        <v>26</v>
      </c>
      <c r="B73" s="392"/>
      <c r="C73" s="54"/>
      <c r="D73" s="310">
        <f>TRUNC(C73)+((C73-TRUNC(C73))/0.6)</f>
        <v>0</v>
      </c>
      <c r="E73" s="310">
        <f>TRUNC(C74)+((C74-TRUNC(C74))/0.6)</f>
        <v>0</v>
      </c>
      <c r="F73" s="311">
        <f>ROUND(((LOG10(TAN(PI()/4+(D73/2*PI()/180)))*7915.7046)-(3437.7468*((0.0816968^2*SIN(D73*PI()/180))+(0.0816968^4/3*((SIN(D73*PI()/180))^3))+(0.0816968^6/5*((SIN(D73*PI()/180))^5))))),2)</f>
        <v>0</v>
      </c>
      <c r="G73" s="312"/>
      <c r="H73" s="312">
        <f>IF(E73&lt;0,E73+360,E73)</f>
        <v>0</v>
      </c>
      <c r="I73" s="334"/>
      <c r="J73" s="335"/>
      <c r="K73" s="336"/>
      <c r="L73" s="310"/>
      <c r="M73" s="310"/>
      <c r="N73" s="337"/>
      <c r="O73" s="352"/>
      <c r="P73" s="353"/>
      <c r="Q73" s="350" t="str">
        <f>IF(O72="","",Q71+O72)</f>
        <v/>
      </c>
      <c r="R73" s="350" t="str">
        <f>IF(O72="","",R71-O72)</f>
        <v/>
      </c>
      <c r="S73" s="340"/>
      <c r="T73" s="117" t="s">
        <v>25</v>
      </c>
      <c r="U73" s="355"/>
      <c r="V73" s="356"/>
      <c r="W73" s="351" t="str">
        <f>IF(P72="","",W71+V72)</f>
        <v/>
      </c>
      <c r="X73" s="340"/>
      <c r="Y73" s="340"/>
      <c r="Z73" s="340"/>
      <c r="AA73" s="340"/>
      <c r="AB73" s="52"/>
      <c r="AC73" s="331"/>
      <c r="AD73" s="389"/>
    </row>
    <row r="74" spans="1:30" ht="15" customHeight="1">
      <c r="A74" s="386"/>
      <c r="B74" s="392"/>
      <c r="C74" s="55"/>
      <c r="D74" s="310"/>
      <c r="E74" s="310"/>
      <c r="F74" s="311"/>
      <c r="G74" s="312">
        <f>ABS(D73-D75)*60</f>
        <v>0</v>
      </c>
      <c r="H74" s="312"/>
      <c r="I74" s="334">
        <f>ABS(H73-H75)*60</f>
        <v>0</v>
      </c>
      <c r="J74" s="335">
        <f>ABS(F73-F75)</f>
        <v>0</v>
      </c>
      <c r="K74" s="336" t="e">
        <f>IF(AND(D73&lt;D75,H73=H75),0,IF(AND(D73&gt;D75,H73=H75),180,IF(AND(D73=D75,H73&lt;H75),90,IF(AND(D73=D75,H73&gt;H75),270,(ATAN(I74/J74)*180/PI())))))</f>
        <v>#DIV/0!</v>
      </c>
      <c r="L74" s="310" t="e">
        <f>IF(OR(K74=0,K74=90,K74=180,K74=270),K74,IF(AND(D73&lt;D75,H73&lt;H75),K74,IF(AND(D73&lt;D75,H73&gt;H75),360-K74,IF(AND(D73&gt;D75,H73&lt;H75),180-K74,IF(AND(D73&gt;D75,H73&gt;H75),180+K74)))))</f>
        <v>#DIV/0!</v>
      </c>
      <c r="M74" s="310">
        <f>(IF(I74=0,G74,IF(G74=0,COS(D75*PI()/180)*I74,G74/COS(K74*PI()/180))))</f>
        <v>0</v>
      </c>
      <c r="N74" s="337" t="str">
        <f>IF(C76="","",ROUND(L74,1))</f>
        <v/>
      </c>
      <c r="O74" s="352" t="str">
        <f>IF(C76="","",ROUND(M74,1))</f>
        <v/>
      </c>
      <c r="P74" s="353"/>
      <c r="Q74" s="350"/>
      <c r="R74" s="350"/>
      <c r="S74" s="341"/>
      <c r="T74" s="122" t="s">
        <v>24</v>
      </c>
      <c r="U74" s="358"/>
      <c r="V74" s="356" t="e">
        <f>(O74/P74+U74/60)/24</f>
        <v>#VALUE!</v>
      </c>
      <c r="W74" s="351"/>
      <c r="X74" s="341"/>
      <c r="Y74" s="340"/>
      <c r="Z74" s="341"/>
      <c r="AA74" s="341"/>
      <c r="AB74" s="53"/>
      <c r="AC74" s="332"/>
      <c r="AD74" s="389"/>
    </row>
    <row r="75" spans="1:30" ht="15" customHeight="1">
      <c r="A75" s="386">
        <v>27</v>
      </c>
      <c r="B75" s="392"/>
      <c r="C75" s="54"/>
      <c r="D75" s="310">
        <f>TRUNC(C75)+((C75-TRUNC(C75))/0.6)</f>
        <v>0</v>
      </c>
      <c r="E75" s="310">
        <f>TRUNC(C76)+((C76-TRUNC(C76))/0.6)</f>
        <v>0</v>
      </c>
      <c r="F75" s="311">
        <f>ROUND(((LOG10(TAN(PI()/4+(D75/2*PI()/180)))*7915.7046)-(3437.7468*((0.0816968^2*SIN(D75*PI()/180))+(0.0816968^4/3*((SIN(D75*PI()/180))^3))+(0.0816968^6/5*((SIN(D75*PI()/180))^5))))),2)</f>
        <v>0</v>
      </c>
      <c r="G75" s="312"/>
      <c r="H75" s="312">
        <f>IF(E75&lt;0,E75+360,E75)</f>
        <v>0</v>
      </c>
      <c r="I75" s="334"/>
      <c r="J75" s="335"/>
      <c r="K75" s="336"/>
      <c r="L75" s="310"/>
      <c r="M75" s="310"/>
      <c r="N75" s="337"/>
      <c r="O75" s="352"/>
      <c r="P75" s="353"/>
      <c r="Q75" s="350" t="str">
        <f>IF(O74="","",Q73+O74)</f>
        <v/>
      </c>
      <c r="R75" s="350" t="str">
        <f>IF(O74="","",R73-O74)</f>
        <v/>
      </c>
      <c r="S75" s="340"/>
      <c r="T75" s="117" t="s">
        <v>30</v>
      </c>
      <c r="U75" s="355"/>
      <c r="V75" s="356"/>
      <c r="W75" s="351" t="str">
        <f>IF(P74="","",W73+V74)</f>
        <v/>
      </c>
      <c r="X75" s="340"/>
      <c r="Y75" s="340"/>
      <c r="Z75" s="340"/>
      <c r="AA75" s="340"/>
      <c r="AB75" s="52"/>
      <c r="AC75" s="331"/>
      <c r="AD75" s="389"/>
    </row>
    <row r="76" spans="1:30" ht="15" customHeight="1">
      <c r="A76" s="386"/>
      <c r="B76" s="392"/>
      <c r="C76" s="55"/>
      <c r="D76" s="310"/>
      <c r="E76" s="310"/>
      <c r="F76" s="311"/>
      <c r="G76" s="312">
        <f>ABS(D75-D77)*60</f>
        <v>0</v>
      </c>
      <c r="H76" s="312"/>
      <c r="I76" s="334">
        <f>ABS(H75-H77)*60</f>
        <v>0</v>
      </c>
      <c r="J76" s="335">
        <f>ABS(F75-F77)</f>
        <v>0</v>
      </c>
      <c r="K76" s="336" t="e">
        <f>IF(AND(D75&lt;D77,H75=H77),0,IF(AND(D75&gt;D77,H75=H77),180,IF(AND(D75=D77,H75&lt;H77),90,IF(AND(D75=D77,H75&gt;H77),270,(ATAN(I76/J76)*180/PI())))))</f>
        <v>#DIV/0!</v>
      </c>
      <c r="L76" s="310" t="e">
        <f>IF(OR(K76=0,K76=90,K76=180,K76=270),K76,IF(AND(D75&lt;D77,H75&lt;H77),K76,IF(AND(D75&lt;D77,H75&gt;H77),360-K76,IF(AND(D75&gt;D77,H75&lt;H77),180-K76,IF(AND(D75&gt;D77,H75&gt;H77),180+K76)))))</f>
        <v>#DIV/0!</v>
      </c>
      <c r="M76" s="310">
        <f>(IF(I76=0,G76,IF(G76=0,COS(D77*PI()/180)*I76,G76/COS(K76*PI()/180))))</f>
        <v>0</v>
      </c>
      <c r="N76" s="337" t="str">
        <f>IF(C78="","",ROUND(L76,1))</f>
        <v/>
      </c>
      <c r="O76" s="352" t="str">
        <f>IF(C78="","",ROUND(M76,1))</f>
        <v/>
      </c>
      <c r="P76" s="353"/>
      <c r="Q76" s="350"/>
      <c r="R76" s="350"/>
      <c r="S76" s="341"/>
      <c r="T76" s="122" t="s">
        <v>24</v>
      </c>
      <c r="U76" s="358"/>
      <c r="V76" s="356" t="e">
        <f>(O76/P76+U76/60)/24</f>
        <v>#VALUE!</v>
      </c>
      <c r="W76" s="351"/>
      <c r="X76" s="341"/>
      <c r="Y76" s="340"/>
      <c r="Z76" s="341"/>
      <c r="AA76" s="341"/>
      <c r="AB76" s="53"/>
      <c r="AC76" s="332"/>
      <c r="AD76" s="389"/>
    </row>
    <row r="77" spans="1:30" ht="15" customHeight="1">
      <c r="A77" s="386">
        <v>28</v>
      </c>
      <c r="B77" s="392"/>
      <c r="C77" s="54"/>
      <c r="D77" s="310">
        <f>TRUNC(C77)+((C77-TRUNC(C77))/0.6)</f>
        <v>0</v>
      </c>
      <c r="E77" s="310">
        <f>TRUNC(C78)+((C78-TRUNC(C78))/0.6)</f>
        <v>0</v>
      </c>
      <c r="F77" s="311">
        <f>ROUND(((LOG10(TAN(PI()/4+(D77/2*PI()/180)))*7915.7046)-(3437.7468*((0.0816968^2*SIN(D77*PI()/180))+(0.0816968^4/3*((SIN(D77*PI()/180))^3))+(0.0816968^6/5*((SIN(D77*PI()/180))^5))))),2)</f>
        <v>0</v>
      </c>
      <c r="G77" s="312"/>
      <c r="H77" s="312">
        <f>IF(E77&lt;0,E77+360,E77)</f>
        <v>0</v>
      </c>
      <c r="I77" s="334"/>
      <c r="J77" s="335"/>
      <c r="K77" s="336"/>
      <c r="L77" s="310"/>
      <c r="M77" s="310"/>
      <c r="N77" s="337"/>
      <c r="O77" s="352"/>
      <c r="P77" s="353"/>
      <c r="Q77" s="350" t="str">
        <f>IF(O76="","",Q75+O76)</f>
        <v/>
      </c>
      <c r="R77" s="350" t="str">
        <f>IF(O76="","",R75-O76)</f>
        <v/>
      </c>
      <c r="S77" s="340"/>
      <c r="T77" s="117" t="s">
        <v>25</v>
      </c>
      <c r="U77" s="355"/>
      <c r="V77" s="356"/>
      <c r="W77" s="351" t="str">
        <f>IF(P76="","",W75+V76)</f>
        <v/>
      </c>
      <c r="X77" s="340"/>
      <c r="Y77" s="340"/>
      <c r="Z77" s="340"/>
      <c r="AA77" s="340"/>
      <c r="AB77" s="52"/>
      <c r="AC77" s="331"/>
      <c r="AD77" s="389"/>
    </row>
    <row r="78" spans="1:30" ht="15" customHeight="1">
      <c r="A78" s="386"/>
      <c r="B78" s="392"/>
      <c r="C78" s="55"/>
      <c r="D78" s="310"/>
      <c r="E78" s="310"/>
      <c r="F78" s="311"/>
      <c r="G78" s="312">
        <f>ABS(D77-D79)*60</f>
        <v>0</v>
      </c>
      <c r="H78" s="312"/>
      <c r="I78" s="334">
        <f>ABS(H77-H79)*60</f>
        <v>0</v>
      </c>
      <c r="J78" s="335">
        <f>ABS(F77-F79)</f>
        <v>0</v>
      </c>
      <c r="K78" s="336" t="e">
        <f>IF(AND(D77&lt;D79,H77=H79),0,IF(AND(D77&gt;D79,H77=H79),180,IF(AND(D77=D79,H77&lt;H79),90,IF(AND(D77=D79,H77&gt;H79),270,(ATAN(I78/J78)*180/PI())))))</f>
        <v>#DIV/0!</v>
      </c>
      <c r="L78" s="310" t="e">
        <f>IF(OR(K78=0,K78=90,K78=180,K78=270),K78,IF(AND(D77&lt;D79,H77&lt;H79),K78,IF(AND(D77&lt;D79,H77&gt;H79),360-K78,IF(AND(D77&gt;D79,H77&lt;H79),180-K78,IF(AND(D77&gt;D79,H77&gt;H79),180+K78)))))</f>
        <v>#DIV/0!</v>
      </c>
      <c r="M78" s="310">
        <f>(IF(I78=0,G78,IF(G78=0,COS(D79*PI()/180)*I78,G78/COS(K78*PI()/180))))</f>
        <v>0</v>
      </c>
      <c r="N78" s="337" t="str">
        <f>IF(C80="","",ROUND(L78,1))</f>
        <v/>
      </c>
      <c r="O78" s="352" t="str">
        <f>IF(C80="","",ROUND(M78,1))</f>
        <v/>
      </c>
      <c r="P78" s="353"/>
      <c r="Q78" s="350"/>
      <c r="R78" s="350"/>
      <c r="S78" s="341"/>
      <c r="T78" s="122" t="s">
        <v>23</v>
      </c>
      <c r="U78" s="358"/>
      <c r="V78" s="356" t="e">
        <f>(O78/P78+U78/60)/24</f>
        <v>#VALUE!</v>
      </c>
      <c r="W78" s="351"/>
      <c r="X78" s="341"/>
      <c r="Y78" s="340"/>
      <c r="Z78" s="341"/>
      <c r="AA78" s="341"/>
      <c r="AB78" s="53"/>
      <c r="AC78" s="332"/>
      <c r="AD78" s="389"/>
    </row>
    <row r="79" spans="1:30" ht="15" customHeight="1">
      <c r="A79" s="386">
        <v>29</v>
      </c>
      <c r="B79" s="392"/>
      <c r="C79" s="54"/>
      <c r="D79" s="310">
        <f>TRUNC(C79)+((C79-TRUNC(C79))/0.6)</f>
        <v>0</v>
      </c>
      <c r="E79" s="310">
        <f>TRUNC(C80)+((C80-TRUNC(C80))/0.6)</f>
        <v>0</v>
      </c>
      <c r="F79" s="311">
        <f>ROUND(((LOG10(TAN(PI()/4+(D79/2*PI()/180)))*7915.7046)-(3437.7468*((0.0816968^2*SIN(D79*PI()/180))+(0.0816968^4/3*((SIN(D79*PI()/180))^3))+(0.0816968^6/5*((SIN(D79*PI()/180))^5))))),2)</f>
        <v>0</v>
      </c>
      <c r="G79" s="312"/>
      <c r="H79" s="312">
        <f>IF(E79&lt;0,E79+360,E79)</f>
        <v>0</v>
      </c>
      <c r="I79" s="334"/>
      <c r="J79" s="335"/>
      <c r="K79" s="336"/>
      <c r="L79" s="310"/>
      <c r="M79" s="310"/>
      <c r="N79" s="337"/>
      <c r="O79" s="352"/>
      <c r="P79" s="353"/>
      <c r="Q79" s="350" t="str">
        <f>IF(O78="","",Q77+O78)</f>
        <v/>
      </c>
      <c r="R79" s="350" t="str">
        <f>IF(O78="","",R77-O78)</f>
        <v/>
      </c>
      <c r="S79" s="340"/>
      <c r="T79" s="117" t="s">
        <v>25</v>
      </c>
      <c r="U79" s="355"/>
      <c r="V79" s="356"/>
      <c r="W79" s="351" t="str">
        <f>IF(P78="","",W77+V78)</f>
        <v/>
      </c>
      <c r="X79" s="340"/>
      <c r="Y79" s="340"/>
      <c r="Z79" s="340"/>
      <c r="AA79" s="340"/>
      <c r="AB79" s="52"/>
      <c r="AC79" s="331"/>
      <c r="AD79" s="389"/>
    </row>
    <row r="80" spans="1:30" ht="15" customHeight="1">
      <c r="A80" s="386"/>
      <c r="B80" s="392"/>
      <c r="C80" s="55"/>
      <c r="D80" s="310"/>
      <c r="E80" s="310"/>
      <c r="F80" s="311"/>
      <c r="G80" s="312">
        <f>ABS(D79-D81)*60</f>
        <v>0</v>
      </c>
      <c r="H80" s="312"/>
      <c r="I80" s="334">
        <f>ABS(H79-H81)*60</f>
        <v>0</v>
      </c>
      <c r="J80" s="335">
        <f>ABS(F79-F81)</f>
        <v>0</v>
      </c>
      <c r="K80" s="336" t="e">
        <f>IF(AND(D79&lt;D81,H79=H81),0,IF(AND(D79&gt;D81,H79=H81),180,IF(AND(D79=D81,H79&lt;H81),90,IF(AND(D79=D81,H79&gt;H81),270,(ATAN(I80/J80)*180/PI())))))</f>
        <v>#DIV/0!</v>
      </c>
      <c r="L80" s="310" t="e">
        <f>IF(OR(K80=0,K80=90,K80=180,K80=270),K80,IF(AND(D79&lt;D81,H79&lt;H81),K80,IF(AND(D79&lt;D81,H79&gt;H81),360-K80,IF(AND(D79&gt;D81,H79&lt;H81),180-K80,IF(AND(D79&gt;D81,H79&gt;H81),180+K80)))))</f>
        <v>#DIV/0!</v>
      </c>
      <c r="M80" s="310">
        <f>(IF(I80=0,G80,IF(G80=0,COS(D81*PI()/180)*I80,G80/COS(K80*PI()/180))))</f>
        <v>0</v>
      </c>
      <c r="N80" s="337" t="str">
        <f>IF(C82="","",ROUND(L80,1))</f>
        <v/>
      </c>
      <c r="O80" s="352" t="str">
        <f>IF(C82="","",ROUND(M80,1))</f>
        <v/>
      </c>
      <c r="P80" s="353"/>
      <c r="Q80" s="350"/>
      <c r="R80" s="350"/>
      <c r="S80" s="341"/>
      <c r="T80" s="122" t="s">
        <v>22</v>
      </c>
      <c r="U80" s="358"/>
      <c r="V80" s="356" t="e">
        <f>(O80/P80+U80/60)/24</f>
        <v>#VALUE!</v>
      </c>
      <c r="W80" s="351"/>
      <c r="X80" s="341"/>
      <c r="Y80" s="340"/>
      <c r="Z80" s="341"/>
      <c r="AA80" s="341"/>
      <c r="AB80" s="53"/>
      <c r="AC80" s="332"/>
      <c r="AD80" s="389"/>
    </row>
    <row r="81" spans="1:30" ht="15" customHeight="1">
      <c r="A81" s="386">
        <v>30</v>
      </c>
      <c r="B81" s="392"/>
      <c r="C81" s="54"/>
      <c r="D81" s="310">
        <f>TRUNC(C81)+((C81-TRUNC(C81))/0.6)</f>
        <v>0</v>
      </c>
      <c r="E81" s="310">
        <f>TRUNC(C82)+((C82-TRUNC(C82))/0.6)</f>
        <v>0</v>
      </c>
      <c r="F81" s="311">
        <f>ROUND(((LOG10(TAN(PI()/4+(D81/2*PI()/180)))*7915.7046)-(3437.7468*((0.0816968^2*SIN(D81*PI()/180))+(0.0816968^4/3*((SIN(D81*PI()/180))^3))+(0.0816968^6/5*((SIN(D81*PI()/180))^5))))),2)</f>
        <v>0</v>
      </c>
      <c r="G81" s="312"/>
      <c r="H81" s="312">
        <f>IF(E81&lt;0,E81+360,E81)</f>
        <v>0</v>
      </c>
      <c r="I81" s="334"/>
      <c r="J81" s="335"/>
      <c r="K81" s="336"/>
      <c r="L81" s="310"/>
      <c r="M81" s="310"/>
      <c r="N81" s="337"/>
      <c r="O81" s="352"/>
      <c r="P81" s="353"/>
      <c r="Q81" s="350" t="str">
        <f>IF(O80="","",Q79+O80)</f>
        <v/>
      </c>
      <c r="R81" s="350" t="str">
        <f>IF(O80="","",R79-O80)</f>
        <v/>
      </c>
      <c r="S81" s="340"/>
      <c r="T81" s="117" t="s">
        <v>25</v>
      </c>
      <c r="U81" s="355"/>
      <c r="V81" s="356"/>
      <c r="W81" s="351" t="str">
        <f>IF(P80="","",W79+V80)</f>
        <v/>
      </c>
      <c r="X81" s="340"/>
      <c r="Y81" s="340"/>
      <c r="Z81" s="340"/>
      <c r="AA81" s="340"/>
      <c r="AB81" s="52"/>
      <c r="AC81" s="331"/>
      <c r="AD81" s="389"/>
    </row>
    <row r="82" spans="1:30" ht="15" customHeight="1">
      <c r="A82" s="386"/>
      <c r="B82" s="392"/>
      <c r="C82" s="55"/>
      <c r="D82" s="310"/>
      <c r="E82" s="310"/>
      <c r="F82" s="311"/>
      <c r="G82" s="312">
        <f>ABS(D81-D83)*60</f>
        <v>0</v>
      </c>
      <c r="H82" s="312"/>
      <c r="I82" s="334">
        <f>ABS(H81-H83)*60</f>
        <v>0</v>
      </c>
      <c r="J82" s="335">
        <f>ABS(F81-F83)</f>
        <v>0</v>
      </c>
      <c r="K82" s="336" t="e">
        <f>IF(AND(D81&lt;D83,H81=H83),0,IF(AND(D81&gt;D83,H81=H83),180,IF(AND(D81=D83,H81&lt;H83),90,IF(AND(D81=D83,H81&gt;H83),270,(ATAN(I82/J82)*180/PI())))))</f>
        <v>#DIV/0!</v>
      </c>
      <c r="L82" s="310" t="e">
        <f>IF(OR(K82=0,K82=90,K82=180,K82=270),K82,IF(AND(D81&lt;D83,H81&lt;H83),K82,IF(AND(D81&lt;D83,H81&gt;H83),360-K82,IF(AND(D81&gt;D83,H81&lt;H83),180-K82,IF(AND(D81&gt;D83,H81&gt;H83),180+K82)))))</f>
        <v>#DIV/0!</v>
      </c>
      <c r="M82" s="310">
        <f>(IF(I82=0,G82,IF(G82=0,COS(D83*PI()/180)*I82,G82/COS(K82*PI()/180))))</f>
        <v>0</v>
      </c>
      <c r="N82" s="337" t="str">
        <f>IF(C84="","",ROUND(L82,1))</f>
        <v/>
      </c>
      <c r="O82" s="352" t="str">
        <f>IF(C84="","",ROUND(M82,1))</f>
        <v/>
      </c>
      <c r="P82" s="353"/>
      <c r="Q82" s="350"/>
      <c r="R82" s="350"/>
      <c r="S82" s="341"/>
      <c r="T82" s="122" t="s">
        <v>22</v>
      </c>
      <c r="U82" s="358"/>
      <c r="V82" s="356" t="e">
        <f>(O82/P82+U82/60)/24</f>
        <v>#VALUE!</v>
      </c>
      <c r="W82" s="351"/>
      <c r="X82" s="341"/>
      <c r="Y82" s="340"/>
      <c r="Z82" s="341"/>
      <c r="AA82" s="341"/>
      <c r="AB82" s="53"/>
      <c r="AC82" s="332"/>
      <c r="AD82" s="389"/>
    </row>
    <row r="83" spans="1:30" ht="15" customHeight="1">
      <c r="A83" s="386">
        <v>31</v>
      </c>
      <c r="B83" s="392"/>
      <c r="C83" s="54"/>
      <c r="D83" s="310">
        <f>TRUNC(C83)+((C83-TRUNC(C83))/0.6)</f>
        <v>0</v>
      </c>
      <c r="E83" s="310">
        <f>TRUNC(C84)+((C84-TRUNC(C84))/0.6)</f>
        <v>0</v>
      </c>
      <c r="F83" s="311">
        <f>ROUND(((LOG10(TAN(PI()/4+(D83/2*PI()/180)))*7915.7046)-(3437.7468*((0.0816968^2*SIN(D83*PI()/180))+(0.0816968^4/3*((SIN(D83*PI()/180))^3))+(0.0816968^6/5*((SIN(D83*PI()/180))^5))))),2)</f>
        <v>0</v>
      </c>
      <c r="G83" s="312"/>
      <c r="H83" s="312">
        <f>IF(E83&lt;0,E83+360,E83)</f>
        <v>0</v>
      </c>
      <c r="I83" s="334"/>
      <c r="J83" s="335"/>
      <c r="K83" s="336"/>
      <c r="L83" s="310"/>
      <c r="M83" s="310"/>
      <c r="N83" s="337"/>
      <c r="O83" s="352"/>
      <c r="P83" s="353"/>
      <c r="Q83" s="350" t="str">
        <f>IF(O82="","",Q81+O82)</f>
        <v/>
      </c>
      <c r="R83" s="350" t="str">
        <f>IF(O82="","",R81-O82)</f>
        <v/>
      </c>
      <c r="S83" s="340"/>
      <c r="T83" s="117" t="s">
        <v>25</v>
      </c>
      <c r="U83" s="355"/>
      <c r="V83" s="356"/>
      <c r="W83" s="351" t="str">
        <f>IF(P82="","",W81+V82)</f>
        <v/>
      </c>
      <c r="X83" s="340"/>
      <c r="Y83" s="340"/>
      <c r="Z83" s="340"/>
      <c r="AA83" s="340"/>
      <c r="AB83" s="52"/>
      <c r="AC83" s="331"/>
      <c r="AD83" s="389"/>
    </row>
    <row r="84" spans="1:30" ht="15" customHeight="1">
      <c r="A84" s="386"/>
      <c r="B84" s="392"/>
      <c r="C84" s="55"/>
      <c r="D84" s="310"/>
      <c r="E84" s="310"/>
      <c r="F84" s="311"/>
      <c r="G84" s="312">
        <f>ABS(D83-D85)*60</f>
        <v>0</v>
      </c>
      <c r="H84" s="312"/>
      <c r="I84" s="334">
        <f>ABS(H83-H85)*60</f>
        <v>0</v>
      </c>
      <c r="J84" s="335">
        <f>ABS(F83-F85)</f>
        <v>0</v>
      </c>
      <c r="K84" s="336" t="e">
        <f>IF(AND(D83&lt;D85,H83=H85),0,IF(AND(D83&gt;D85,H83=H85),180,IF(AND(D83=D85,H83&lt;H85),90,IF(AND(D83=D85,H83&gt;H85),270,(ATAN(I84/J84)*180/PI())))))</f>
        <v>#DIV/0!</v>
      </c>
      <c r="L84" s="310" t="e">
        <f>IF(OR(K84=0,K84=90,K84=180,K84=270),K84,IF(AND(D83&lt;D85,H83&lt;H85),K84,IF(AND(D83&lt;D85,H83&gt;H85),360-K84,IF(AND(D83&gt;D85,H83&lt;H85),180-K84,IF(AND(D83&gt;D85,H83&gt;H85),180+K84)))))</f>
        <v>#DIV/0!</v>
      </c>
      <c r="M84" s="310">
        <f>(IF(I84=0,G84,IF(G84=0,COS(D85*PI()/180)*I84,G84/COS(K84*PI()/180))))</f>
        <v>0</v>
      </c>
      <c r="N84" s="337" t="str">
        <f>IF(C86="","",ROUND(L84,1))</f>
        <v/>
      </c>
      <c r="O84" s="352" t="str">
        <f>IF(C86="","",ROUND(M84,1))</f>
        <v/>
      </c>
      <c r="P84" s="353"/>
      <c r="Q84" s="350"/>
      <c r="R84" s="350"/>
      <c r="S84" s="341"/>
      <c r="T84" s="122" t="s">
        <v>27</v>
      </c>
      <c r="U84" s="358"/>
      <c r="V84" s="356" t="e">
        <f>(O84/P84+U84/60)/24</f>
        <v>#VALUE!</v>
      </c>
      <c r="W84" s="351"/>
      <c r="X84" s="341"/>
      <c r="Y84" s="340"/>
      <c r="Z84" s="341"/>
      <c r="AA84" s="341"/>
      <c r="AB84" s="53"/>
      <c r="AC84" s="332"/>
      <c r="AD84" s="389"/>
    </row>
    <row r="85" spans="1:30" ht="15" customHeight="1">
      <c r="A85" s="386">
        <v>32</v>
      </c>
      <c r="B85" s="392"/>
      <c r="C85" s="54"/>
      <c r="D85" s="310">
        <f>TRUNC(C85)+((C85-TRUNC(C85))/0.6)</f>
        <v>0</v>
      </c>
      <c r="E85" s="310">
        <f>TRUNC(C86)+((C86-TRUNC(C86))/0.6)</f>
        <v>0</v>
      </c>
      <c r="F85" s="311">
        <f>ROUND(((LOG10(TAN(PI()/4+(D85/2*PI()/180)))*7915.7046)-(3437.7468*((0.0816968^2*SIN(D85*PI()/180))+(0.0816968^4/3*((SIN(D85*PI()/180))^3))+(0.0816968^6/5*((SIN(D85*PI()/180))^5))))),2)</f>
        <v>0</v>
      </c>
      <c r="G85" s="312"/>
      <c r="H85" s="312">
        <f>IF(E85&lt;0,E85+360,E85)</f>
        <v>0</v>
      </c>
      <c r="I85" s="334"/>
      <c r="J85" s="335"/>
      <c r="K85" s="336"/>
      <c r="L85" s="310"/>
      <c r="M85" s="310"/>
      <c r="N85" s="337"/>
      <c r="O85" s="352"/>
      <c r="P85" s="353"/>
      <c r="Q85" s="350" t="str">
        <f>IF(O84="","",Q83+O84)</f>
        <v/>
      </c>
      <c r="R85" s="350" t="str">
        <f>IF(O84="","",R83-O84)</f>
        <v/>
      </c>
      <c r="S85" s="340"/>
      <c r="T85" s="117" t="s">
        <v>25</v>
      </c>
      <c r="U85" s="355"/>
      <c r="V85" s="356"/>
      <c r="W85" s="351" t="str">
        <f>IF(P84="","",W83+V84)</f>
        <v/>
      </c>
      <c r="X85" s="340"/>
      <c r="Y85" s="340"/>
      <c r="Z85" s="340"/>
      <c r="AA85" s="340"/>
      <c r="AB85" s="52"/>
      <c r="AC85" s="331"/>
      <c r="AD85" s="389"/>
    </row>
    <row r="86" spans="1:30" ht="15" customHeight="1">
      <c r="A86" s="386"/>
      <c r="B86" s="392"/>
      <c r="C86" s="55"/>
      <c r="D86" s="310"/>
      <c r="E86" s="310"/>
      <c r="F86" s="311"/>
      <c r="G86" s="312">
        <f>ABS(D85-D87)*60</f>
        <v>0</v>
      </c>
      <c r="H86" s="312"/>
      <c r="I86" s="334">
        <f>ABS(H85-H87)*60</f>
        <v>0</v>
      </c>
      <c r="J86" s="335">
        <f>ABS(F85-F87)</f>
        <v>0</v>
      </c>
      <c r="K86" s="336" t="e">
        <f>IF(AND(D85&lt;D87,H85=H87),0,IF(AND(D85&gt;D87,H85=H87),180,IF(AND(D85=D87,H85&lt;H87),90,IF(AND(D85=D87,H85&gt;H87),270,(ATAN(I86/J86)*180/PI())))))</f>
        <v>#DIV/0!</v>
      </c>
      <c r="L86" s="310" t="e">
        <f>IF(OR(K86=0,K86=90,K86=180,K86=270),K86,IF(AND(D85&lt;D87,H85&lt;H87),K86,IF(AND(D85&lt;D87,H85&gt;H87),360-K86,IF(AND(D85&gt;D87,H85&lt;H87),180-K86,IF(AND(D85&gt;D87,H85&gt;H87),180+K86)))))</f>
        <v>#DIV/0!</v>
      </c>
      <c r="M86" s="310">
        <f>(IF(I86=0,G86,IF(G86=0,COS(D87*PI()/180)*I86,G86/COS(K86*PI()/180))))</f>
        <v>0</v>
      </c>
      <c r="N86" s="337" t="str">
        <f>IF(C88="","",ROUND(L86,1))</f>
        <v/>
      </c>
      <c r="O86" s="352" t="str">
        <f>IF(C88="","",ROUND(M86,1))</f>
        <v/>
      </c>
      <c r="P86" s="353"/>
      <c r="Q86" s="350"/>
      <c r="R86" s="350"/>
      <c r="S86" s="341"/>
      <c r="T86" s="122" t="s">
        <v>27</v>
      </c>
      <c r="U86" s="358"/>
      <c r="V86" s="356" t="e">
        <f>(O86/P86+U86/60)/24</f>
        <v>#VALUE!</v>
      </c>
      <c r="W86" s="351"/>
      <c r="X86" s="341"/>
      <c r="Y86" s="340"/>
      <c r="Z86" s="341"/>
      <c r="AA86" s="341"/>
      <c r="AB86" s="53"/>
      <c r="AC86" s="332"/>
      <c r="AD86" s="389"/>
    </row>
    <row r="87" spans="1:30" ht="15" customHeight="1">
      <c r="A87" s="386">
        <v>33</v>
      </c>
      <c r="B87" s="392"/>
      <c r="C87" s="54"/>
      <c r="D87" s="310">
        <f>TRUNC(C87)+((C87-TRUNC(C87))/0.6)</f>
        <v>0</v>
      </c>
      <c r="E87" s="310">
        <f>TRUNC(C88)+((C88-TRUNC(C88))/0.6)</f>
        <v>0</v>
      </c>
      <c r="F87" s="311">
        <f>ROUND(((LOG10(TAN(PI()/4+(D87/2*PI()/180)))*7915.7046)-(3437.7468*((0.0816968^2*SIN(D87*PI()/180))+(0.0816968^4/3*((SIN(D87*PI()/180))^3))+(0.0816968^6/5*((SIN(D87*PI()/180))^5))))),2)</f>
        <v>0</v>
      </c>
      <c r="G87" s="312"/>
      <c r="H87" s="312">
        <f>IF(E87&lt;0,E87+360,E87)</f>
        <v>0</v>
      </c>
      <c r="I87" s="334"/>
      <c r="J87" s="335"/>
      <c r="K87" s="336"/>
      <c r="L87" s="310"/>
      <c r="M87" s="310"/>
      <c r="N87" s="337"/>
      <c r="O87" s="352"/>
      <c r="P87" s="353"/>
      <c r="Q87" s="350" t="str">
        <f>IF(O86="","",Q85+O86)</f>
        <v/>
      </c>
      <c r="R87" s="350" t="str">
        <f>IF(O86="","",R85-O86)</f>
        <v/>
      </c>
      <c r="S87" s="340"/>
      <c r="T87" s="117" t="s">
        <v>26</v>
      </c>
      <c r="U87" s="355"/>
      <c r="V87" s="356"/>
      <c r="W87" s="351" t="str">
        <f>IF(P86="","",W85+V86)</f>
        <v/>
      </c>
      <c r="X87" s="340"/>
      <c r="Y87" s="340"/>
      <c r="Z87" s="340"/>
      <c r="AA87" s="340"/>
      <c r="AB87" s="52"/>
      <c r="AC87" s="331"/>
      <c r="AD87" s="389"/>
    </row>
    <row r="88" spans="1:30" ht="15" customHeight="1">
      <c r="A88" s="386"/>
      <c r="B88" s="392"/>
      <c r="C88" s="55"/>
      <c r="D88" s="310"/>
      <c r="E88" s="310"/>
      <c r="F88" s="311"/>
      <c r="G88" s="312">
        <f>ABS(D87-D89)*60</f>
        <v>0</v>
      </c>
      <c r="H88" s="312"/>
      <c r="I88" s="334">
        <f>ABS(H87-H89)*60</f>
        <v>0</v>
      </c>
      <c r="J88" s="335">
        <f>ABS(F87-F89)</f>
        <v>0</v>
      </c>
      <c r="K88" s="336" t="e">
        <f>IF(AND(D87&lt;D89,H87=H89),0,IF(AND(D87&gt;D89,H87=H89),180,IF(AND(D87=D89,H87&lt;H89),90,IF(AND(D87=D89,H87&gt;H89),270,(ATAN(I88/J88)*180/PI())))))</f>
        <v>#DIV/0!</v>
      </c>
      <c r="L88" s="310" t="e">
        <f>IF(OR(K88=0,K88=90,K88=180,K88=270),K88,IF(AND(D87&lt;D89,H87&lt;H89),K88,IF(AND(D87&lt;D89,H87&gt;H89),360-K88,IF(AND(D87&gt;D89,H87&lt;H89),180-K88,IF(AND(D87&gt;D89,H87&gt;H89),180+K88)))))</f>
        <v>#DIV/0!</v>
      </c>
      <c r="M88" s="310">
        <f>(IF(I88=0,G88,IF(G88=0,COS(D89*PI()/180)*I88,G88/COS(K88*PI()/180))))</f>
        <v>0</v>
      </c>
      <c r="N88" s="337" t="str">
        <f>IF(C90="","",ROUND(L88,1))</f>
        <v/>
      </c>
      <c r="O88" s="352" t="str">
        <f>IF(C90="","",ROUND(M88,1))</f>
        <v/>
      </c>
      <c r="P88" s="353"/>
      <c r="Q88" s="350"/>
      <c r="R88" s="350"/>
      <c r="S88" s="341"/>
      <c r="T88" s="122" t="s">
        <v>29</v>
      </c>
      <c r="U88" s="358"/>
      <c r="V88" s="356" t="e">
        <f>(O88/P88+U88/60)/24</f>
        <v>#VALUE!</v>
      </c>
      <c r="W88" s="351"/>
      <c r="X88" s="341"/>
      <c r="Y88" s="340"/>
      <c r="Z88" s="341"/>
      <c r="AA88" s="341"/>
      <c r="AB88" s="53"/>
      <c r="AC88" s="332"/>
      <c r="AD88" s="389"/>
    </row>
    <row r="89" spans="1:30" ht="15" customHeight="1">
      <c r="A89" s="386">
        <v>34</v>
      </c>
      <c r="B89" s="394"/>
      <c r="C89" s="54"/>
      <c r="D89" s="310">
        <f>TRUNC(C89)+((C89-TRUNC(C89))/0.6)</f>
        <v>0</v>
      </c>
      <c r="E89" s="310">
        <f>TRUNC(C90)+((C90-TRUNC(C90))/0.6)</f>
        <v>0</v>
      </c>
      <c r="F89" s="311">
        <f>ROUND(((LOG10(TAN(PI()/4+(D89/2*PI()/180)))*7915.7046)-(3437.7468*((0.0816968^2*SIN(D89*PI()/180))+(0.0816968^4/3*((SIN(D89*PI()/180))^3))+(0.0816968^6/5*((SIN(D89*PI()/180))^5))))),2)</f>
        <v>0</v>
      </c>
      <c r="G89" s="312"/>
      <c r="H89" s="312">
        <f>IF(E89&lt;0,E89+360,E89)</f>
        <v>0</v>
      </c>
      <c r="I89" s="334"/>
      <c r="J89" s="335"/>
      <c r="K89" s="336"/>
      <c r="L89" s="310"/>
      <c r="M89" s="310"/>
      <c r="N89" s="337"/>
      <c r="O89" s="352"/>
      <c r="P89" s="353"/>
      <c r="Q89" s="350" t="str">
        <f>IF(O88="","",Q87+O88)</f>
        <v/>
      </c>
      <c r="R89" s="350" t="str">
        <f>IF(O88="","",R87-O88)</f>
        <v/>
      </c>
      <c r="S89" s="340"/>
      <c r="T89" s="117" t="s">
        <v>26</v>
      </c>
      <c r="U89" s="355"/>
      <c r="V89" s="356"/>
      <c r="W89" s="351" t="str">
        <f>IF(P88="","",W87+V88)</f>
        <v/>
      </c>
      <c r="X89" s="340"/>
      <c r="Y89" s="340"/>
      <c r="Z89" s="340"/>
      <c r="AA89" s="340"/>
      <c r="AB89" s="52"/>
      <c r="AC89" s="331"/>
      <c r="AD89" s="389"/>
    </row>
    <row r="90" spans="1:30" ht="15" customHeight="1">
      <c r="A90" s="386"/>
      <c r="B90" s="395"/>
      <c r="C90" s="55"/>
      <c r="D90" s="310"/>
      <c r="E90" s="310"/>
      <c r="F90" s="311"/>
      <c r="G90" s="312">
        <f>ABS(D89-D91)*60</f>
        <v>0</v>
      </c>
      <c r="H90" s="312"/>
      <c r="I90" s="334">
        <f>ABS(H89-H91)*60</f>
        <v>0</v>
      </c>
      <c r="J90" s="335">
        <f>ABS(F89-F91)</f>
        <v>0</v>
      </c>
      <c r="K90" s="336" t="e">
        <f>IF(AND(D89&lt;D91,H89=H91),0,IF(AND(D89&gt;D91,H89=H91),180,IF(AND(D89=D91,H89&lt;H91),90,IF(AND(D89=D91,H89&gt;H91),270,(ATAN(I90/J90)*180/PI())))))</f>
        <v>#DIV/0!</v>
      </c>
      <c r="L90" s="310" t="e">
        <f>IF(OR(K90=0,K90=90,K90=180,K90=270),K90,IF(AND(D89&lt;D91,H89&lt;H91),K90,IF(AND(D89&lt;D91,H89&gt;H91),360-K90,IF(AND(D89&gt;D91,H89&lt;H91),180-K90,IF(AND(D89&gt;D91,H89&gt;H91),180+K90)))))</f>
        <v>#DIV/0!</v>
      </c>
      <c r="M90" s="310">
        <f>(IF(I90=0,G90,IF(G90=0,COS(D91*PI()/180)*I90,G90/COS(K90*PI()/180))))</f>
        <v>0</v>
      </c>
      <c r="N90" s="337" t="str">
        <f>IF(C92="","",ROUND(L90,1))</f>
        <v/>
      </c>
      <c r="O90" s="352" t="str">
        <f>IF(C92="","",ROUND(M90,1))</f>
        <v/>
      </c>
      <c r="P90" s="353"/>
      <c r="Q90" s="350"/>
      <c r="R90" s="350"/>
      <c r="S90" s="341"/>
      <c r="T90" s="122" t="s">
        <v>29</v>
      </c>
      <c r="U90" s="358"/>
      <c r="V90" s="356" t="e">
        <f>(O90/P90+U90/60)/24</f>
        <v>#VALUE!</v>
      </c>
      <c r="W90" s="351"/>
      <c r="X90" s="341"/>
      <c r="Y90" s="340"/>
      <c r="Z90" s="341"/>
      <c r="AA90" s="341"/>
      <c r="AB90" s="53"/>
      <c r="AC90" s="332"/>
      <c r="AD90" s="389"/>
    </row>
    <row r="91" spans="1:30" ht="15" customHeight="1">
      <c r="A91" s="386">
        <v>35</v>
      </c>
      <c r="B91" s="394"/>
      <c r="C91" s="54"/>
      <c r="D91" s="310">
        <f>TRUNC(C91)+((C91-TRUNC(C91))/0.6)</f>
        <v>0</v>
      </c>
      <c r="E91" s="310">
        <f>TRUNC(C92)+((C92-TRUNC(C92))/0.6)</f>
        <v>0</v>
      </c>
      <c r="F91" s="311">
        <f>ROUND(((LOG10(TAN(PI()/4+(D91/2*PI()/180)))*7915.7046)-(3437.7468*((0.0816968^2*SIN(D91*PI()/180))+(0.0816968^4/3*((SIN(D91*PI()/180))^3))+(0.0816968^6/5*((SIN(D91*PI()/180))^5))))),2)</f>
        <v>0</v>
      </c>
      <c r="G91" s="312"/>
      <c r="H91" s="312">
        <f>IF(E91&lt;0,E91+360,E91)</f>
        <v>0</v>
      </c>
      <c r="I91" s="334"/>
      <c r="J91" s="335"/>
      <c r="K91" s="336"/>
      <c r="L91" s="310"/>
      <c r="M91" s="310"/>
      <c r="N91" s="337"/>
      <c r="O91" s="352"/>
      <c r="P91" s="353"/>
      <c r="Q91" s="350" t="str">
        <f>IF(O90="","",Q89+O90)</f>
        <v/>
      </c>
      <c r="R91" s="350" t="str">
        <f>IF(O90="","",R89-O90)</f>
        <v/>
      </c>
      <c r="S91" s="340"/>
      <c r="T91" s="117" t="s">
        <v>25</v>
      </c>
      <c r="U91" s="355"/>
      <c r="V91" s="356"/>
      <c r="W91" s="351" t="str">
        <f>IF(P90="","",W89+V90)</f>
        <v/>
      </c>
      <c r="X91" s="340"/>
      <c r="Y91" s="340"/>
      <c r="Z91" s="340"/>
      <c r="AA91" s="340"/>
      <c r="AB91" s="52"/>
      <c r="AC91" s="331"/>
      <c r="AD91" s="389"/>
    </row>
    <row r="92" spans="1:30" ht="15" customHeight="1">
      <c r="A92" s="386"/>
      <c r="B92" s="395"/>
      <c r="C92" s="55"/>
      <c r="D92" s="310"/>
      <c r="E92" s="310"/>
      <c r="F92" s="311"/>
      <c r="G92" s="312">
        <f>ABS(D91-D93)*60</f>
        <v>0</v>
      </c>
      <c r="H92" s="312"/>
      <c r="I92" s="334">
        <f>ABS(H91-H93)*60</f>
        <v>0</v>
      </c>
      <c r="J92" s="335">
        <f>ABS(F91-F93)</f>
        <v>0</v>
      </c>
      <c r="K92" s="336" t="e">
        <f>IF(AND(D91&lt;D93,H91=H93),0,IF(AND(D91&gt;D93,H91=H93),180,IF(AND(D91=D93,H91&lt;H93),90,IF(AND(D91=D93,H91&gt;H93),270,(ATAN(I92/J92)*180/PI())))))</f>
        <v>#DIV/0!</v>
      </c>
      <c r="L92" s="310" t="e">
        <f>IF(OR(K92=0,K92=90,K92=180,K92=270),K92,IF(AND(D91&lt;D93,H91&lt;H93),K92,IF(AND(D91&lt;D93,H91&gt;H93),360-K92,IF(AND(D91&gt;D93,H91&lt;H93),180-K92,IF(AND(D91&gt;D93,H91&gt;H93),180+K92)))))</f>
        <v>#DIV/0!</v>
      </c>
      <c r="M92" s="310">
        <f>(IF(I92=0,G92,IF(G92=0,COS(D93*PI()/180)*I92,G92/COS(K92*PI()/180))))</f>
        <v>0</v>
      </c>
      <c r="N92" s="337" t="str">
        <f>IF(C94="","",ROUND(L92,1))</f>
        <v/>
      </c>
      <c r="O92" s="352" t="str">
        <f>IF(C94="","",ROUND(M92,1))</f>
        <v/>
      </c>
      <c r="P92" s="353"/>
      <c r="Q92" s="350"/>
      <c r="R92" s="350"/>
      <c r="S92" s="341"/>
      <c r="T92" s="122" t="s">
        <v>27</v>
      </c>
      <c r="U92" s="358"/>
      <c r="V92" s="356" t="e">
        <f>(O92/P92+U92/60)/24</f>
        <v>#VALUE!</v>
      </c>
      <c r="W92" s="351"/>
      <c r="X92" s="341"/>
      <c r="Y92" s="340"/>
      <c r="Z92" s="341"/>
      <c r="AA92" s="341"/>
      <c r="AB92" s="53"/>
      <c r="AC92" s="332"/>
      <c r="AD92" s="389"/>
    </row>
    <row r="93" spans="1:30" ht="15" customHeight="1">
      <c r="A93" s="386">
        <v>36</v>
      </c>
      <c r="B93" s="394"/>
      <c r="C93" s="54"/>
      <c r="D93" s="310">
        <f>TRUNC(C93)+((C93-TRUNC(C93))/0.6)</f>
        <v>0</v>
      </c>
      <c r="E93" s="310">
        <f>TRUNC(C94)+((C94-TRUNC(C94))/0.6)</f>
        <v>0</v>
      </c>
      <c r="F93" s="311">
        <f>ROUND(((LOG10(TAN(PI()/4+(D93/2*PI()/180)))*7915.7046)-(3437.7468*((0.0816968^2*SIN(D93*PI()/180))+(0.0816968^4/3*((SIN(D93*PI()/180))^3))+(0.0816968^6/5*((SIN(D93*PI()/180))^5))))),2)</f>
        <v>0</v>
      </c>
      <c r="G93" s="312"/>
      <c r="H93" s="312">
        <f>IF(E93&lt;0,E93+360,E93)</f>
        <v>0</v>
      </c>
      <c r="I93" s="334"/>
      <c r="J93" s="335"/>
      <c r="K93" s="336"/>
      <c r="L93" s="310"/>
      <c r="M93" s="310"/>
      <c r="N93" s="337"/>
      <c r="O93" s="352"/>
      <c r="P93" s="353"/>
      <c r="Q93" s="350" t="str">
        <f>IF(O92="","",Q91+O92)</f>
        <v/>
      </c>
      <c r="R93" s="350" t="str">
        <f>IF(O92="","",R91-O92)</f>
        <v/>
      </c>
      <c r="S93" s="340"/>
      <c r="T93" s="117" t="s">
        <v>25</v>
      </c>
      <c r="U93" s="355"/>
      <c r="V93" s="356"/>
      <c r="W93" s="351" t="str">
        <f>IF(P92="","",W91+V92)</f>
        <v/>
      </c>
      <c r="X93" s="340"/>
      <c r="Y93" s="340"/>
      <c r="Z93" s="340"/>
      <c r="AA93" s="340"/>
      <c r="AB93" s="52"/>
      <c r="AC93" s="331"/>
      <c r="AD93" s="389"/>
    </row>
    <row r="94" spans="1:30" ht="15" customHeight="1">
      <c r="A94" s="386"/>
      <c r="B94" s="395"/>
      <c r="C94" s="55"/>
      <c r="D94" s="310"/>
      <c r="E94" s="310"/>
      <c r="F94" s="311"/>
      <c r="G94" s="312">
        <f>ABS(D93-D95)*60</f>
        <v>0</v>
      </c>
      <c r="H94" s="312"/>
      <c r="I94" s="334">
        <f>ABS(H93-H95)*60</f>
        <v>0</v>
      </c>
      <c r="J94" s="335">
        <f>ABS(F93-F95)</f>
        <v>0</v>
      </c>
      <c r="K94" s="336" t="e">
        <f>IF(AND(D93&lt;D95,H93=H95),0,IF(AND(D93&gt;D95,H93=H95),180,IF(AND(D93=D95,H93&lt;H95),90,IF(AND(D93=D95,H93&gt;H95),270,(ATAN(I94/J94)*180/PI())))))</f>
        <v>#DIV/0!</v>
      </c>
      <c r="L94" s="310" t="e">
        <f>IF(OR(K94=0,K94=90,K94=180,K94=270),K94,IF(AND(D93&lt;D95,H93&lt;H95),K94,IF(AND(D93&lt;D95,H93&gt;H95),360-K94,IF(AND(D93&gt;D95,H93&lt;H95),180-K94,IF(AND(D93&gt;D95,H93&gt;H95),180+K94)))))</f>
        <v>#DIV/0!</v>
      </c>
      <c r="M94" s="310">
        <f>(IF(I94=0,G94,IF(G94=0,COS(D95*PI()/180)*I94,G94/COS(K94*PI()/180))))</f>
        <v>0</v>
      </c>
      <c r="N94" s="337" t="str">
        <f>IF(C96="","",ROUND(L94,1))</f>
        <v/>
      </c>
      <c r="O94" s="352" t="str">
        <f>IF(C96="","",ROUND(M94,1))</f>
        <v/>
      </c>
      <c r="P94" s="353"/>
      <c r="Q94" s="350"/>
      <c r="R94" s="350"/>
      <c r="S94" s="341"/>
      <c r="T94" s="122" t="s">
        <v>22</v>
      </c>
      <c r="U94" s="358"/>
      <c r="V94" s="356" t="e">
        <f>(O94/P94+U94/60)/24</f>
        <v>#VALUE!</v>
      </c>
      <c r="W94" s="351"/>
      <c r="X94" s="341"/>
      <c r="Y94" s="340"/>
      <c r="Z94" s="341"/>
      <c r="AA94" s="341"/>
      <c r="AB94" s="53"/>
      <c r="AC94" s="332"/>
      <c r="AD94" s="389"/>
    </row>
    <row r="95" spans="1:30" ht="15" customHeight="1">
      <c r="A95" s="386">
        <v>37</v>
      </c>
      <c r="B95" s="348"/>
      <c r="C95" s="54"/>
      <c r="D95" s="310">
        <f>TRUNC(C95)+((C95-TRUNC(C95))/0.6)</f>
        <v>0</v>
      </c>
      <c r="E95" s="310">
        <f>TRUNC(C96)+((C96-TRUNC(C96))/0.6)</f>
        <v>0</v>
      </c>
      <c r="F95" s="311">
        <f>ROUND(((LOG10(TAN(PI()/4+(D95/2*PI()/180)))*7915.7046)-(3437.7468*((0.0816968^2*SIN(D95*PI()/180))+(0.0816968^4/3*((SIN(D95*PI()/180))^3))+(0.0816968^6/5*((SIN(D95*PI()/180))^5))))),2)</f>
        <v>0</v>
      </c>
      <c r="G95" s="312"/>
      <c r="H95" s="312">
        <f>IF(E95&lt;0,E95+360,E95)</f>
        <v>0</v>
      </c>
      <c r="I95" s="334"/>
      <c r="J95" s="335"/>
      <c r="K95" s="336"/>
      <c r="L95" s="310"/>
      <c r="M95" s="310"/>
      <c r="N95" s="337"/>
      <c r="O95" s="352"/>
      <c r="P95" s="353"/>
      <c r="Q95" s="350" t="str">
        <f>IF(O94="","",Q93+O94)</f>
        <v/>
      </c>
      <c r="R95" s="350" t="str">
        <f>IF(O94="","",R93-O94)</f>
        <v/>
      </c>
      <c r="S95" s="340"/>
      <c r="T95" s="117" t="s">
        <v>25</v>
      </c>
      <c r="U95" s="355"/>
      <c r="V95" s="356"/>
      <c r="W95" s="351" t="str">
        <f>IF(P94="","",W93+V94)</f>
        <v/>
      </c>
      <c r="X95" s="340"/>
      <c r="Y95" s="340"/>
      <c r="Z95" s="340"/>
      <c r="AA95" s="340"/>
      <c r="AB95" s="52"/>
      <c r="AC95" s="331"/>
      <c r="AD95" s="389"/>
    </row>
    <row r="96" spans="1:30" ht="15" customHeight="1">
      <c r="A96" s="386"/>
      <c r="B96" s="349"/>
      <c r="C96" s="55"/>
      <c r="D96" s="310"/>
      <c r="E96" s="310"/>
      <c r="F96" s="311"/>
      <c r="G96" s="312">
        <f>ABS(D95-D97)*60</f>
        <v>0</v>
      </c>
      <c r="H96" s="312"/>
      <c r="I96" s="334">
        <f>ABS(H95-H97)*60</f>
        <v>0</v>
      </c>
      <c r="J96" s="335">
        <f>ABS(F95-F97)</f>
        <v>0</v>
      </c>
      <c r="K96" s="336" t="e">
        <f>IF(AND(D95&lt;D97,H95=H97),0,IF(AND(D95&gt;D97,H95=H97),180,IF(AND(D95=D97,H95&lt;H97),90,IF(AND(D95=D97,H95&gt;H97),270,(ATAN(I96/J96)*180/PI())))))</f>
        <v>#DIV/0!</v>
      </c>
      <c r="L96" s="310" t="e">
        <f>IF(OR(K96=0,K96=90,K96=180,K96=270),K96,IF(AND(D95&lt;D97,H95&lt;H97),K96,IF(AND(D95&lt;D97,H95&gt;H97),360-K96,IF(AND(D95&gt;D97,H95&lt;H97),180-K96,IF(AND(D95&gt;D97,H95&gt;H97),180+K96)))))</f>
        <v>#DIV/0!</v>
      </c>
      <c r="M96" s="310">
        <f>(IF(I96=0,G96,IF(G96=0,COS(D97*PI()/180)*I96,G96/COS(K96*PI()/180))))</f>
        <v>0</v>
      </c>
      <c r="N96" s="337" t="str">
        <f>IF(C98="","",ROUND(L96,1))</f>
        <v/>
      </c>
      <c r="O96" s="352" t="str">
        <f>IF(C98="","",ROUND(M96,1))</f>
        <v/>
      </c>
      <c r="P96" s="353"/>
      <c r="Q96" s="350"/>
      <c r="R96" s="350"/>
      <c r="S96" s="341"/>
      <c r="T96" s="122" t="s">
        <v>23</v>
      </c>
      <c r="U96" s="358"/>
      <c r="V96" s="356" t="e">
        <f>(O96/P96+U96/60)/24</f>
        <v>#VALUE!</v>
      </c>
      <c r="W96" s="351"/>
      <c r="X96" s="341"/>
      <c r="Y96" s="340"/>
      <c r="Z96" s="341"/>
      <c r="AA96" s="341"/>
      <c r="AB96" s="53"/>
      <c r="AC96" s="332"/>
      <c r="AD96" s="389"/>
    </row>
    <row r="97" spans="1:30" ht="15" customHeight="1">
      <c r="A97" s="386">
        <v>38</v>
      </c>
      <c r="B97" s="392"/>
      <c r="C97" s="54"/>
      <c r="D97" s="310">
        <f>TRUNC(C97)+((C97-TRUNC(C97))/0.6)</f>
        <v>0</v>
      </c>
      <c r="E97" s="310">
        <f>TRUNC(C98)+((C98-TRUNC(C98))/0.6)</f>
        <v>0</v>
      </c>
      <c r="F97" s="311">
        <f>ROUND(((LOG10(TAN(PI()/4+(D97/2*PI()/180)))*7915.7046)-(3437.7468*((0.0816968^2*SIN(D97*PI()/180))+(0.0816968^4/3*((SIN(D97*PI()/180))^3))+(0.0816968^6/5*((SIN(D97*PI()/180))^5))))),2)</f>
        <v>0</v>
      </c>
      <c r="G97" s="312"/>
      <c r="H97" s="312">
        <f>IF(E97&lt;0,E97+360,E97)</f>
        <v>0</v>
      </c>
      <c r="I97" s="334"/>
      <c r="J97" s="335"/>
      <c r="K97" s="336"/>
      <c r="L97" s="310"/>
      <c r="M97" s="310"/>
      <c r="N97" s="337"/>
      <c r="O97" s="352"/>
      <c r="P97" s="353"/>
      <c r="Q97" s="350" t="str">
        <f>IF(O96="","",Q95+O96)</f>
        <v/>
      </c>
      <c r="R97" s="350" t="str">
        <f>IF(O96="","",R95-O96)</f>
        <v/>
      </c>
      <c r="S97" s="340"/>
      <c r="T97" s="117"/>
      <c r="U97" s="355"/>
      <c r="V97" s="356"/>
      <c r="W97" s="351" t="str">
        <f>IF(P96="","",W95+V96)</f>
        <v/>
      </c>
      <c r="X97" s="340"/>
      <c r="Y97" s="386"/>
      <c r="Z97" s="340"/>
      <c r="AA97" s="340"/>
      <c r="AB97" s="52"/>
      <c r="AC97" s="331"/>
      <c r="AD97" s="389"/>
    </row>
    <row r="98" spans="1:30" s="94" customFormat="1" ht="15" customHeight="1">
      <c r="A98" s="386"/>
      <c r="B98" s="392"/>
      <c r="C98" s="55"/>
      <c r="D98" s="310"/>
      <c r="E98" s="310"/>
      <c r="F98" s="311"/>
      <c r="G98" s="128"/>
      <c r="H98" s="312"/>
      <c r="I98" s="128"/>
      <c r="J98" s="128"/>
      <c r="K98" s="128"/>
      <c r="L98" s="128"/>
      <c r="M98" s="128"/>
      <c r="N98" s="114"/>
      <c r="O98" s="115"/>
      <c r="P98" s="116"/>
      <c r="Q98" s="350"/>
      <c r="R98" s="350"/>
      <c r="S98" s="341"/>
      <c r="T98" s="122"/>
      <c r="U98" s="129"/>
      <c r="V98" s="118"/>
      <c r="W98" s="351"/>
      <c r="X98" s="341"/>
      <c r="Y98" s="386"/>
      <c r="Z98" s="341"/>
      <c r="AA98" s="341"/>
      <c r="AB98" s="53"/>
      <c r="AC98" s="332"/>
      <c r="AD98" s="389"/>
    </row>
    <row r="99" spans="1:30" ht="13.5" customHeight="1">
      <c r="A99" s="396"/>
      <c r="B99" s="396"/>
      <c r="C99" s="396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</row>
    <row r="100" spans="1:30" s="107" customFormat="1" ht="13.5" customHeight="1">
      <c r="A100" s="397"/>
      <c r="B100" s="397"/>
      <c r="C100" s="397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s="107" customFormat="1" ht="13.5" customHeight="1">
      <c r="A101" s="397"/>
      <c r="B101" s="397"/>
      <c r="C101" s="397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4.1" customHeight="1"/>
    <row r="103" spans="1:30" ht="14.1" customHeight="1"/>
    <row r="104" spans="1:30" ht="14.1" customHeight="1"/>
    <row r="105" spans="1:30" ht="14.1" customHeight="1"/>
    <row r="106" spans="1:30" ht="14.1" customHeight="1"/>
    <row r="107" spans="1:30" ht="14.1" customHeight="1"/>
    <row r="108" spans="1:30" ht="14.1" customHeight="1"/>
    <row r="109" spans="1:30" ht="14.1" customHeight="1"/>
    <row r="110" spans="1:30" ht="14.1" customHeight="1"/>
    <row r="111" spans="1:30" ht="14.1" customHeight="1"/>
    <row r="112" spans="1:30" ht="14.1" customHeight="1"/>
    <row r="113" spans="3:29" ht="14.1" customHeight="1"/>
    <row r="114" spans="3:29" ht="14.1" customHeight="1"/>
    <row r="115" spans="3:29" ht="14.1" customHeight="1"/>
    <row r="116" spans="3:29" ht="14.1" customHeight="1"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</row>
    <row r="117" spans="3:29" ht="14.1" customHeight="1"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</row>
    <row r="118" spans="3:29" ht="14.1" customHeight="1"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</row>
    <row r="119" spans="3:29" ht="14.1" customHeight="1"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</row>
    <row r="120" spans="3:29" ht="14.1" customHeight="1"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</row>
    <row r="121" spans="3:29" ht="14.1" customHeight="1"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</row>
    <row r="122" spans="3:29" ht="14.1" customHeight="1"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</row>
    <row r="123" spans="3:29" ht="14.1" customHeight="1"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</row>
    <row r="124" spans="3:29" ht="14.1" customHeight="1"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</row>
    <row r="125" spans="3:29" ht="14.1" customHeight="1"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</row>
    <row r="126" spans="3:29" ht="14.1" customHeight="1"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</row>
    <row r="127" spans="3:29" ht="14.1" customHeight="1"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</row>
    <row r="128" spans="3:29" ht="14.1" customHeight="1"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</row>
    <row r="129" s="104" customFormat="1" ht="14.1" customHeight="1"/>
    <row r="130" s="104" customFormat="1" ht="14.1" customHeight="1"/>
    <row r="131" s="104" customFormat="1" ht="14.1" customHeight="1"/>
    <row r="132" s="104" customFormat="1" ht="14.1" customHeight="1"/>
    <row r="133" s="104" customFormat="1" ht="14.1" customHeight="1"/>
    <row r="134" s="104" customFormat="1" ht="14.1" customHeight="1"/>
    <row r="135" s="104" customFormat="1" ht="14.1" customHeight="1"/>
  </sheetData>
  <sheetProtection algorithmName="SHA-512" hashValue="22HBcLjfHSeRMJb3mUwGhFWB61bqmm4VEXgbP5hxzFoRn7zmXoqINsnJ8e0YDUcAORwJQW66zN1JQ3cdq394yw==" saltValue="W4ojUTI929rzMcTrSofH0w==" spinCount="100000" sheet="1" objects="1" scenarios="1"/>
  <mergeCells count="1117">
    <mergeCell ref="Z97:Z98"/>
    <mergeCell ref="AA97:AA98"/>
    <mergeCell ref="AC97:AC98"/>
    <mergeCell ref="AD97:AD98"/>
    <mergeCell ref="A99:C101"/>
    <mergeCell ref="Q97:Q98"/>
    <mergeCell ref="R97:R98"/>
    <mergeCell ref="S97:S98"/>
    <mergeCell ref="W97:W98"/>
    <mergeCell ref="X97:X98"/>
    <mergeCell ref="Y97:Y98"/>
    <mergeCell ref="O96:O97"/>
    <mergeCell ref="P96:P97"/>
    <mergeCell ref="U96:U97"/>
    <mergeCell ref="V96:V97"/>
    <mergeCell ref="A97:A98"/>
    <mergeCell ref="B97:B98"/>
    <mergeCell ref="D97:D98"/>
    <mergeCell ref="E97:E98"/>
    <mergeCell ref="F97:F98"/>
    <mergeCell ref="H97:H98"/>
    <mergeCell ref="AA95:AA96"/>
    <mergeCell ref="AC95:AC96"/>
    <mergeCell ref="AD95:AD96"/>
    <mergeCell ref="G96:G97"/>
    <mergeCell ref="I96:I97"/>
    <mergeCell ref="J96:J97"/>
    <mergeCell ref="K96:K97"/>
    <mergeCell ref="L96:L97"/>
    <mergeCell ref="M96:M97"/>
    <mergeCell ref="N96:N97"/>
    <mergeCell ref="R95:R96"/>
    <mergeCell ref="S95:S96"/>
    <mergeCell ref="W95:W96"/>
    <mergeCell ref="X95:X96"/>
    <mergeCell ref="Y95:Y96"/>
    <mergeCell ref="Z95:Z96"/>
    <mergeCell ref="P94:P95"/>
    <mergeCell ref="U94:U95"/>
    <mergeCell ref="V94:V95"/>
    <mergeCell ref="A95:A96"/>
    <mergeCell ref="B95:B96"/>
    <mergeCell ref="D95:D96"/>
    <mergeCell ref="E95:E96"/>
    <mergeCell ref="F95:F96"/>
    <mergeCell ref="H95:H96"/>
    <mergeCell ref="Q95:Q96"/>
    <mergeCell ref="AC93:AC94"/>
    <mergeCell ref="AD93:AD94"/>
    <mergeCell ref="G94:G95"/>
    <mergeCell ref="I94:I95"/>
    <mergeCell ref="J94:J95"/>
    <mergeCell ref="K94:K95"/>
    <mergeCell ref="L94:L95"/>
    <mergeCell ref="M94:M95"/>
    <mergeCell ref="N94:N95"/>
    <mergeCell ref="O94:O95"/>
    <mergeCell ref="S93:S94"/>
    <mergeCell ref="W93:W94"/>
    <mergeCell ref="X93:X94"/>
    <mergeCell ref="Y93:Y94"/>
    <mergeCell ref="Z93:Z94"/>
    <mergeCell ref="AA93:AA94"/>
    <mergeCell ref="U92:U93"/>
    <mergeCell ref="B93:B94"/>
    <mergeCell ref="D93:D94"/>
    <mergeCell ref="E93:E94"/>
    <mergeCell ref="F93:F94"/>
    <mergeCell ref="H93:H94"/>
    <mergeCell ref="Q93:Q94"/>
    <mergeCell ref="R93:R94"/>
    <mergeCell ref="Y91:Y92"/>
    <mergeCell ref="Z91:Z92"/>
    <mergeCell ref="AA91:AA92"/>
    <mergeCell ref="AC91:AC92"/>
    <mergeCell ref="AD91:AD92"/>
    <mergeCell ref="G92:G93"/>
    <mergeCell ref="I92:I93"/>
    <mergeCell ref="J92:J93"/>
    <mergeCell ref="K92:K93"/>
    <mergeCell ref="L92:L93"/>
    <mergeCell ref="H91:H92"/>
    <mergeCell ref="Q91:Q92"/>
    <mergeCell ref="R91:R92"/>
    <mergeCell ref="S91:S92"/>
    <mergeCell ref="W91:W92"/>
    <mergeCell ref="X91:X92"/>
    <mergeCell ref="M92:M93"/>
    <mergeCell ref="N92:N93"/>
    <mergeCell ref="O92:O93"/>
    <mergeCell ref="P92:P93"/>
    <mergeCell ref="N90:N91"/>
    <mergeCell ref="O90:O91"/>
    <mergeCell ref="P90:P91"/>
    <mergeCell ref="H89:H90"/>
    <mergeCell ref="U90:U91"/>
    <mergeCell ref="A91:A92"/>
    <mergeCell ref="B91:B92"/>
    <mergeCell ref="D91:D92"/>
    <mergeCell ref="E91:E92"/>
    <mergeCell ref="F91:F92"/>
    <mergeCell ref="Z89:Z90"/>
    <mergeCell ref="AA89:AA90"/>
    <mergeCell ref="AC89:AC90"/>
    <mergeCell ref="AD89:AD90"/>
    <mergeCell ref="G90:G91"/>
    <mergeCell ref="I90:I91"/>
    <mergeCell ref="J90:J91"/>
    <mergeCell ref="K90:K91"/>
    <mergeCell ref="L90:L91"/>
    <mergeCell ref="M90:M91"/>
    <mergeCell ref="Q89:Q90"/>
    <mergeCell ref="R89:R90"/>
    <mergeCell ref="S89:S90"/>
    <mergeCell ref="W89:W90"/>
    <mergeCell ref="X89:X90"/>
    <mergeCell ref="Y89:Y90"/>
    <mergeCell ref="O88:O89"/>
    <mergeCell ref="P88:P89"/>
    <mergeCell ref="U88:U89"/>
    <mergeCell ref="V88:V89"/>
    <mergeCell ref="A89:A90"/>
    <mergeCell ref="B89:B90"/>
    <mergeCell ref="D89:D90"/>
    <mergeCell ref="E89:E90"/>
    <mergeCell ref="F89:F90"/>
    <mergeCell ref="V92:V93"/>
    <mergeCell ref="A93:A94"/>
    <mergeCell ref="AA87:AA88"/>
    <mergeCell ref="AC87:AC88"/>
    <mergeCell ref="AD87:AD88"/>
    <mergeCell ref="G88:G89"/>
    <mergeCell ref="I88:I89"/>
    <mergeCell ref="J88:J89"/>
    <mergeCell ref="K88:K89"/>
    <mergeCell ref="L88:L89"/>
    <mergeCell ref="M88:M89"/>
    <mergeCell ref="N88:N89"/>
    <mergeCell ref="R87:R88"/>
    <mergeCell ref="S87:S88"/>
    <mergeCell ref="W87:W88"/>
    <mergeCell ref="X87:X88"/>
    <mergeCell ref="Y87:Y88"/>
    <mergeCell ref="Z87:Z88"/>
    <mergeCell ref="P86:P87"/>
    <mergeCell ref="U86:U87"/>
    <mergeCell ref="V86:V87"/>
    <mergeCell ref="R85:R86"/>
    <mergeCell ref="Q85:Q86"/>
    <mergeCell ref="V90:V91"/>
    <mergeCell ref="A87:A88"/>
    <mergeCell ref="B87:B88"/>
    <mergeCell ref="D87:D88"/>
    <mergeCell ref="E87:E88"/>
    <mergeCell ref="F87:F88"/>
    <mergeCell ref="H87:H88"/>
    <mergeCell ref="Q87:Q88"/>
    <mergeCell ref="AC85:AC86"/>
    <mergeCell ref="AD85:AD86"/>
    <mergeCell ref="G86:G87"/>
    <mergeCell ref="I86:I87"/>
    <mergeCell ref="J86:J87"/>
    <mergeCell ref="K86:K87"/>
    <mergeCell ref="L86:L87"/>
    <mergeCell ref="M86:M87"/>
    <mergeCell ref="N86:N87"/>
    <mergeCell ref="O86:O87"/>
    <mergeCell ref="S85:S86"/>
    <mergeCell ref="W85:W86"/>
    <mergeCell ref="X85:X86"/>
    <mergeCell ref="Y85:Y86"/>
    <mergeCell ref="Z85:Z86"/>
    <mergeCell ref="AA85:AA86"/>
    <mergeCell ref="U84:U85"/>
    <mergeCell ref="V84:V85"/>
    <mergeCell ref="A85:A86"/>
    <mergeCell ref="B85:B86"/>
    <mergeCell ref="D85:D86"/>
    <mergeCell ref="E85:E86"/>
    <mergeCell ref="F85:F86"/>
    <mergeCell ref="H85:H86"/>
    <mergeCell ref="Y83:Y84"/>
    <mergeCell ref="Z83:Z84"/>
    <mergeCell ref="AA83:AA84"/>
    <mergeCell ref="AC83:AC84"/>
    <mergeCell ref="AD83:AD84"/>
    <mergeCell ref="G84:G85"/>
    <mergeCell ref="I84:I85"/>
    <mergeCell ref="J84:J85"/>
    <mergeCell ref="K84:K85"/>
    <mergeCell ref="L84:L85"/>
    <mergeCell ref="H83:H84"/>
    <mergeCell ref="Q83:Q84"/>
    <mergeCell ref="R83:R84"/>
    <mergeCell ref="S83:S84"/>
    <mergeCell ref="W83:W84"/>
    <mergeCell ref="X83:X84"/>
    <mergeCell ref="M84:M85"/>
    <mergeCell ref="N84:N85"/>
    <mergeCell ref="O84:O85"/>
    <mergeCell ref="P84:P85"/>
    <mergeCell ref="N82:N83"/>
    <mergeCell ref="O82:O83"/>
    <mergeCell ref="P82:P83"/>
    <mergeCell ref="U82:U83"/>
    <mergeCell ref="V82:V83"/>
    <mergeCell ref="A83:A84"/>
    <mergeCell ref="B83:B84"/>
    <mergeCell ref="D83:D84"/>
    <mergeCell ref="E83:E84"/>
    <mergeCell ref="F83:F84"/>
    <mergeCell ref="Z81:Z82"/>
    <mergeCell ref="AA81:AA82"/>
    <mergeCell ref="AC81:AC82"/>
    <mergeCell ref="AD81:AD82"/>
    <mergeCell ref="G82:G83"/>
    <mergeCell ref="I82:I83"/>
    <mergeCell ref="J82:J83"/>
    <mergeCell ref="K82:K83"/>
    <mergeCell ref="L82:L83"/>
    <mergeCell ref="M82:M83"/>
    <mergeCell ref="Q81:Q82"/>
    <mergeCell ref="R81:R82"/>
    <mergeCell ref="S81:S82"/>
    <mergeCell ref="W81:W82"/>
    <mergeCell ref="X81:X82"/>
    <mergeCell ref="Y81:Y82"/>
    <mergeCell ref="O80:O81"/>
    <mergeCell ref="P80:P81"/>
    <mergeCell ref="U80:U81"/>
    <mergeCell ref="V80:V81"/>
    <mergeCell ref="A81:A82"/>
    <mergeCell ref="B81:B82"/>
    <mergeCell ref="D81:D82"/>
    <mergeCell ref="E81:E82"/>
    <mergeCell ref="F81:F82"/>
    <mergeCell ref="H81:H82"/>
    <mergeCell ref="AA79:AA80"/>
    <mergeCell ref="AC79:AC80"/>
    <mergeCell ref="AD79:AD80"/>
    <mergeCell ref="G80:G81"/>
    <mergeCell ref="I80:I81"/>
    <mergeCell ref="J80:J81"/>
    <mergeCell ref="K80:K81"/>
    <mergeCell ref="L80:L81"/>
    <mergeCell ref="M80:M81"/>
    <mergeCell ref="N80:N81"/>
    <mergeCell ref="R79:R80"/>
    <mergeCell ref="S79:S80"/>
    <mergeCell ref="W79:W80"/>
    <mergeCell ref="X79:X80"/>
    <mergeCell ref="Y79:Y80"/>
    <mergeCell ref="Z79:Z80"/>
    <mergeCell ref="P78:P79"/>
    <mergeCell ref="U78:U79"/>
    <mergeCell ref="V78:V79"/>
    <mergeCell ref="R77:R78"/>
    <mergeCell ref="A79:A80"/>
    <mergeCell ref="B79:B80"/>
    <mergeCell ref="D79:D80"/>
    <mergeCell ref="E79:E80"/>
    <mergeCell ref="F79:F80"/>
    <mergeCell ref="H79:H80"/>
    <mergeCell ref="Q79:Q80"/>
    <mergeCell ref="AC77:AC78"/>
    <mergeCell ref="AD77:AD78"/>
    <mergeCell ref="G78:G79"/>
    <mergeCell ref="I78:I79"/>
    <mergeCell ref="J78:J79"/>
    <mergeCell ref="K78:K79"/>
    <mergeCell ref="L78:L79"/>
    <mergeCell ref="M78:M79"/>
    <mergeCell ref="N78:N79"/>
    <mergeCell ref="O78:O79"/>
    <mergeCell ref="S77:S78"/>
    <mergeCell ref="W77:W78"/>
    <mergeCell ref="X77:X78"/>
    <mergeCell ref="Y77:Y78"/>
    <mergeCell ref="Z77:Z78"/>
    <mergeCell ref="AA77:AA78"/>
    <mergeCell ref="U76:U77"/>
    <mergeCell ref="V76:V77"/>
    <mergeCell ref="A77:A78"/>
    <mergeCell ref="B77:B78"/>
    <mergeCell ref="D77:D78"/>
    <mergeCell ref="E77:E78"/>
    <mergeCell ref="F77:F78"/>
    <mergeCell ref="H77:H78"/>
    <mergeCell ref="Q77:Q78"/>
    <mergeCell ref="Y75:Y76"/>
    <mergeCell ref="Z75:Z76"/>
    <mergeCell ref="AA75:AA76"/>
    <mergeCell ref="AC75:AC76"/>
    <mergeCell ref="AD75:AD76"/>
    <mergeCell ref="G76:G77"/>
    <mergeCell ref="I76:I77"/>
    <mergeCell ref="J76:J77"/>
    <mergeCell ref="K76:K77"/>
    <mergeCell ref="L76:L77"/>
    <mergeCell ref="H75:H76"/>
    <mergeCell ref="Q75:Q76"/>
    <mergeCell ref="R75:R76"/>
    <mergeCell ref="S75:S76"/>
    <mergeCell ref="W75:W76"/>
    <mergeCell ref="X75:X76"/>
    <mergeCell ref="M76:M77"/>
    <mergeCell ref="N76:N77"/>
    <mergeCell ref="O76:O77"/>
    <mergeCell ref="P76:P77"/>
    <mergeCell ref="N74:N75"/>
    <mergeCell ref="O74:O75"/>
    <mergeCell ref="P74:P75"/>
    <mergeCell ref="U74:U75"/>
    <mergeCell ref="V74:V75"/>
    <mergeCell ref="A75:A76"/>
    <mergeCell ref="B75:B76"/>
    <mergeCell ref="D75:D76"/>
    <mergeCell ref="E75:E76"/>
    <mergeCell ref="F75:F76"/>
    <mergeCell ref="Z73:Z74"/>
    <mergeCell ref="AA73:AA74"/>
    <mergeCell ref="AC73:AC74"/>
    <mergeCell ref="AD73:AD74"/>
    <mergeCell ref="G74:G75"/>
    <mergeCell ref="I74:I75"/>
    <mergeCell ref="J74:J75"/>
    <mergeCell ref="K74:K75"/>
    <mergeCell ref="L74:L75"/>
    <mergeCell ref="M74:M75"/>
    <mergeCell ref="Q73:Q74"/>
    <mergeCell ref="R73:R74"/>
    <mergeCell ref="S73:S74"/>
    <mergeCell ref="W73:W74"/>
    <mergeCell ref="X73:X74"/>
    <mergeCell ref="Y73:Y74"/>
    <mergeCell ref="O72:O73"/>
    <mergeCell ref="P72:P73"/>
    <mergeCell ref="U72:U73"/>
    <mergeCell ref="V72:V73"/>
    <mergeCell ref="A73:A74"/>
    <mergeCell ref="B73:B74"/>
    <mergeCell ref="D73:D74"/>
    <mergeCell ref="E73:E74"/>
    <mergeCell ref="F73:F74"/>
    <mergeCell ref="H73:H74"/>
    <mergeCell ref="AA71:AA72"/>
    <mergeCell ref="AC71:AC72"/>
    <mergeCell ref="AD71:AD72"/>
    <mergeCell ref="G72:G73"/>
    <mergeCell ref="I72:I73"/>
    <mergeCell ref="J72:J73"/>
    <mergeCell ref="K72:K73"/>
    <mergeCell ref="L72:L73"/>
    <mergeCell ref="M72:M73"/>
    <mergeCell ref="N72:N73"/>
    <mergeCell ref="R71:R72"/>
    <mergeCell ref="S71:S72"/>
    <mergeCell ref="W71:W72"/>
    <mergeCell ref="X71:X72"/>
    <mergeCell ref="Y71:Y72"/>
    <mergeCell ref="Z71:Z72"/>
    <mergeCell ref="P70:P71"/>
    <mergeCell ref="U70:U71"/>
    <mergeCell ref="V70:V71"/>
    <mergeCell ref="R69:R70"/>
    <mergeCell ref="A71:A72"/>
    <mergeCell ref="B71:B72"/>
    <mergeCell ref="D71:D72"/>
    <mergeCell ref="E71:E72"/>
    <mergeCell ref="F71:F72"/>
    <mergeCell ref="H71:H72"/>
    <mergeCell ref="Q71:Q72"/>
    <mergeCell ref="AC69:AC70"/>
    <mergeCell ref="AD69:AD70"/>
    <mergeCell ref="G70:G71"/>
    <mergeCell ref="I70:I71"/>
    <mergeCell ref="J70:J71"/>
    <mergeCell ref="K70:K71"/>
    <mergeCell ref="L70:L71"/>
    <mergeCell ref="M70:M71"/>
    <mergeCell ref="N70:N71"/>
    <mergeCell ref="O70:O71"/>
    <mergeCell ref="S69:S70"/>
    <mergeCell ref="W69:W70"/>
    <mergeCell ref="X69:X70"/>
    <mergeCell ref="Y69:Y70"/>
    <mergeCell ref="Z69:Z70"/>
    <mergeCell ref="AA69:AA70"/>
    <mergeCell ref="U68:U69"/>
    <mergeCell ref="V68:V69"/>
    <mergeCell ref="A69:A70"/>
    <mergeCell ref="B69:B70"/>
    <mergeCell ref="D69:D70"/>
    <mergeCell ref="E69:E70"/>
    <mergeCell ref="F69:F70"/>
    <mergeCell ref="H69:H70"/>
    <mergeCell ref="Q69:Q70"/>
    <mergeCell ref="Y67:Y68"/>
    <mergeCell ref="Z67:Z68"/>
    <mergeCell ref="AA67:AA68"/>
    <mergeCell ref="AC67:AC68"/>
    <mergeCell ref="AD67:AD68"/>
    <mergeCell ref="G68:G69"/>
    <mergeCell ref="I68:I69"/>
    <mergeCell ref="J68:J69"/>
    <mergeCell ref="K68:K69"/>
    <mergeCell ref="L68:L69"/>
    <mergeCell ref="H67:H68"/>
    <mergeCell ref="Q67:Q68"/>
    <mergeCell ref="R67:R68"/>
    <mergeCell ref="S67:S68"/>
    <mergeCell ref="W67:W68"/>
    <mergeCell ref="X67:X68"/>
    <mergeCell ref="M68:M69"/>
    <mergeCell ref="N68:N69"/>
    <mergeCell ref="O68:O69"/>
    <mergeCell ref="P68:P69"/>
    <mergeCell ref="N66:N67"/>
    <mergeCell ref="O66:O67"/>
    <mergeCell ref="P66:P67"/>
    <mergeCell ref="U66:U67"/>
    <mergeCell ref="V66:V67"/>
    <mergeCell ref="A67:A68"/>
    <mergeCell ref="B67:B68"/>
    <mergeCell ref="D67:D68"/>
    <mergeCell ref="E67:E68"/>
    <mergeCell ref="F67:F68"/>
    <mergeCell ref="Z65:Z66"/>
    <mergeCell ref="AA65:AA66"/>
    <mergeCell ref="AC65:AC66"/>
    <mergeCell ref="AD65:AD66"/>
    <mergeCell ref="G66:G67"/>
    <mergeCell ref="I66:I67"/>
    <mergeCell ref="J66:J67"/>
    <mergeCell ref="K66:K67"/>
    <mergeCell ref="L66:L67"/>
    <mergeCell ref="M66:M67"/>
    <mergeCell ref="Q65:Q66"/>
    <mergeCell ref="R65:R66"/>
    <mergeCell ref="S65:S66"/>
    <mergeCell ref="W65:W66"/>
    <mergeCell ref="X65:X66"/>
    <mergeCell ref="Y65:Y66"/>
    <mergeCell ref="O64:O65"/>
    <mergeCell ref="P64:P65"/>
    <mergeCell ref="U64:U65"/>
    <mergeCell ref="V64:V65"/>
    <mergeCell ref="A65:A66"/>
    <mergeCell ref="B65:B66"/>
    <mergeCell ref="D65:D66"/>
    <mergeCell ref="E65:E66"/>
    <mergeCell ref="F65:F66"/>
    <mergeCell ref="H65:H66"/>
    <mergeCell ref="AA63:AA64"/>
    <mergeCell ref="AC63:AC64"/>
    <mergeCell ref="AD63:AD64"/>
    <mergeCell ref="G64:G65"/>
    <mergeCell ref="I64:I65"/>
    <mergeCell ref="J64:J65"/>
    <mergeCell ref="K64:K65"/>
    <mergeCell ref="L64:L65"/>
    <mergeCell ref="M64:M65"/>
    <mergeCell ref="N64:N65"/>
    <mergeCell ref="R63:R64"/>
    <mergeCell ref="S63:S64"/>
    <mergeCell ref="W63:W64"/>
    <mergeCell ref="X63:X64"/>
    <mergeCell ref="Y63:Y64"/>
    <mergeCell ref="Z63:Z64"/>
    <mergeCell ref="P62:P63"/>
    <mergeCell ref="U62:U63"/>
    <mergeCell ref="V62:V63"/>
    <mergeCell ref="R61:R62"/>
    <mergeCell ref="A63:A64"/>
    <mergeCell ref="B63:B64"/>
    <mergeCell ref="D63:D64"/>
    <mergeCell ref="E63:E64"/>
    <mergeCell ref="F63:F64"/>
    <mergeCell ref="H63:H64"/>
    <mergeCell ref="Q63:Q64"/>
    <mergeCell ref="AC61:AC62"/>
    <mergeCell ref="AD61:AD62"/>
    <mergeCell ref="G62:G63"/>
    <mergeCell ref="I62:I63"/>
    <mergeCell ref="J62:J63"/>
    <mergeCell ref="K62:K63"/>
    <mergeCell ref="L62:L63"/>
    <mergeCell ref="M62:M63"/>
    <mergeCell ref="N62:N63"/>
    <mergeCell ref="O62:O63"/>
    <mergeCell ref="S61:S62"/>
    <mergeCell ref="W61:W62"/>
    <mergeCell ref="X61:X62"/>
    <mergeCell ref="Y61:Y62"/>
    <mergeCell ref="Z61:Z62"/>
    <mergeCell ref="AA61:AA62"/>
    <mergeCell ref="U60:U61"/>
    <mergeCell ref="V60:V61"/>
    <mergeCell ref="A61:A62"/>
    <mergeCell ref="B61:B62"/>
    <mergeCell ref="D61:D62"/>
    <mergeCell ref="E61:E62"/>
    <mergeCell ref="F61:F62"/>
    <mergeCell ref="H61:H62"/>
    <mergeCell ref="Q61:Q62"/>
    <mergeCell ref="Y59:Y60"/>
    <mergeCell ref="Z59:Z60"/>
    <mergeCell ref="AA59:AA60"/>
    <mergeCell ref="AC59:AC60"/>
    <mergeCell ref="AD59:AD60"/>
    <mergeCell ref="G60:G61"/>
    <mergeCell ref="I60:I61"/>
    <mergeCell ref="J60:J61"/>
    <mergeCell ref="K60:K61"/>
    <mergeCell ref="L60:L61"/>
    <mergeCell ref="H59:H60"/>
    <mergeCell ref="Q59:Q60"/>
    <mergeCell ref="R59:R60"/>
    <mergeCell ref="S59:S60"/>
    <mergeCell ref="W59:W60"/>
    <mergeCell ref="X59:X60"/>
    <mergeCell ref="M60:M61"/>
    <mergeCell ref="N60:N61"/>
    <mergeCell ref="O60:O61"/>
    <mergeCell ref="P60:P61"/>
    <mergeCell ref="Z55:Z58"/>
    <mergeCell ref="AA55:AA58"/>
    <mergeCell ref="AB55:AB58"/>
    <mergeCell ref="AC55:AC58"/>
    <mergeCell ref="AD55:AD58"/>
    <mergeCell ref="A59:A60"/>
    <mergeCell ref="B59:B60"/>
    <mergeCell ref="D59:D60"/>
    <mergeCell ref="E59:E60"/>
    <mergeCell ref="F59:F60"/>
    <mergeCell ref="R55:R58"/>
    <mergeCell ref="S55:S58"/>
    <mergeCell ref="U55:U58"/>
    <mergeCell ref="W55:W58"/>
    <mergeCell ref="X55:X58"/>
    <mergeCell ref="Y55:Y58"/>
    <mergeCell ref="AC50:AC51"/>
    <mergeCell ref="AD50:AD51"/>
    <mergeCell ref="B52:B53"/>
    <mergeCell ref="A55:A58"/>
    <mergeCell ref="B55:B58"/>
    <mergeCell ref="C55:C58"/>
    <mergeCell ref="N55:N58"/>
    <mergeCell ref="O55:O58"/>
    <mergeCell ref="P55:P58"/>
    <mergeCell ref="Q55:Q58"/>
    <mergeCell ref="S50:S51"/>
    <mergeCell ref="W50:W51"/>
    <mergeCell ref="X50:X51"/>
    <mergeCell ref="Y50:Y51"/>
    <mergeCell ref="Z50:Z51"/>
    <mergeCell ref="AA50:AA51"/>
    <mergeCell ref="B50:B51"/>
    <mergeCell ref="D50:D51"/>
    <mergeCell ref="E50:E51"/>
    <mergeCell ref="F50:F51"/>
    <mergeCell ref="H50:H51"/>
    <mergeCell ref="Q50:Q51"/>
    <mergeCell ref="R50:R51"/>
    <mergeCell ref="Y48:Y49"/>
    <mergeCell ref="Z48:Z49"/>
    <mergeCell ref="AA48:AA49"/>
    <mergeCell ref="AC48:AC49"/>
    <mergeCell ref="AD48:AD49"/>
    <mergeCell ref="G49:G50"/>
    <mergeCell ref="I49:I50"/>
    <mergeCell ref="J49:J50"/>
    <mergeCell ref="K49:K50"/>
    <mergeCell ref="L49:L50"/>
    <mergeCell ref="H48:H49"/>
    <mergeCell ref="Q48:Q49"/>
    <mergeCell ref="R48:R49"/>
    <mergeCell ref="S48:S49"/>
    <mergeCell ref="W48:W49"/>
    <mergeCell ref="X48:X49"/>
    <mergeCell ref="M49:M50"/>
    <mergeCell ref="N49:N50"/>
    <mergeCell ref="O49:O50"/>
    <mergeCell ref="P49:P50"/>
    <mergeCell ref="N47:N48"/>
    <mergeCell ref="O47:O48"/>
    <mergeCell ref="F46:F47"/>
    <mergeCell ref="H46:H47"/>
    <mergeCell ref="P47:P48"/>
    <mergeCell ref="A48:A49"/>
    <mergeCell ref="B48:B49"/>
    <mergeCell ref="D48:D49"/>
    <mergeCell ref="E48:E49"/>
    <mergeCell ref="F48:F49"/>
    <mergeCell ref="Z46:Z47"/>
    <mergeCell ref="AA46:AA47"/>
    <mergeCell ref="AC46:AC47"/>
    <mergeCell ref="AD46:AD47"/>
    <mergeCell ref="G47:G48"/>
    <mergeCell ref="I47:I48"/>
    <mergeCell ref="J47:J48"/>
    <mergeCell ref="K47:K48"/>
    <mergeCell ref="L47:L48"/>
    <mergeCell ref="M47:M48"/>
    <mergeCell ref="Q46:Q47"/>
    <mergeCell ref="R46:R47"/>
    <mergeCell ref="S46:S47"/>
    <mergeCell ref="W46:W47"/>
    <mergeCell ref="X46:X47"/>
    <mergeCell ref="Y46:Y47"/>
    <mergeCell ref="O45:O46"/>
    <mergeCell ref="P45:P46"/>
    <mergeCell ref="U45:U46"/>
    <mergeCell ref="V45:V46"/>
    <mergeCell ref="A46:A47"/>
    <mergeCell ref="B46:B47"/>
    <mergeCell ref="D46:D47"/>
    <mergeCell ref="E46:E47"/>
    <mergeCell ref="U49:U50"/>
    <mergeCell ref="V49:V50"/>
    <mergeCell ref="A50:A51"/>
    <mergeCell ref="AA44:AA45"/>
    <mergeCell ref="AC44:AC45"/>
    <mergeCell ref="AD44:AD45"/>
    <mergeCell ref="G45:G46"/>
    <mergeCell ref="I45:I46"/>
    <mergeCell ref="J45:J46"/>
    <mergeCell ref="K45:K46"/>
    <mergeCell ref="L45:L46"/>
    <mergeCell ref="M45:M46"/>
    <mergeCell ref="N45:N46"/>
    <mergeCell ref="R44:R45"/>
    <mergeCell ref="S44:S45"/>
    <mergeCell ref="W44:W45"/>
    <mergeCell ref="X44:X45"/>
    <mergeCell ref="Y44:Y45"/>
    <mergeCell ref="Z44:Z45"/>
    <mergeCell ref="P43:P44"/>
    <mergeCell ref="U43:U44"/>
    <mergeCell ref="V43:V44"/>
    <mergeCell ref="R42:R43"/>
    <mergeCell ref="H42:H43"/>
    <mergeCell ref="Q42:Q43"/>
    <mergeCell ref="U47:U48"/>
    <mergeCell ref="V47:V48"/>
    <mergeCell ref="A44:A45"/>
    <mergeCell ref="B44:B45"/>
    <mergeCell ref="D44:D45"/>
    <mergeCell ref="E44:E45"/>
    <mergeCell ref="F44:F45"/>
    <mergeCell ref="H44:H45"/>
    <mergeCell ref="Q44:Q45"/>
    <mergeCell ref="AC42:AC43"/>
    <mergeCell ref="AD42:AD43"/>
    <mergeCell ref="G43:G44"/>
    <mergeCell ref="I43:I44"/>
    <mergeCell ref="J43:J44"/>
    <mergeCell ref="K43:K44"/>
    <mergeCell ref="L43:L44"/>
    <mergeCell ref="M43:M44"/>
    <mergeCell ref="N43:N44"/>
    <mergeCell ref="O43:O44"/>
    <mergeCell ref="S42:S43"/>
    <mergeCell ref="W42:W43"/>
    <mergeCell ref="X42:X43"/>
    <mergeCell ref="Y42:Y43"/>
    <mergeCell ref="Z42:Z43"/>
    <mergeCell ref="AA42:AA43"/>
    <mergeCell ref="U41:U42"/>
    <mergeCell ref="V41:V42"/>
    <mergeCell ref="A42:A43"/>
    <mergeCell ref="B42:B43"/>
    <mergeCell ref="D42:D43"/>
    <mergeCell ref="E42:E43"/>
    <mergeCell ref="F42:F43"/>
    <mergeCell ref="Y40:Y41"/>
    <mergeCell ref="Z40:Z41"/>
    <mergeCell ref="AA40:AA41"/>
    <mergeCell ref="AC40:AC41"/>
    <mergeCell ref="AD40:AD41"/>
    <mergeCell ref="G41:G42"/>
    <mergeCell ref="I41:I42"/>
    <mergeCell ref="J41:J42"/>
    <mergeCell ref="K41:K42"/>
    <mergeCell ref="L41:L42"/>
    <mergeCell ref="H40:H41"/>
    <mergeCell ref="Q40:Q41"/>
    <mergeCell ref="R40:R41"/>
    <mergeCell ref="S40:S41"/>
    <mergeCell ref="W40:W41"/>
    <mergeCell ref="X40:X41"/>
    <mergeCell ref="M41:M42"/>
    <mergeCell ref="N41:N42"/>
    <mergeCell ref="O41:O42"/>
    <mergeCell ref="P41:P42"/>
    <mergeCell ref="N39:N40"/>
    <mergeCell ref="O39:O40"/>
    <mergeCell ref="P39:P40"/>
    <mergeCell ref="U39:U40"/>
    <mergeCell ref="V39:V40"/>
    <mergeCell ref="A40:A41"/>
    <mergeCell ref="B40:B41"/>
    <mergeCell ref="D40:D41"/>
    <mergeCell ref="E40:E41"/>
    <mergeCell ref="F40:F41"/>
    <mergeCell ref="Z38:Z39"/>
    <mergeCell ref="AA38:AA39"/>
    <mergeCell ref="AC38:AC39"/>
    <mergeCell ref="AD38:AD39"/>
    <mergeCell ref="G39:G40"/>
    <mergeCell ref="I39:I40"/>
    <mergeCell ref="J39:J40"/>
    <mergeCell ref="K39:K40"/>
    <mergeCell ref="L39:L40"/>
    <mergeCell ref="M39:M40"/>
    <mergeCell ref="Q38:Q39"/>
    <mergeCell ref="R38:R39"/>
    <mergeCell ref="S38:S39"/>
    <mergeCell ref="W38:W39"/>
    <mergeCell ref="X38:X39"/>
    <mergeCell ref="Y38:Y39"/>
    <mergeCell ref="O37:O38"/>
    <mergeCell ref="P37:P38"/>
    <mergeCell ref="U37:U38"/>
    <mergeCell ref="V37:V38"/>
    <mergeCell ref="A38:A39"/>
    <mergeCell ref="B38:B39"/>
    <mergeCell ref="D38:D39"/>
    <mergeCell ref="E38:E39"/>
    <mergeCell ref="F38:F39"/>
    <mergeCell ref="H38:H39"/>
    <mergeCell ref="AA36:AA37"/>
    <mergeCell ref="AC36:AC37"/>
    <mergeCell ref="AD36:AD37"/>
    <mergeCell ref="G37:G38"/>
    <mergeCell ref="I37:I38"/>
    <mergeCell ref="J37:J38"/>
    <mergeCell ref="K37:K38"/>
    <mergeCell ref="L37:L38"/>
    <mergeCell ref="M37:M38"/>
    <mergeCell ref="N37:N38"/>
    <mergeCell ref="R36:R37"/>
    <mergeCell ref="S36:S37"/>
    <mergeCell ref="W36:W37"/>
    <mergeCell ref="X36:X37"/>
    <mergeCell ref="Y36:Y37"/>
    <mergeCell ref="Z36:Z37"/>
    <mergeCell ref="P35:P36"/>
    <mergeCell ref="U35:U36"/>
    <mergeCell ref="V35:V36"/>
    <mergeCell ref="R34:R35"/>
    <mergeCell ref="A36:A37"/>
    <mergeCell ref="B36:B37"/>
    <mergeCell ref="D36:D37"/>
    <mergeCell ref="E36:E37"/>
    <mergeCell ref="F36:F37"/>
    <mergeCell ref="H36:H37"/>
    <mergeCell ref="Q36:Q37"/>
    <mergeCell ref="AC34:AC35"/>
    <mergeCell ref="AD34:AD35"/>
    <mergeCell ref="G35:G36"/>
    <mergeCell ref="I35:I36"/>
    <mergeCell ref="J35:J36"/>
    <mergeCell ref="K35:K36"/>
    <mergeCell ref="L35:L36"/>
    <mergeCell ref="M35:M36"/>
    <mergeCell ref="N35:N36"/>
    <mergeCell ref="O35:O36"/>
    <mergeCell ref="S34:S35"/>
    <mergeCell ref="W34:W35"/>
    <mergeCell ref="X34:X35"/>
    <mergeCell ref="Y34:Y35"/>
    <mergeCell ref="Z34:Z35"/>
    <mergeCell ref="AA34:AA35"/>
    <mergeCell ref="U33:U34"/>
    <mergeCell ref="V33:V34"/>
    <mergeCell ref="A34:A35"/>
    <mergeCell ref="B34:B35"/>
    <mergeCell ref="D34:D35"/>
    <mergeCell ref="E34:E35"/>
    <mergeCell ref="F34:F35"/>
    <mergeCell ref="H34:H35"/>
    <mergeCell ref="Q34:Q35"/>
    <mergeCell ref="Y32:Y33"/>
    <mergeCell ref="Z32:Z33"/>
    <mergeCell ref="AA32:AA33"/>
    <mergeCell ref="AC32:AC33"/>
    <mergeCell ref="AD32:AD33"/>
    <mergeCell ref="G33:G34"/>
    <mergeCell ref="I33:I34"/>
    <mergeCell ref="J33:J34"/>
    <mergeCell ref="K33:K34"/>
    <mergeCell ref="L33:L34"/>
    <mergeCell ref="H32:H33"/>
    <mergeCell ref="Q32:Q33"/>
    <mergeCell ref="R32:R33"/>
    <mergeCell ref="S32:S33"/>
    <mergeCell ref="W32:W33"/>
    <mergeCell ref="X32:X33"/>
    <mergeCell ref="M33:M34"/>
    <mergeCell ref="N33:N34"/>
    <mergeCell ref="O33:O34"/>
    <mergeCell ref="P33:P34"/>
    <mergeCell ref="N31:N32"/>
    <mergeCell ref="O31:O32"/>
    <mergeCell ref="P31:P32"/>
    <mergeCell ref="U31:U32"/>
    <mergeCell ref="V31:V32"/>
    <mergeCell ref="A32:A33"/>
    <mergeCell ref="B32:B33"/>
    <mergeCell ref="D32:D33"/>
    <mergeCell ref="E32:E33"/>
    <mergeCell ref="F32:F33"/>
    <mergeCell ref="Z30:Z31"/>
    <mergeCell ref="AA30:AA31"/>
    <mergeCell ref="AC30:AC31"/>
    <mergeCell ref="AD30:AD31"/>
    <mergeCell ref="G31:G32"/>
    <mergeCell ref="I31:I32"/>
    <mergeCell ref="J31:J32"/>
    <mergeCell ref="K31:K32"/>
    <mergeCell ref="L31:L32"/>
    <mergeCell ref="M31:M32"/>
    <mergeCell ref="Q30:Q31"/>
    <mergeCell ref="R30:R31"/>
    <mergeCell ref="S30:S31"/>
    <mergeCell ref="W30:W31"/>
    <mergeCell ref="X30:X31"/>
    <mergeCell ref="Y30:Y31"/>
    <mergeCell ref="O29:O30"/>
    <mergeCell ref="P29:P30"/>
    <mergeCell ref="U29:U30"/>
    <mergeCell ref="V29:V30"/>
    <mergeCell ref="A30:A31"/>
    <mergeCell ref="B30:B31"/>
    <mergeCell ref="D30:D31"/>
    <mergeCell ref="E30:E31"/>
    <mergeCell ref="F30:F31"/>
    <mergeCell ref="H30:H31"/>
    <mergeCell ref="AA28:AA29"/>
    <mergeCell ref="AC28:AC29"/>
    <mergeCell ref="AD28:AD29"/>
    <mergeCell ref="G29:G30"/>
    <mergeCell ref="I29:I30"/>
    <mergeCell ref="J29:J30"/>
    <mergeCell ref="K29:K30"/>
    <mergeCell ref="L29:L30"/>
    <mergeCell ref="M29:M30"/>
    <mergeCell ref="N29:N30"/>
    <mergeCell ref="R28:R29"/>
    <mergeCell ref="S28:S29"/>
    <mergeCell ref="W28:W29"/>
    <mergeCell ref="X28:X29"/>
    <mergeCell ref="Y28:Y29"/>
    <mergeCell ref="Z28:Z29"/>
    <mergeCell ref="P27:P28"/>
    <mergeCell ref="U27:U28"/>
    <mergeCell ref="V27:V28"/>
    <mergeCell ref="R26:R27"/>
    <mergeCell ref="A28:A29"/>
    <mergeCell ref="B28:B29"/>
    <mergeCell ref="D28:D29"/>
    <mergeCell ref="E28:E29"/>
    <mergeCell ref="F28:F29"/>
    <mergeCell ref="H28:H29"/>
    <mergeCell ref="Q28:Q29"/>
    <mergeCell ref="AC26:AC27"/>
    <mergeCell ref="AD26:AD27"/>
    <mergeCell ref="G27:G28"/>
    <mergeCell ref="I27:I28"/>
    <mergeCell ref="J27:J28"/>
    <mergeCell ref="K27:K28"/>
    <mergeCell ref="L27:L28"/>
    <mergeCell ref="M27:M28"/>
    <mergeCell ref="N27:N28"/>
    <mergeCell ref="O27:O28"/>
    <mergeCell ref="S26:S27"/>
    <mergeCell ref="W26:W27"/>
    <mergeCell ref="X26:X27"/>
    <mergeCell ref="Y26:Y27"/>
    <mergeCell ref="Z26:Z27"/>
    <mergeCell ref="AA26:AA27"/>
    <mergeCell ref="U25:U26"/>
    <mergeCell ref="V25:V26"/>
    <mergeCell ref="A26:A27"/>
    <mergeCell ref="B26:B27"/>
    <mergeCell ref="D26:D27"/>
    <mergeCell ref="E26:E27"/>
    <mergeCell ref="F26:F27"/>
    <mergeCell ref="H26:H27"/>
    <mergeCell ref="Q26:Q27"/>
    <mergeCell ref="Y24:Y25"/>
    <mergeCell ref="Z24:Z25"/>
    <mergeCell ref="AA24:AA25"/>
    <mergeCell ref="AC24:AC25"/>
    <mergeCell ref="AD24:AD25"/>
    <mergeCell ref="G25:G26"/>
    <mergeCell ref="I25:I26"/>
    <mergeCell ref="J25:J26"/>
    <mergeCell ref="K25:K26"/>
    <mergeCell ref="L25:L26"/>
    <mergeCell ref="H24:H25"/>
    <mergeCell ref="Q24:Q25"/>
    <mergeCell ref="R24:R25"/>
    <mergeCell ref="S24:S25"/>
    <mergeCell ref="W24:W25"/>
    <mergeCell ref="X24:X25"/>
    <mergeCell ref="M25:M26"/>
    <mergeCell ref="N25:N26"/>
    <mergeCell ref="O25:O26"/>
    <mergeCell ref="P25:P26"/>
    <mergeCell ref="N23:N24"/>
    <mergeCell ref="O23:O24"/>
    <mergeCell ref="P23:P24"/>
    <mergeCell ref="U23:U24"/>
    <mergeCell ref="V23:V24"/>
    <mergeCell ref="A24:A25"/>
    <mergeCell ref="B24:B25"/>
    <mergeCell ref="D24:D25"/>
    <mergeCell ref="E24:E25"/>
    <mergeCell ref="F24:F25"/>
    <mergeCell ref="Z22:Z23"/>
    <mergeCell ref="AA22:AA23"/>
    <mergeCell ref="AC22:AC23"/>
    <mergeCell ref="AD22:AD23"/>
    <mergeCell ref="G23:G24"/>
    <mergeCell ref="I23:I24"/>
    <mergeCell ref="J23:J24"/>
    <mergeCell ref="K23:K24"/>
    <mergeCell ref="L23:L24"/>
    <mergeCell ref="M23:M24"/>
    <mergeCell ref="Q22:Q23"/>
    <mergeCell ref="R22:R23"/>
    <mergeCell ref="S22:S23"/>
    <mergeCell ref="W22:W23"/>
    <mergeCell ref="X22:X23"/>
    <mergeCell ref="Y22:Y23"/>
    <mergeCell ref="O21:O22"/>
    <mergeCell ref="P21:P22"/>
    <mergeCell ref="U21:U22"/>
    <mergeCell ref="V21:V22"/>
    <mergeCell ref="A22:A23"/>
    <mergeCell ref="B22:B23"/>
    <mergeCell ref="D22:D23"/>
    <mergeCell ref="E22:E23"/>
    <mergeCell ref="F22:F23"/>
    <mergeCell ref="H22:H23"/>
    <mergeCell ref="AA20:AA21"/>
    <mergeCell ref="AC20:AC21"/>
    <mergeCell ref="AD20:AD21"/>
    <mergeCell ref="G21:G22"/>
    <mergeCell ref="I21:I22"/>
    <mergeCell ref="J21:J22"/>
    <mergeCell ref="K21:K22"/>
    <mergeCell ref="L21:L22"/>
    <mergeCell ref="M21:M22"/>
    <mergeCell ref="N21:N22"/>
    <mergeCell ref="R20:R21"/>
    <mergeCell ref="S20:S21"/>
    <mergeCell ref="W20:W21"/>
    <mergeCell ref="X20:X21"/>
    <mergeCell ref="Y20:Y21"/>
    <mergeCell ref="Z20:Z21"/>
    <mergeCell ref="P19:P20"/>
    <mergeCell ref="U19:U20"/>
    <mergeCell ref="V19:V20"/>
    <mergeCell ref="R18:R19"/>
    <mergeCell ref="A20:A21"/>
    <mergeCell ref="B20:B21"/>
    <mergeCell ref="D20:D21"/>
    <mergeCell ref="E20:E21"/>
    <mergeCell ref="F20:F21"/>
    <mergeCell ref="H20:H21"/>
    <mergeCell ref="Q20:Q21"/>
    <mergeCell ref="AC18:AC19"/>
    <mergeCell ref="AD18:AD19"/>
    <mergeCell ref="G19:G20"/>
    <mergeCell ref="I19:I20"/>
    <mergeCell ref="J19:J20"/>
    <mergeCell ref="K19:K20"/>
    <mergeCell ref="L19:L20"/>
    <mergeCell ref="M19:M20"/>
    <mergeCell ref="N19:N20"/>
    <mergeCell ref="O19:O20"/>
    <mergeCell ref="S18:S19"/>
    <mergeCell ref="W18:W19"/>
    <mergeCell ref="X18:X19"/>
    <mergeCell ref="Y18:Y19"/>
    <mergeCell ref="Z18:Z19"/>
    <mergeCell ref="AA18:AA19"/>
    <mergeCell ref="U17:U18"/>
    <mergeCell ref="V17:V18"/>
    <mergeCell ref="A18:A19"/>
    <mergeCell ref="B18:B19"/>
    <mergeCell ref="D18:D19"/>
    <mergeCell ref="E18:E19"/>
    <mergeCell ref="F18:F19"/>
    <mergeCell ref="H18:H19"/>
    <mergeCell ref="Q18:Q19"/>
    <mergeCell ref="Y16:Y17"/>
    <mergeCell ref="Z16:Z17"/>
    <mergeCell ref="AA16:AA17"/>
    <mergeCell ref="AC16:AC17"/>
    <mergeCell ref="AD16:AD17"/>
    <mergeCell ref="G17:G18"/>
    <mergeCell ref="I17:I18"/>
    <mergeCell ref="J17:J18"/>
    <mergeCell ref="K17:K18"/>
    <mergeCell ref="L17:L18"/>
    <mergeCell ref="H16:H17"/>
    <mergeCell ref="Q16:Q17"/>
    <mergeCell ref="R16:R17"/>
    <mergeCell ref="S16:S17"/>
    <mergeCell ref="W16:W17"/>
    <mergeCell ref="X16:X17"/>
    <mergeCell ref="M17:M18"/>
    <mergeCell ref="N17:N18"/>
    <mergeCell ref="O17:O18"/>
    <mergeCell ref="P17:P18"/>
    <mergeCell ref="N15:N16"/>
    <mergeCell ref="O15:O16"/>
    <mergeCell ref="P15:P16"/>
    <mergeCell ref="U15:U16"/>
    <mergeCell ref="V15:V16"/>
    <mergeCell ref="A16:A17"/>
    <mergeCell ref="B16:B17"/>
    <mergeCell ref="D16:D17"/>
    <mergeCell ref="E16:E17"/>
    <mergeCell ref="F16:F17"/>
    <mergeCell ref="Z14:Z15"/>
    <mergeCell ref="AA14:AA15"/>
    <mergeCell ref="AC14:AC15"/>
    <mergeCell ref="AD14:AD15"/>
    <mergeCell ref="G15:G16"/>
    <mergeCell ref="I15:I16"/>
    <mergeCell ref="J15:J16"/>
    <mergeCell ref="K15:K16"/>
    <mergeCell ref="L15:L16"/>
    <mergeCell ref="M15:M16"/>
    <mergeCell ref="Q14:Q15"/>
    <mergeCell ref="R14:R15"/>
    <mergeCell ref="S14:S15"/>
    <mergeCell ref="W14:W15"/>
    <mergeCell ref="X14:X15"/>
    <mergeCell ref="Y14:Y15"/>
    <mergeCell ref="O13:O14"/>
    <mergeCell ref="P13:P14"/>
    <mergeCell ref="U13:U14"/>
    <mergeCell ref="V13:V14"/>
    <mergeCell ref="A14:A15"/>
    <mergeCell ref="B14:B15"/>
    <mergeCell ref="D14:D15"/>
    <mergeCell ref="E14:E15"/>
    <mergeCell ref="F14:F15"/>
    <mergeCell ref="H14:H15"/>
    <mergeCell ref="AA12:AA13"/>
    <mergeCell ref="AD12:AD13"/>
    <mergeCell ref="G13:G14"/>
    <mergeCell ref="I13:I14"/>
    <mergeCell ref="J13:J14"/>
    <mergeCell ref="K13:K14"/>
    <mergeCell ref="L13:L14"/>
    <mergeCell ref="M13:M14"/>
    <mergeCell ref="N13:N14"/>
    <mergeCell ref="R12:R13"/>
    <mergeCell ref="S12:S13"/>
    <mergeCell ref="W12:W13"/>
    <mergeCell ref="X12:X13"/>
    <mergeCell ref="Y12:Y13"/>
    <mergeCell ref="Z12:Z13"/>
    <mergeCell ref="AB8:AB11"/>
    <mergeCell ref="AC8:AC11"/>
    <mergeCell ref="AD8:AD11"/>
    <mergeCell ref="A12:A13"/>
    <mergeCell ref="B12:B13"/>
    <mergeCell ref="D12:D13"/>
    <mergeCell ref="E12:E13"/>
    <mergeCell ref="F12:F13"/>
    <mergeCell ref="H12:H13"/>
    <mergeCell ref="Q12:Q13"/>
    <mergeCell ref="U8:U11"/>
    <mergeCell ref="W8:W11"/>
    <mergeCell ref="X8:X11"/>
    <mergeCell ref="Y8:Y11"/>
    <mergeCell ref="Z8:Z11"/>
    <mergeCell ref="AA8:AA11"/>
    <mergeCell ref="AB7:AC7"/>
    <mergeCell ref="A8:A11"/>
    <mergeCell ref="B8:B11"/>
    <mergeCell ref="C8:C11"/>
    <mergeCell ref="N8:N11"/>
    <mergeCell ref="O8:O11"/>
    <mergeCell ref="P8:P11"/>
    <mergeCell ref="Q8:Q11"/>
    <mergeCell ref="R8:R11"/>
    <mergeCell ref="S8:S11"/>
    <mergeCell ref="AC12:AC13"/>
    <mergeCell ref="W5:Z5"/>
    <mergeCell ref="AB5:AD5"/>
    <mergeCell ref="A6:AD6"/>
    <mergeCell ref="A7:B7"/>
    <mergeCell ref="C7:O7"/>
    <mergeCell ref="P7:Q7"/>
    <mergeCell ref="R7:S7"/>
    <mergeCell ref="U7:W7"/>
    <mergeCell ref="X7:Y7"/>
    <mergeCell ref="Z7:AA7"/>
    <mergeCell ref="A1:AD1"/>
    <mergeCell ref="A2:AD2"/>
    <mergeCell ref="A3:XFD3"/>
    <mergeCell ref="A4:B4"/>
    <mergeCell ref="C4:P4"/>
    <mergeCell ref="Q4:S5"/>
    <mergeCell ref="W4:Z4"/>
    <mergeCell ref="AB4:AD4"/>
    <mergeCell ref="A5:B5"/>
    <mergeCell ref="C5:P5"/>
  </mergeCells>
  <dataValidations count="4">
    <dataValidation type="list" allowBlank="1" showInputMessage="1" showErrorMessage="1" sqref="AA12:AA51 AA59:AA98" xr:uid="{85024BC8-16C1-432D-BC98-5E5740AA4DE6}">
      <formula1>"1,2,3"</formula1>
    </dataValidation>
    <dataValidation type="list" allowBlank="1" showInputMessage="1" showErrorMessage="1" sqref="Z12:Z51 AC12:AC51 Z59:Z60 AC59:AC98" xr:uid="{A7DCC0A1-44D5-4115-AC39-2EE901CF88D0}">
      <formula1>"Y,N"</formula1>
    </dataValidation>
    <dataValidation type="list" allowBlank="1" showInputMessage="1" showErrorMessage="1" sqref="Y12:Y51 Y59:Y98" xr:uid="{BC32B473-0CF1-44C5-B8FC-2372BE4337EF}">
      <formula1>"5 mins or less, 10 mins or less, 15 mins, 30 mins, 1 hour, 2 hours, 3 hours, 4 hours "</formula1>
    </dataValidation>
    <dataValidation type="list" allowBlank="1" showInputMessage="1" showErrorMessage="1" sqref="X12:X51 X59:X98" xr:uid="{22A9E38A-259F-49E7-838B-83E72BA7A1D1}">
      <formula1>"Visual, Radar, GPS, Visual/Radar, Visual/GPS, Radar/GPS, Radar/Visual/GPS"</formula1>
    </dataValidation>
  </dataValidations>
  <printOptions horizontalCentered="1" verticalCentered="1"/>
  <pageMargins left="0" right="0" top="0" bottom="0" header="0.3" footer="0.3"/>
  <pageSetup paperSize="10000" scale="60" orientation="landscape" horizontalDpi="4294967293" verticalDpi="360" r:id="rId1"/>
  <rowBreaks count="1" manualBreakCount="1">
    <brk id="54" max="2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456F-9D74-47A0-A5F2-CB793E9F7864}">
  <dimension ref="A1:AD135"/>
  <sheetViews>
    <sheetView showGridLines="0" showRowColHeaders="0" showZeros="0" view="pageBreakPreview" zoomScale="70" zoomScaleSheetLayoutView="70" workbookViewId="0">
      <selection activeCell="Y28" sqref="Y28:Y29"/>
    </sheetView>
  </sheetViews>
  <sheetFormatPr defaultColWidth="9" defaultRowHeight="13.5"/>
  <cols>
    <col min="1" max="1" width="5.25" style="104" customWidth="1"/>
    <col min="2" max="2" width="23.25" style="104" customWidth="1"/>
    <col min="3" max="3" width="12.875" style="107" customWidth="1"/>
    <col min="4" max="4" width="9.875" style="157" hidden="1" customWidth="1"/>
    <col min="5" max="5" width="9.375" style="157" hidden="1" customWidth="1"/>
    <col min="6" max="6" width="7.125" style="157" hidden="1" customWidth="1"/>
    <col min="7" max="7" width="16.25" style="157" hidden="1" customWidth="1"/>
    <col min="8" max="9" width="15.375" style="157" hidden="1" customWidth="1"/>
    <col min="10" max="10" width="8.625" style="157" hidden="1" customWidth="1"/>
    <col min="11" max="11" width="7.25" style="157" hidden="1" customWidth="1"/>
    <col min="12" max="12" width="9.375" style="157" hidden="1" customWidth="1"/>
    <col min="13" max="13" width="2.5" style="157" hidden="1" customWidth="1"/>
    <col min="14" max="14" width="7.25" style="158" customWidth="1"/>
    <col min="15" max="15" width="8.375" style="159" customWidth="1"/>
    <col min="16" max="16" width="6.625" style="159" customWidth="1"/>
    <col min="17" max="17" width="8.375" style="160" customWidth="1"/>
    <col min="18" max="18" width="8" style="160" customWidth="1"/>
    <col min="19" max="19" width="13.75" style="107" customWidth="1"/>
    <col min="20" max="20" width="0.25" style="107" hidden="1" customWidth="1"/>
    <col min="21" max="21" width="7.5" style="136" customWidth="1"/>
    <col min="22" max="22" width="0.375" style="161" hidden="1" customWidth="1"/>
    <col min="23" max="23" width="15.5" style="162" customWidth="1"/>
    <col min="24" max="24" width="15.875" style="107" customWidth="1"/>
    <col min="25" max="25" width="13" style="107" customWidth="1"/>
    <col min="26" max="26" width="9.875" style="107" customWidth="1"/>
    <col min="27" max="27" width="8" style="107" customWidth="1"/>
    <col min="28" max="28" width="10.875" style="107" customWidth="1"/>
    <col min="29" max="29" width="8" style="107" customWidth="1"/>
    <col min="30" max="30" width="49.75" style="104" customWidth="1"/>
    <col min="31" max="16384" width="9" style="104"/>
  </cols>
  <sheetData>
    <row r="1" spans="1:30" s="94" customFormat="1" ht="113.25" customHeight="1">
      <c r="A1" s="302" t="s">
        <v>209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</row>
    <row r="2" spans="1:30" s="94" customFormat="1" ht="28.5" customHeight="1">
      <c r="A2" s="304" t="s">
        <v>217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</row>
    <row r="3" spans="1:30" s="304" customFormat="1" ht="9" customHeight="1"/>
    <row r="4" spans="1:30" s="94" customFormat="1" ht="28.5" customHeight="1">
      <c r="A4" s="301" t="s">
        <v>218</v>
      </c>
      <c r="B4" s="301"/>
      <c r="C4" s="305">
        <f>'FRONT PAGE'!C28</f>
        <v>0</v>
      </c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1" t="s">
        <v>220</v>
      </c>
      <c r="R4" s="301"/>
      <c r="S4" s="301"/>
      <c r="T4" s="95"/>
      <c r="U4" s="96">
        <v>1</v>
      </c>
      <c r="V4" s="97"/>
      <c r="W4" s="290">
        <f>'FRONT PAGE'!H28</f>
        <v>0</v>
      </c>
      <c r="X4" s="291"/>
      <c r="Y4" s="291"/>
      <c r="Z4" s="292"/>
      <c r="AA4" s="96">
        <v>3</v>
      </c>
      <c r="AB4" s="293">
        <f>'FRONT PAGE'!M28</f>
        <v>0</v>
      </c>
      <c r="AC4" s="293"/>
      <c r="AD4" s="293"/>
    </row>
    <row r="5" spans="1:30" s="94" customFormat="1" ht="28.5" customHeight="1">
      <c r="A5" s="301" t="s">
        <v>219</v>
      </c>
      <c r="B5" s="301"/>
      <c r="C5" s="306">
        <f>'FRONT PAGE'!C29</f>
        <v>0</v>
      </c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1"/>
      <c r="R5" s="301"/>
      <c r="S5" s="301"/>
      <c r="T5" s="95"/>
      <c r="U5" s="96">
        <v>2</v>
      </c>
      <c r="V5" s="97"/>
      <c r="W5" s="290">
        <f>'FRONT PAGE'!H29</f>
        <v>0</v>
      </c>
      <c r="X5" s="291"/>
      <c r="Y5" s="291"/>
      <c r="Z5" s="292"/>
      <c r="AA5" s="96">
        <v>4</v>
      </c>
      <c r="AB5" s="293">
        <f>'FRONT PAGE'!M29</f>
        <v>0</v>
      </c>
      <c r="AC5" s="293"/>
      <c r="AD5" s="293"/>
    </row>
    <row r="6" spans="1:30" s="94" customFormat="1" ht="28.5" customHeight="1">
      <c r="A6" s="294" t="s">
        <v>228</v>
      </c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</row>
    <row r="7" spans="1:30" s="94" customFormat="1" ht="28.5" customHeight="1">
      <c r="A7" s="295" t="s">
        <v>222</v>
      </c>
      <c r="B7" s="296"/>
      <c r="C7" s="297">
        <f>'FRONT PAGE'!F21</f>
        <v>0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5" t="s">
        <v>227</v>
      </c>
      <c r="Q7" s="296"/>
      <c r="R7" s="297">
        <f>'FRONT PAGE'!C25</f>
        <v>0</v>
      </c>
      <c r="S7" s="297"/>
      <c r="T7" s="98"/>
      <c r="U7" s="296" t="s">
        <v>226</v>
      </c>
      <c r="V7" s="296"/>
      <c r="W7" s="298"/>
      <c r="X7" s="299">
        <f>'FRONT PAGE'!J25</f>
        <v>0</v>
      </c>
      <c r="Y7" s="300"/>
      <c r="Z7" s="301" t="s">
        <v>223</v>
      </c>
      <c r="AA7" s="301"/>
      <c r="AB7" s="321">
        <f>'FRONT PAGE'!H23</f>
        <v>0</v>
      </c>
      <c r="AC7" s="321"/>
      <c r="AD7" s="99"/>
    </row>
    <row r="8" spans="1:30" ht="24.95" customHeight="1">
      <c r="A8" s="322" t="s">
        <v>11</v>
      </c>
      <c r="B8" s="325" t="s">
        <v>216</v>
      </c>
      <c r="C8" s="325" t="s">
        <v>33</v>
      </c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326" t="s">
        <v>210</v>
      </c>
      <c r="O8" s="327" t="s">
        <v>5</v>
      </c>
      <c r="P8" s="327" t="s">
        <v>13</v>
      </c>
      <c r="Q8" s="329" t="s">
        <v>14</v>
      </c>
      <c r="R8" s="329" t="s">
        <v>6</v>
      </c>
      <c r="S8" s="319" t="s">
        <v>211</v>
      </c>
      <c r="T8" s="102" t="s">
        <v>33</v>
      </c>
      <c r="U8" s="314" t="s">
        <v>15</v>
      </c>
      <c r="V8" s="103"/>
      <c r="W8" s="316" t="s">
        <v>224</v>
      </c>
      <c r="X8" s="318" t="s">
        <v>212</v>
      </c>
      <c r="Y8" s="318" t="s">
        <v>213</v>
      </c>
      <c r="Z8" s="318" t="s">
        <v>225</v>
      </c>
      <c r="AA8" s="318" t="s">
        <v>214</v>
      </c>
      <c r="AB8" s="318" t="s">
        <v>37</v>
      </c>
      <c r="AC8" s="318" t="s">
        <v>215</v>
      </c>
      <c r="AD8" s="345" t="s">
        <v>38</v>
      </c>
    </row>
    <row r="9" spans="1:30" ht="24.95" customHeight="1">
      <c r="A9" s="323"/>
      <c r="B9" s="325"/>
      <c r="C9" s="325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326"/>
      <c r="O9" s="328"/>
      <c r="P9" s="328"/>
      <c r="Q9" s="330"/>
      <c r="R9" s="330"/>
      <c r="S9" s="319"/>
      <c r="T9" s="102" t="s">
        <v>39</v>
      </c>
      <c r="U9" s="315"/>
      <c r="V9" s="103"/>
      <c r="W9" s="317"/>
      <c r="X9" s="319"/>
      <c r="Y9" s="319"/>
      <c r="Z9" s="319"/>
      <c r="AA9" s="319"/>
      <c r="AB9" s="319"/>
      <c r="AC9" s="319"/>
      <c r="AD9" s="346"/>
    </row>
    <row r="10" spans="1:30" s="107" customFormat="1" ht="24.95" customHeight="1">
      <c r="A10" s="323"/>
      <c r="B10" s="325"/>
      <c r="C10" s="325"/>
      <c r="D10" s="100" t="s">
        <v>17</v>
      </c>
      <c r="E10" s="100" t="s">
        <v>18</v>
      </c>
      <c r="F10" s="105" t="s">
        <v>0</v>
      </c>
      <c r="G10" s="105" t="s">
        <v>1</v>
      </c>
      <c r="H10" s="105" t="s">
        <v>19</v>
      </c>
      <c r="I10" s="106" t="s">
        <v>2</v>
      </c>
      <c r="J10" s="105" t="s">
        <v>3</v>
      </c>
      <c r="K10" s="105"/>
      <c r="L10" s="105" t="s">
        <v>20</v>
      </c>
      <c r="M10" s="105" t="s">
        <v>21</v>
      </c>
      <c r="N10" s="326"/>
      <c r="O10" s="328"/>
      <c r="P10" s="328"/>
      <c r="Q10" s="330"/>
      <c r="R10" s="330"/>
      <c r="S10" s="319"/>
      <c r="T10" s="102" t="s">
        <v>44</v>
      </c>
      <c r="U10" s="315"/>
      <c r="V10" s="103"/>
      <c r="W10" s="317"/>
      <c r="X10" s="319"/>
      <c r="Y10" s="319"/>
      <c r="Z10" s="319"/>
      <c r="AA10" s="319"/>
      <c r="AB10" s="319"/>
      <c r="AC10" s="319"/>
      <c r="AD10" s="346"/>
    </row>
    <row r="11" spans="1:30" ht="24.95" customHeight="1">
      <c r="A11" s="324"/>
      <c r="B11" s="325"/>
      <c r="C11" s="325"/>
      <c r="D11" s="101"/>
      <c r="E11" s="101"/>
      <c r="F11" s="108"/>
      <c r="G11" s="108"/>
      <c r="H11" s="108"/>
      <c r="I11" s="109"/>
      <c r="J11" s="108"/>
      <c r="K11" s="108"/>
      <c r="L11" s="108"/>
      <c r="M11" s="108"/>
      <c r="N11" s="326"/>
      <c r="O11" s="328"/>
      <c r="P11" s="328"/>
      <c r="Q11" s="330"/>
      <c r="R11" s="330"/>
      <c r="S11" s="320"/>
      <c r="T11" s="110" t="s">
        <v>47</v>
      </c>
      <c r="U11" s="315"/>
      <c r="V11" s="103"/>
      <c r="W11" s="317"/>
      <c r="X11" s="320"/>
      <c r="Y11" s="320"/>
      <c r="Z11" s="320"/>
      <c r="AA11" s="320"/>
      <c r="AB11" s="320"/>
      <c r="AC11" s="320"/>
      <c r="AD11" s="347"/>
    </row>
    <row r="12" spans="1:30" ht="15" customHeight="1">
      <c r="A12" s="307">
        <v>0</v>
      </c>
      <c r="B12" s="308"/>
      <c r="C12" s="71"/>
      <c r="D12" s="310">
        <f>TRUNC(C12)+((C12-TRUNC(C12))/0.6)</f>
        <v>0</v>
      </c>
      <c r="E12" s="310">
        <f>TRUNC(C13)+((C13-TRUNC(C13))/0.6)</f>
        <v>0</v>
      </c>
      <c r="F12" s="311">
        <f>ROUND(((LOG10(TAN(PI()/4+(D12/2*PI()/180)))*7915.7046)-(3437.7468*((0.0816968^2*SIN(D12*PI()/180))+(0.0816968^4/3*((SIN(D12*PI()/180))^3))+(0.0816968^6/5*((SIN(D12*PI()/180))^5))))),2)</f>
        <v>0</v>
      </c>
      <c r="G12" s="112"/>
      <c r="H12" s="312">
        <f>IF(E12&lt;0,E12+360,E12)</f>
        <v>0</v>
      </c>
      <c r="I12" s="113"/>
      <c r="J12" s="112"/>
      <c r="K12" s="112"/>
      <c r="L12" s="112"/>
      <c r="M12" s="112"/>
      <c r="N12" s="114"/>
      <c r="O12" s="115"/>
      <c r="P12" s="116"/>
      <c r="Q12" s="313">
        <v>0</v>
      </c>
      <c r="R12" s="398"/>
      <c r="S12" s="340"/>
      <c r="T12" s="117" t="s">
        <v>7</v>
      </c>
      <c r="U12" s="163"/>
      <c r="V12" s="118"/>
      <c r="W12" s="342">
        <v>45987.675000000003</v>
      </c>
      <c r="X12" s="340"/>
      <c r="Y12" s="343"/>
      <c r="Z12" s="340"/>
      <c r="AA12" s="340"/>
      <c r="AB12" s="57"/>
      <c r="AC12" s="331"/>
      <c r="AD12" s="333"/>
    </row>
    <row r="13" spans="1:30" ht="15" customHeight="1">
      <c r="A13" s="307"/>
      <c r="B13" s="309"/>
      <c r="C13" s="72"/>
      <c r="D13" s="310"/>
      <c r="E13" s="310"/>
      <c r="F13" s="311"/>
      <c r="G13" s="312">
        <f>ABS(D12-D14)*60</f>
        <v>0</v>
      </c>
      <c r="H13" s="312"/>
      <c r="I13" s="334">
        <f>ABS(H12-H14)*60</f>
        <v>0</v>
      </c>
      <c r="J13" s="335">
        <f>ABS(F12-F14)</f>
        <v>0</v>
      </c>
      <c r="K13" s="336" t="e">
        <f>IF(AND(D12&lt;D14,H12=H14),0,IF(AND(D12&gt;D14,H12=H14),180,IF(AND(D12=D14,H12&lt;H14),90,IF(AND(D12=D14,H12&gt;H14),270,(ATAN(I13/J13)*180/PI())))))</f>
        <v>#DIV/0!</v>
      </c>
      <c r="L13" s="310" t="e">
        <f>IF(OR(K13=0,K13=90,K13=180,K13=270),K13,IF(AND(D12&lt;D14,H12&lt;H14),K13,IF(AND(D12&lt;D14,H12&gt;H14),360-K13,IF(AND(D12&gt;D14,H12&lt;H14),180-K13,IF(AND(D12&gt;D14,H12&gt;H14),180+K13)))))</f>
        <v>#DIV/0!</v>
      </c>
      <c r="M13" s="310">
        <f>(IF(I13=0,G13,IF(G13=0,COS(D14*PI()/180)*I13,G13/COS(K13*PI()/180))))</f>
        <v>0</v>
      </c>
      <c r="N13" s="337" t="str">
        <f>IF(C15="","",ROUND(L13,1))</f>
        <v/>
      </c>
      <c r="O13" s="352" t="str">
        <f>IF(C15="","",ROUND(M13,1))</f>
        <v/>
      </c>
      <c r="P13" s="353"/>
      <c r="Q13" s="313"/>
      <c r="R13" s="399"/>
      <c r="S13" s="341"/>
      <c r="T13" s="122" t="s">
        <v>23</v>
      </c>
      <c r="U13" s="354"/>
      <c r="V13" s="356" t="e">
        <f>(O13/P13+U13/60)/24</f>
        <v>#VALUE!</v>
      </c>
      <c r="W13" s="342"/>
      <c r="X13" s="341"/>
      <c r="Y13" s="344"/>
      <c r="Z13" s="341"/>
      <c r="AA13" s="341"/>
      <c r="AB13" s="56"/>
      <c r="AC13" s="332"/>
      <c r="AD13" s="333"/>
    </row>
    <row r="14" spans="1:30" ht="15" customHeight="1">
      <c r="A14" s="307">
        <v>1</v>
      </c>
      <c r="B14" s="357"/>
      <c r="C14" s="54"/>
      <c r="D14" s="310">
        <f>TRUNC(C14)+((C14-TRUNC(C14))/0.6)</f>
        <v>0</v>
      </c>
      <c r="E14" s="310">
        <f>TRUNC(C15)+((C15-TRUNC(C15))/0.6)</f>
        <v>0</v>
      </c>
      <c r="F14" s="311">
        <f>ROUND(((LOG10(TAN(PI()/4+(D14/2*PI()/180)))*7915.7046)-(3437.7468*((0.0816968^2*SIN(D14*PI()/180))+(0.0816968^4/3*((SIN(D14*PI()/180))^3))+(0.0816968^6/5*((SIN(D14*PI()/180))^5))))),2)</f>
        <v>0</v>
      </c>
      <c r="G14" s="312"/>
      <c r="H14" s="312">
        <f>IF(E14&lt;0,E14+360,E14)</f>
        <v>0</v>
      </c>
      <c r="I14" s="334"/>
      <c r="J14" s="335"/>
      <c r="K14" s="336"/>
      <c r="L14" s="310"/>
      <c r="M14" s="310"/>
      <c r="N14" s="337"/>
      <c r="O14" s="352"/>
      <c r="P14" s="353"/>
      <c r="Q14" s="350" t="str">
        <f>IF(O13="","",Q12+O13)</f>
        <v/>
      </c>
      <c r="R14" s="350" t="str">
        <f>IF(O13="","",R12-O13)</f>
        <v/>
      </c>
      <c r="S14" s="340"/>
      <c r="T14" s="117" t="s">
        <v>7</v>
      </c>
      <c r="U14" s="355"/>
      <c r="V14" s="356"/>
      <c r="W14" s="351" t="str">
        <f>IF(P13="","",W12+V13)</f>
        <v/>
      </c>
      <c r="X14" s="340"/>
      <c r="Y14" s="343"/>
      <c r="Z14" s="340"/>
      <c r="AA14" s="340"/>
      <c r="AB14" s="57"/>
      <c r="AC14" s="331"/>
      <c r="AD14" s="333"/>
    </row>
    <row r="15" spans="1:30" ht="15" customHeight="1">
      <c r="A15" s="307"/>
      <c r="B15" s="357"/>
      <c r="C15" s="55"/>
      <c r="D15" s="310"/>
      <c r="E15" s="310"/>
      <c r="F15" s="311"/>
      <c r="G15" s="312">
        <f>ABS(D14-D16)*60</f>
        <v>0</v>
      </c>
      <c r="H15" s="312"/>
      <c r="I15" s="334">
        <f>ABS(H14-H16)*60</f>
        <v>0</v>
      </c>
      <c r="J15" s="335">
        <f>ABS(F14-F16)</f>
        <v>0</v>
      </c>
      <c r="K15" s="336" t="e">
        <f>IF(AND(D14&lt;D16,H14=H16),0,IF(AND(D14&gt;D16,H14=H16),180,IF(AND(D14=D16,H14&lt;H16),90,IF(AND(D14=D16,H14&gt;H16),270,(ATAN(I15/J15)*180/PI())))))</f>
        <v>#DIV/0!</v>
      </c>
      <c r="L15" s="310" t="e">
        <f>IF(OR(K15=0,K15=90,K15=180,K15=270),K15,IF(AND(D14&lt;D16,H14&lt;H16),K15,IF(AND(D14&lt;D16,H14&gt;H16),360-K15,IF(AND(D14&gt;D16,H14&lt;H16),180-K15,IF(AND(D14&gt;D16,H14&gt;H16),180+K15)))))</f>
        <v>#DIV/0!</v>
      </c>
      <c r="M15" s="310">
        <f>(IF(I15=0,G15,IF(G15=0,COS(D16*PI()/180)*I15,G15/COS(K15*PI()/180))))</f>
        <v>0</v>
      </c>
      <c r="N15" s="337" t="str">
        <f>IF(C17="","",ROUND(L15,1))</f>
        <v/>
      </c>
      <c r="O15" s="352" t="str">
        <f>IF(C17="","",ROUND(M15,1))</f>
        <v/>
      </c>
      <c r="P15" s="353"/>
      <c r="Q15" s="350"/>
      <c r="R15" s="350"/>
      <c r="S15" s="341"/>
      <c r="T15" s="122" t="s">
        <v>23</v>
      </c>
      <c r="U15" s="358"/>
      <c r="V15" s="356" t="e">
        <f>(O15/P15+U15/60)/24</f>
        <v>#VALUE!</v>
      </c>
      <c r="W15" s="351"/>
      <c r="X15" s="341"/>
      <c r="Y15" s="344"/>
      <c r="Z15" s="341"/>
      <c r="AA15" s="341"/>
      <c r="AB15" s="56"/>
      <c r="AC15" s="332"/>
      <c r="AD15" s="333"/>
    </row>
    <row r="16" spans="1:30" ht="15" customHeight="1">
      <c r="A16" s="307">
        <v>2</v>
      </c>
      <c r="B16" s="348"/>
      <c r="C16" s="54"/>
      <c r="D16" s="310">
        <f>TRUNC(C16)+((C16-TRUNC(C16))/0.6)</f>
        <v>0</v>
      </c>
      <c r="E16" s="310">
        <f>TRUNC(C17)+((C17-TRUNC(C17))/0.6)</f>
        <v>0</v>
      </c>
      <c r="F16" s="311">
        <f>ROUND(((LOG10(TAN(PI()/4+(D16/2*PI()/180)))*7915.7046)-(3437.7468*((0.0816968^2*SIN(D16*PI()/180))+(0.0816968^4/3*((SIN(D16*PI()/180))^3))+(0.0816968^6/5*((SIN(D16*PI()/180))^5))))),2)</f>
        <v>0</v>
      </c>
      <c r="G16" s="312"/>
      <c r="H16" s="312">
        <f>IF(E16&lt;0,E16+360,E16)</f>
        <v>0</v>
      </c>
      <c r="I16" s="334"/>
      <c r="J16" s="335"/>
      <c r="K16" s="336"/>
      <c r="L16" s="310"/>
      <c r="M16" s="310"/>
      <c r="N16" s="337"/>
      <c r="O16" s="352"/>
      <c r="P16" s="353"/>
      <c r="Q16" s="350" t="str">
        <f>IF(O15="","",Q14+O15)</f>
        <v/>
      </c>
      <c r="R16" s="350" t="str">
        <f>IF(O15="","",R14-O15)</f>
        <v/>
      </c>
      <c r="S16" s="340"/>
      <c r="T16" s="117" t="s">
        <v>7</v>
      </c>
      <c r="U16" s="355"/>
      <c r="V16" s="356"/>
      <c r="W16" s="351" t="str">
        <f t="shared" ref="W16" si="0">IF(P15="","",W14+V15)</f>
        <v/>
      </c>
      <c r="X16" s="340"/>
      <c r="Y16" s="343"/>
      <c r="Z16" s="340"/>
      <c r="AA16" s="340"/>
      <c r="AB16" s="57"/>
      <c r="AC16" s="331"/>
      <c r="AD16" s="333"/>
    </row>
    <row r="17" spans="1:30" ht="15" customHeight="1">
      <c r="A17" s="307"/>
      <c r="B17" s="349"/>
      <c r="C17" s="55"/>
      <c r="D17" s="310"/>
      <c r="E17" s="310"/>
      <c r="F17" s="311"/>
      <c r="G17" s="312">
        <f>ABS(D16-D18)*60</f>
        <v>0</v>
      </c>
      <c r="H17" s="312"/>
      <c r="I17" s="334">
        <f>ABS(H16-H18)*60</f>
        <v>0</v>
      </c>
      <c r="J17" s="335">
        <f>ABS(F16-F18)</f>
        <v>0</v>
      </c>
      <c r="K17" s="336" t="e">
        <f>IF(AND(D16&lt;D18,H16=H18),0,IF(AND(D16&gt;D18,H16=H18),180,IF(AND(D16=D18,H16&lt;H18),90,IF(AND(D16=D18,H16&gt;H18),270,(ATAN(I17/J17)*180/PI())))))</f>
        <v>#DIV/0!</v>
      </c>
      <c r="L17" s="310" t="e">
        <f>IF(OR(K17=0,K17=90,K17=180,K17=270),K17,IF(AND(D16&lt;D18,H16&lt;H18),K17,IF(AND(D16&lt;D18,H16&gt;H18),360-K17,IF(AND(D16&gt;D18,H16&lt;H18),180-K17,IF(AND(D16&gt;D18,H16&gt;H18),180+K17)))))</f>
        <v>#DIV/0!</v>
      </c>
      <c r="M17" s="310">
        <f>(IF(I17=0,G17,IF(G17=0,COS(D18*PI()/180)*I17,G17/COS(K17*PI()/180))))</f>
        <v>0</v>
      </c>
      <c r="N17" s="337" t="str">
        <f>IF(C19="","",ROUND(L17,1))</f>
        <v/>
      </c>
      <c r="O17" s="352" t="str">
        <f>IF(C19="","",ROUND(M17,1))</f>
        <v/>
      </c>
      <c r="P17" s="353"/>
      <c r="Q17" s="350"/>
      <c r="R17" s="350"/>
      <c r="S17" s="341"/>
      <c r="T17" s="122" t="s">
        <v>23</v>
      </c>
      <c r="U17" s="358"/>
      <c r="V17" s="356" t="e">
        <f>(O17/P17+U17/60)/24</f>
        <v>#VALUE!</v>
      </c>
      <c r="W17" s="351"/>
      <c r="X17" s="341"/>
      <c r="Y17" s="344"/>
      <c r="Z17" s="341"/>
      <c r="AA17" s="341"/>
      <c r="AB17" s="56"/>
      <c r="AC17" s="332"/>
      <c r="AD17" s="333"/>
    </row>
    <row r="18" spans="1:30" ht="15" customHeight="1">
      <c r="A18" s="307">
        <v>3</v>
      </c>
      <c r="B18" s="348"/>
      <c r="C18" s="54"/>
      <c r="D18" s="310">
        <f>TRUNC(C18)+((C18-TRUNC(C18))/0.6)</f>
        <v>0</v>
      </c>
      <c r="E18" s="310">
        <f>TRUNC(C19)+((C19-TRUNC(C19))/0.6)</f>
        <v>0</v>
      </c>
      <c r="F18" s="311">
        <f>ROUND(((LOG10(TAN(PI()/4+(D18/2*PI()/180)))*7915.7046)-(3437.7468*((0.0816968^2*SIN(D18*PI()/180))+(0.0816968^4/3*((SIN(D18*PI()/180))^3))+(0.0816968^6/5*((SIN(D18*PI()/180))^5))))),2)</f>
        <v>0</v>
      </c>
      <c r="G18" s="312"/>
      <c r="H18" s="312">
        <f>IF(E18&lt;0,E18+360,E18)</f>
        <v>0</v>
      </c>
      <c r="I18" s="334"/>
      <c r="J18" s="335"/>
      <c r="K18" s="336"/>
      <c r="L18" s="310"/>
      <c r="M18" s="310"/>
      <c r="N18" s="337"/>
      <c r="O18" s="352"/>
      <c r="P18" s="353"/>
      <c r="Q18" s="350" t="str">
        <f>IF(O17="","",Q16+O17)</f>
        <v/>
      </c>
      <c r="R18" s="350" t="str">
        <f>IF(O17="","",R16-O17)</f>
        <v/>
      </c>
      <c r="S18" s="340"/>
      <c r="T18" s="117" t="s">
        <v>7</v>
      </c>
      <c r="U18" s="355"/>
      <c r="V18" s="356"/>
      <c r="W18" s="351" t="str">
        <f t="shared" ref="W18" si="1">IF(P17="","",W16+V17)</f>
        <v/>
      </c>
      <c r="X18" s="340"/>
      <c r="Y18" s="343"/>
      <c r="Z18" s="340"/>
      <c r="AA18" s="340"/>
      <c r="AB18" s="57"/>
      <c r="AC18" s="331"/>
      <c r="AD18" s="333"/>
    </row>
    <row r="19" spans="1:30" ht="15" customHeight="1">
      <c r="A19" s="307"/>
      <c r="B19" s="349"/>
      <c r="C19" s="55"/>
      <c r="D19" s="310"/>
      <c r="E19" s="310"/>
      <c r="F19" s="311"/>
      <c r="G19" s="312">
        <f>ABS(D18-D20)*60</f>
        <v>0</v>
      </c>
      <c r="H19" s="312"/>
      <c r="I19" s="334">
        <f>ABS(H18-H20)*60</f>
        <v>0</v>
      </c>
      <c r="J19" s="335">
        <f>ABS(F18-F20)</f>
        <v>0</v>
      </c>
      <c r="K19" s="336" t="e">
        <f>IF(AND(D18&lt;D20,H18=H20),0,IF(AND(D18&gt;D20,H18=H20),180,IF(AND(D18=D20,H18&lt;H20),90,IF(AND(D18=D20,H18&gt;H20),270,(ATAN(I19/J19)*180/PI())))))</f>
        <v>#DIV/0!</v>
      </c>
      <c r="L19" s="310" t="e">
        <f>IF(OR(K19=0,K19=90,K19=180,K19=270),K19,IF(AND(D18&lt;D20,H18&lt;H20),K19,IF(AND(D18&lt;D20,H18&gt;H20),360-K19,IF(AND(D18&gt;D20,H18&lt;H20),180-K19,IF(AND(D18&gt;D20,H18&gt;H20),180+K19)))))</f>
        <v>#DIV/0!</v>
      </c>
      <c r="M19" s="310">
        <f>(IF(I19=0,G19,IF(G19=0,COS(D20*PI()/180)*I19,G19/COS(K19*PI()/180))))</f>
        <v>0</v>
      </c>
      <c r="N19" s="337" t="str">
        <f>IF(C21="","",ROUND(L19,1))</f>
        <v/>
      </c>
      <c r="O19" s="352" t="str">
        <f>IF(C21="","",ROUND(M19,1))</f>
        <v/>
      </c>
      <c r="P19" s="353"/>
      <c r="Q19" s="350"/>
      <c r="R19" s="350"/>
      <c r="S19" s="341"/>
      <c r="T19" s="122" t="s">
        <v>23</v>
      </c>
      <c r="U19" s="358"/>
      <c r="V19" s="356" t="e">
        <f>(O19/P19+U19/60)/24</f>
        <v>#VALUE!</v>
      </c>
      <c r="W19" s="351"/>
      <c r="X19" s="341"/>
      <c r="Y19" s="344"/>
      <c r="Z19" s="341"/>
      <c r="AA19" s="341"/>
      <c r="AB19" s="56"/>
      <c r="AC19" s="332"/>
      <c r="AD19" s="333"/>
    </row>
    <row r="20" spans="1:30" ht="15" customHeight="1">
      <c r="A20" s="307">
        <v>4</v>
      </c>
      <c r="B20" s="348"/>
      <c r="C20" s="54"/>
      <c r="D20" s="310">
        <f>TRUNC(C20)+((C20-TRUNC(C20))/0.6)</f>
        <v>0</v>
      </c>
      <c r="E20" s="310">
        <f>TRUNC(C21)+((C21-TRUNC(C21))/0.6)</f>
        <v>0</v>
      </c>
      <c r="F20" s="311">
        <f>ROUND(((LOG10(TAN(PI()/4+(D20/2*PI()/180)))*7915.7046)-(3437.7468*((0.0816968^2*SIN(D20*PI()/180))+(0.0816968^4/3*((SIN(D20*PI()/180))^3))+(0.0816968^6/5*((SIN(D20*PI()/180))^5))))),2)</f>
        <v>0</v>
      </c>
      <c r="G20" s="312"/>
      <c r="H20" s="312">
        <f>IF(E20&lt;0,E20+360,E20)</f>
        <v>0</v>
      </c>
      <c r="I20" s="334"/>
      <c r="J20" s="335"/>
      <c r="K20" s="336"/>
      <c r="L20" s="310"/>
      <c r="M20" s="310"/>
      <c r="N20" s="337"/>
      <c r="O20" s="352"/>
      <c r="P20" s="353"/>
      <c r="Q20" s="350" t="str">
        <f>IF(O19="","",Q18+O19)</f>
        <v/>
      </c>
      <c r="R20" s="350" t="str">
        <f>IF(O19="","",R18-O19)</f>
        <v/>
      </c>
      <c r="S20" s="340"/>
      <c r="T20" s="117" t="s">
        <v>7</v>
      </c>
      <c r="U20" s="355"/>
      <c r="V20" s="356"/>
      <c r="W20" s="351" t="str">
        <f t="shared" ref="W20" si="2">IF(P19="","",W18+V19)</f>
        <v/>
      </c>
      <c r="X20" s="340"/>
      <c r="Y20" s="343"/>
      <c r="Z20" s="340"/>
      <c r="AA20" s="340"/>
      <c r="AB20" s="57"/>
      <c r="AC20" s="331"/>
      <c r="AD20" s="333"/>
    </row>
    <row r="21" spans="1:30" ht="15" customHeight="1">
      <c r="A21" s="307"/>
      <c r="B21" s="349"/>
      <c r="C21" s="55"/>
      <c r="D21" s="310"/>
      <c r="E21" s="310"/>
      <c r="F21" s="311"/>
      <c r="G21" s="312">
        <f>ABS(D20-D22)*60</f>
        <v>0</v>
      </c>
      <c r="H21" s="312"/>
      <c r="I21" s="334">
        <f>ABS(H20-H22)*60</f>
        <v>0</v>
      </c>
      <c r="J21" s="335">
        <f>ABS(F20-F22)</f>
        <v>0</v>
      </c>
      <c r="K21" s="336" t="e">
        <f>IF(AND(D20&lt;D22,H20=H22),0,IF(AND(D20&gt;D22,H20=H22),180,IF(AND(D20=D22,H20&lt;H22),90,IF(AND(D20=D22,H20&gt;H22),270,(ATAN(I21/J21)*180/PI())))))</f>
        <v>#DIV/0!</v>
      </c>
      <c r="L21" s="310" t="e">
        <f>IF(OR(K21=0,K21=90,K21=180,K21=270),K21,IF(AND(D20&lt;D22,H20&lt;H22),K21,IF(AND(D20&lt;D22,H20&gt;H22),360-K21,IF(AND(D20&gt;D22,H20&lt;H22),180-K21,IF(AND(D20&gt;D22,H20&gt;H22),180+K21)))))</f>
        <v>#DIV/0!</v>
      </c>
      <c r="M21" s="310">
        <f>(IF(I21=0,G21,IF(G21=0,COS(D22*PI()/180)*I21,G21/COS(K21*PI()/180))))</f>
        <v>0</v>
      </c>
      <c r="N21" s="337" t="str">
        <f>IF(C23="","",ROUND(L21,1))</f>
        <v/>
      </c>
      <c r="O21" s="352" t="str">
        <f>IF(C23="","",ROUND(M21,1))</f>
        <v/>
      </c>
      <c r="P21" s="353"/>
      <c r="Q21" s="350"/>
      <c r="R21" s="350"/>
      <c r="S21" s="341"/>
      <c r="T21" s="122" t="s">
        <v>24</v>
      </c>
      <c r="U21" s="358"/>
      <c r="V21" s="356" t="e">
        <f>(O21/P21+U21/60)/24</f>
        <v>#VALUE!</v>
      </c>
      <c r="W21" s="351"/>
      <c r="X21" s="341"/>
      <c r="Y21" s="344"/>
      <c r="Z21" s="341"/>
      <c r="AA21" s="341"/>
      <c r="AB21" s="56"/>
      <c r="AC21" s="332"/>
      <c r="AD21" s="333"/>
    </row>
    <row r="22" spans="1:30" ht="15" customHeight="1">
      <c r="A22" s="307">
        <v>5</v>
      </c>
      <c r="B22" s="348"/>
      <c r="C22" s="54"/>
      <c r="D22" s="310">
        <f>TRUNC(C22)+((C22-TRUNC(C22))/0.6)</f>
        <v>0</v>
      </c>
      <c r="E22" s="310">
        <f>TRUNC(C23)+((C23-TRUNC(C23))/0.6)</f>
        <v>0</v>
      </c>
      <c r="F22" s="311">
        <f>ROUND(((LOG10(TAN(PI()/4+(D22/2*PI()/180)))*7915.7046)-(3437.7468*((0.0816968^2*SIN(D22*PI()/180))+(0.0816968^4/3*((SIN(D22*PI()/180))^3))+(0.0816968^6/5*((SIN(D22*PI()/180))^5))))),2)</f>
        <v>0</v>
      </c>
      <c r="G22" s="312"/>
      <c r="H22" s="312">
        <f>IF(E22&lt;0,E22+360,E22)</f>
        <v>0</v>
      </c>
      <c r="I22" s="334"/>
      <c r="J22" s="335"/>
      <c r="K22" s="336"/>
      <c r="L22" s="310"/>
      <c r="M22" s="310"/>
      <c r="N22" s="337"/>
      <c r="O22" s="352"/>
      <c r="P22" s="353"/>
      <c r="Q22" s="350" t="str">
        <f>IF(O21="","",Q20+O21)</f>
        <v/>
      </c>
      <c r="R22" s="350" t="str">
        <f>IF(O21="","",R20-O21)</f>
        <v/>
      </c>
      <c r="S22" s="340"/>
      <c r="T22" s="117" t="s">
        <v>7</v>
      </c>
      <c r="U22" s="355"/>
      <c r="V22" s="356"/>
      <c r="W22" s="351" t="str">
        <f t="shared" ref="W22" si="3">IF(P21="","",W20+V21)</f>
        <v/>
      </c>
      <c r="X22" s="340"/>
      <c r="Y22" s="343"/>
      <c r="Z22" s="340"/>
      <c r="AA22" s="340"/>
      <c r="AB22" s="57"/>
      <c r="AC22" s="331"/>
      <c r="AD22" s="333"/>
    </row>
    <row r="23" spans="1:30" ht="15" customHeight="1">
      <c r="A23" s="307"/>
      <c r="B23" s="349"/>
      <c r="C23" s="55"/>
      <c r="D23" s="310"/>
      <c r="E23" s="310"/>
      <c r="F23" s="311"/>
      <c r="G23" s="312">
        <f>ABS(D22-D24)*60</f>
        <v>0</v>
      </c>
      <c r="H23" s="312"/>
      <c r="I23" s="334">
        <f>ABS(H22-H24)*60</f>
        <v>0</v>
      </c>
      <c r="J23" s="335">
        <f>ABS(F22-F24)</f>
        <v>0</v>
      </c>
      <c r="K23" s="336" t="e">
        <f>IF(AND(D22&lt;D24,H22=H24),0,IF(AND(D22&gt;D24,H22=H24),180,IF(AND(D22=D24,H22&lt;H24),90,IF(AND(D22=D24,H22&gt;H24),270,(ATAN(I23/J23)*180/PI())))))</f>
        <v>#DIV/0!</v>
      </c>
      <c r="L23" s="310" t="e">
        <f>IF(OR(K23=0,K23=90,K23=180,K23=270),K23,IF(AND(D22&lt;D24,H22&lt;H24),K23,IF(AND(D22&lt;D24,H22&gt;H24),360-K23,IF(AND(D22&gt;D24,H22&lt;H24),180-K23,IF(AND(D22&gt;D24,H22&gt;H24),180+K23)))))</f>
        <v>#DIV/0!</v>
      </c>
      <c r="M23" s="310">
        <f>(IF(I23=0,G23,IF(G23=0,COS(D24*PI()/180)*I23,G23/COS(K23*PI()/180))))</f>
        <v>0</v>
      </c>
      <c r="N23" s="337" t="str">
        <f>IF(C25="","",ROUND(L23,1))</f>
        <v/>
      </c>
      <c r="O23" s="352" t="str">
        <f>IF(C25="","",ROUND(M23,1))</f>
        <v/>
      </c>
      <c r="P23" s="353"/>
      <c r="Q23" s="350"/>
      <c r="R23" s="350"/>
      <c r="S23" s="341"/>
      <c r="T23" s="122" t="s">
        <v>23</v>
      </c>
      <c r="U23" s="358"/>
      <c r="V23" s="356" t="e">
        <f>(O23/P23+U23/60)/24</f>
        <v>#VALUE!</v>
      </c>
      <c r="W23" s="351"/>
      <c r="X23" s="341"/>
      <c r="Y23" s="344"/>
      <c r="Z23" s="341"/>
      <c r="AA23" s="341"/>
      <c r="AB23" s="56"/>
      <c r="AC23" s="332"/>
      <c r="AD23" s="333"/>
    </row>
    <row r="24" spans="1:30" ht="15" customHeight="1">
      <c r="A24" s="307">
        <v>6</v>
      </c>
      <c r="B24" s="348"/>
      <c r="C24" s="54"/>
      <c r="D24" s="310">
        <f>TRUNC(C24)+((C24-TRUNC(C24))/0.6)</f>
        <v>0</v>
      </c>
      <c r="E24" s="310">
        <f>TRUNC(C25)+((C25-TRUNC(C25))/0.6)</f>
        <v>0</v>
      </c>
      <c r="F24" s="311">
        <f>ROUND(((LOG10(TAN(PI()/4+(D24/2*PI()/180)))*7915.7046)-(3437.7468*((0.0816968^2*SIN(D24*PI()/180))+(0.0816968^4/3*((SIN(D24*PI()/180))^3))+(0.0816968^6/5*((SIN(D24*PI()/180))^5))))),2)</f>
        <v>0</v>
      </c>
      <c r="G24" s="312"/>
      <c r="H24" s="312">
        <f>IF(E24&lt;0,E24+360,E24)</f>
        <v>0</v>
      </c>
      <c r="I24" s="334"/>
      <c r="J24" s="335"/>
      <c r="K24" s="336"/>
      <c r="L24" s="310"/>
      <c r="M24" s="310"/>
      <c r="N24" s="337"/>
      <c r="O24" s="352"/>
      <c r="P24" s="353"/>
      <c r="Q24" s="350" t="str">
        <f>IF(O23="","",Q22+O23)</f>
        <v/>
      </c>
      <c r="R24" s="350" t="str">
        <f>IF(O23="","",R22-O23)</f>
        <v/>
      </c>
      <c r="S24" s="340"/>
      <c r="T24" s="117" t="s">
        <v>25</v>
      </c>
      <c r="U24" s="355"/>
      <c r="V24" s="356"/>
      <c r="W24" s="351" t="str">
        <f t="shared" ref="W24" si="4">IF(P23="","",W22+V23)</f>
        <v/>
      </c>
      <c r="X24" s="340"/>
      <c r="Y24" s="343"/>
      <c r="Z24" s="340"/>
      <c r="AA24" s="340"/>
      <c r="AB24" s="57"/>
      <c r="AC24" s="331"/>
      <c r="AD24" s="333"/>
    </row>
    <row r="25" spans="1:30" ht="15" customHeight="1">
      <c r="A25" s="307"/>
      <c r="B25" s="349"/>
      <c r="C25" s="55"/>
      <c r="D25" s="310"/>
      <c r="E25" s="310"/>
      <c r="F25" s="311"/>
      <c r="G25" s="312">
        <f>ABS(D24-D26)*60</f>
        <v>0</v>
      </c>
      <c r="H25" s="312"/>
      <c r="I25" s="334">
        <f>ABS(H24-H26)*60</f>
        <v>0</v>
      </c>
      <c r="J25" s="335">
        <f>ABS(F24-F26)</f>
        <v>0</v>
      </c>
      <c r="K25" s="336" t="e">
        <f>IF(AND(D24&lt;D26,H24=H26),0,IF(AND(D24&gt;D26,H24=H26),180,IF(AND(D24=D26,H24&lt;H26),90,IF(AND(D24=D26,H24&gt;H26),270,(ATAN(I25/J25)*180/PI())))))</f>
        <v>#DIV/0!</v>
      </c>
      <c r="L25" s="310" t="e">
        <f>IF(OR(K25=0,K25=90,K25=180,K25=270),K25,IF(AND(D24&lt;D26,H24&lt;H26),K25,IF(AND(D24&lt;D26,H24&gt;H26),360-K25,IF(AND(D24&gt;D26,H24&lt;H26),180-K25,IF(AND(D24&gt;D26,H24&gt;H26),180+K25)))))</f>
        <v>#DIV/0!</v>
      </c>
      <c r="M25" s="310">
        <f>(IF(I25=0,G25,IF(G25=0,COS(D26*PI()/180)*I25,G25/COS(K25*PI()/180))))</f>
        <v>0</v>
      </c>
      <c r="N25" s="337" t="str">
        <f>IF(C27="","",ROUND(L25,1))</f>
        <v/>
      </c>
      <c r="O25" s="352" t="str">
        <f>IF(C27="","",ROUND(M25,1))</f>
        <v/>
      </c>
      <c r="P25" s="353"/>
      <c r="Q25" s="350"/>
      <c r="R25" s="350"/>
      <c r="S25" s="341"/>
      <c r="T25" s="122" t="s">
        <v>24</v>
      </c>
      <c r="U25" s="358"/>
      <c r="V25" s="356" t="e">
        <f>(O25/P25+U25/60)/24</f>
        <v>#VALUE!</v>
      </c>
      <c r="W25" s="351"/>
      <c r="X25" s="341"/>
      <c r="Y25" s="344"/>
      <c r="Z25" s="341"/>
      <c r="AA25" s="341"/>
      <c r="AB25" s="56"/>
      <c r="AC25" s="332"/>
      <c r="AD25" s="333"/>
    </row>
    <row r="26" spans="1:30" ht="15" customHeight="1">
      <c r="A26" s="307">
        <v>7</v>
      </c>
      <c r="B26" s="348"/>
      <c r="C26" s="54"/>
      <c r="D26" s="310">
        <f>TRUNC(C26)+((C26-TRUNC(C26))/0.6)</f>
        <v>0</v>
      </c>
      <c r="E26" s="310">
        <f>TRUNC(C27)+((C27-TRUNC(C27))/0.6)</f>
        <v>0</v>
      </c>
      <c r="F26" s="311">
        <f>ROUND(((LOG10(TAN(PI()/4+(D26/2*PI()/180)))*7915.7046)-(3437.7468*((0.0816968^2*SIN(D26*PI()/180))+(0.0816968^4/3*((SIN(D26*PI()/180))^3))+(0.0816968^6/5*((SIN(D26*PI()/180))^5))))),2)</f>
        <v>0</v>
      </c>
      <c r="G26" s="312"/>
      <c r="H26" s="312">
        <f>IF(E26&lt;0,E26+360,E26)</f>
        <v>0</v>
      </c>
      <c r="I26" s="334"/>
      <c r="J26" s="335"/>
      <c r="K26" s="336"/>
      <c r="L26" s="310"/>
      <c r="M26" s="310"/>
      <c r="N26" s="337"/>
      <c r="O26" s="352"/>
      <c r="P26" s="353"/>
      <c r="Q26" s="350" t="str">
        <f>IF(O25="","",Q24+O25)</f>
        <v/>
      </c>
      <c r="R26" s="350" t="str">
        <f>IF(O25="","",R24-O25)</f>
        <v/>
      </c>
      <c r="S26" s="340"/>
      <c r="T26" s="117" t="s">
        <v>25</v>
      </c>
      <c r="U26" s="355"/>
      <c r="V26" s="356"/>
      <c r="W26" s="351" t="str">
        <f t="shared" ref="W26" si="5">IF(P25="","",W24+V25)</f>
        <v/>
      </c>
      <c r="X26" s="340"/>
      <c r="Y26" s="343"/>
      <c r="Z26" s="340"/>
      <c r="AA26" s="340"/>
      <c r="AB26" s="57"/>
      <c r="AC26" s="331"/>
      <c r="AD26" s="333"/>
    </row>
    <row r="27" spans="1:30" ht="15" customHeight="1">
      <c r="A27" s="307"/>
      <c r="B27" s="349"/>
      <c r="C27" s="55"/>
      <c r="D27" s="310"/>
      <c r="E27" s="310"/>
      <c r="F27" s="311"/>
      <c r="G27" s="312">
        <f>ABS(D26-D28)*60</f>
        <v>0</v>
      </c>
      <c r="H27" s="312"/>
      <c r="I27" s="334">
        <f>ABS(H26-H28)*60</f>
        <v>0</v>
      </c>
      <c r="J27" s="335">
        <f>ABS(F26-F28)</f>
        <v>0</v>
      </c>
      <c r="K27" s="336" t="e">
        <f>IF(AND(D26&lt;D28,H26=H28),0,IF(AND(D26&gt;D28,H26=H28),180,IF(AND(D26=D28,H26&lt;H28),90,IF(AND(D26=D28,H26&gt;H28),270,(ATAN(I27/J27)*180/PI())))))</f>
        <v>#DIV/0!</v>
      </c>
      <c r="L27" s="310" t="e">
        <f>IF(OR(K27=0,K27=90,K27=180,K27=270),K27,IF(AND(D26&lt;D28,H26&lt;H28),K27,IF(AND(D26&lt;D28,H26&gt;H28),360-K27,IF(AND(D26&gt;D28,H26&lt;H28),180-K27,IF(AND(D26&gt;D28,H26&gt;H28),180+K27)))))</f>
        <v>#DIV/0!</v>
      </c>
      <c r="M27" s="310">
        <f>(IF(I27=0,G27,IF(G27=0,COS(D28*PI()/180)*I27,G27/COS(K27*PI()/180))))</f>
        <v>0</v>
      </c>
      <c r="N27" s="337" t="str">
        <f>IF(C29="","",ROUND(L27,1))</f>
        <v/>
      </c>
      <c r="O27" s="352" t="str">
        <f>IF(C29="","",ROUND(M27,1))</f>
        <v/>
      </c>
      <c r="P27" s="353"/>
      <c r="Q27" s="350"/>
      <c r="R27" s="350"/>
      <c r="S27" s="341"/>
      <c r="T27" s="122" t="s">
        <v>24</v>
      </c>
      <c r="U27" s="358"/>
      <c r="V27" s="356" t="e">
        <f>(O27/P27+U27/60)/24</f>
        <v>#VALUE!</v>
      </c>
      <c r="W27" s="351"/>
      <c r="X27" s="341"/>
      <c r="Y27" s="344"/>
      <c r="Z27" s="341"/>
      <c r="AA27" s="341"/>
      <c r="AB27" s="56"/>
      <c r="AC27" s="332"/>
      <c r="AD27" s="333"/>
    </row>
    <row r="28" spans="1:30" ht="15" customHeight="1">
      <c r="A28" s="307">
        <v>8</v>
      </c>
      <c r="B28" s="348"/>
      <c r="C28" s="54"/>
      <c r="D28" s="310">
        <f>TRUNC(C28)+((C28-TRUNC(C28))/0.6)</f>
        <v>0</v>
      </c>
      <c r="E28" s="310">
        <f>TRUNC(C29)+((C29-TRUNC(C29))/0.6)</f>
        <v>0</v>
      </c>
      <c r="F28" s="311">
        <f>ROUND(((LOG10(TAN(PI()/4+(D28/2*PI()/180)))*7915.7046)-(3437.7468*((0.0816968^2*SIN(D28*PI()/180))+(0.0816968^4/3*((SIN(D28*PI()/180))^3))+(0.0816968^6/5*((SIN(D28*PI()/180))^5))))),2)</f>
        <v>0</v>
      </c>
      <c r="G28" s="312"/>
      <c r="H28" s="312">
        <f>IF(E28&lt;0,E28+360,E28)</f>
        <v>0</v>
      </c>
      <c r="I28" s="334"/>
      <c r="J28" s="335"/>
      <c r="K28" s="336"/>
      <c r="L28" s="310"/>
      <c r="M28" s="310"/>
      <c r="N28" s="337"/>
      <c r="O28" s="352"/>
      <c r="P28" s="353"/>
      <c r="Q28" s="350" t="str">
        <f>IF(O27="","",Q26+O27)</f>
        <v/>
      </c>
      <c r="R28" s="350" t="str">
        <f>IF(O27="","",R26-O27)</f>
        <v/>
      </c>
      <c r="S28" s="340"/>
      <c r="T28" s="117" t="s">
        <v>30</v>
      </c>
      <c r="U28" s="355"/>
      <c r="V28" s="356"/>
      <c r="W28" s="351" t="str">
        <f t="shared" ref="W28" si="6">IF(P27="","",W26+V27)</f>
        <v/>
      </c>
      <c r="X28" s="340"/>
      <c r="Y28" s="343"/>
      <c r="Z28" s="340"/>
      <c r="AA28" s="340"/>
      <c r="AB28" s="57"/>
      <c r="AC28" s="331"/>
      <c r="AD28" s="333"/>
    </row>
    <row r="29" spans="1:30" ht="15" customHeight="1">
      <c r="A29" s="307"/>
      <c r="B29" s="349"/>
      <c r="C29" s="55"/>
      <c r="D29" s="310"/>
      <c r="E29" s="310"/>
      <c r="F29" s="311"/>
      <c r="G29" s="312">
        <f>ABS(D28-D30)*60</f>
        <v>0</v>
      </c>
      <c r="H29" s="312"/>
      <c r="I29" s="334">
        <f>ABS(H28-H30)*60</f>
        <v>0</v>
      </c>
      <c r="J29" s="335">
        <f>ABS(F28-F30)</f>
        <v>0</v>
      </c>
      <c r="K29" s="336" t="e">
        <f>IF(AND(D28&lt;D30,H28=H30),0,IF(AND(D28&gt;D30,H28=H30),180,IF(AND(D28=D30,H28&lt;H30),90,IF(AND(D28=D30,H28&gt;H30),270,(ATAN(I29/J29)*180/PI())))))</f>
        <v>#DIV/0!</v>
      </c>
      <c r="L29" s="310" t="e">
        <f>IF(OR(K29=0,K29=90,K29=180,K29=270),K29,IF(AND(D28&lt;D30,H28&lt;H30),K29,IF(AND(D28&lt;D30,H28&gt;H30),360-K29,IF(AND(D28&gt;D30,H28&lt;H30),180-K29,IF(AND(D28&gt;D30,H28&gt;H30),180+K29)))))</f>
        <v>#DIV/0!</v>
      </c>
      <c r="M29" s="310">
        <f>(IF(I29=0,G29,IF(G29=0,COS(D30*PI()/180)*I29,G29/COS(K29*PI()/180))))</f>
        <v>0</v>
      </c>
      <c r="N29" s="337" t="str">
        <f>IF(C31="","",ROUND(L29,1))</f>
        <v/>
      </c>
      <c r="O29" s="352" t="str">
        <f>IF(C31="","",ROUND(M29,1))</f>
        <v/>
      </c>
      <c r="P29" s="353"/>
      <c r="Q29" s="350"/>
      <c r="R29" s="350"/>
      <c r="S29" s="341"/>
      <c r="T29" s="122" t="s">
        <v>24</v>
      </c>
      <c r="U29" s="358"/>
      <c r="V29" s="356" t="e">
        <f>(O29/P29+U29/60)/24</f>
        <v>#VALUE!</v>
      </c>
      <c r="W29" s="351"/>
      <c r="X29" s="341"/>
      <c r="Y29" s="344"/>
      <c r="Z29" s="341"/>
      <c r="AA29" s="341"/>
      <c r="AB29" s="53"/>
      <c r="AC29" s="332"/>
      <c r="AD29" s="333"/>
    </row>
    <row r="30" spans="1:30" ht="15" customHeight="1">
      <c r="A30" s="307">
        <v>9</v>
      </c>
      <c r="B30" s="348"/>
      <c r="C30" s="54"/>
      <c r="D30" s="310">
        <f>TRUNC(C30)+((C30-TRUNC(C30))/0.6)</f>
        <v>0</v>
      </c>
      <c r="E30" s="310">
        <f>TRUNC(C31)+((C31-TRUNC(C31))/0.6)</f>
        <v>0</v>
      </c>
      <c r="F30" s="311">
        <f>ROUND(((LOG10(TAN(PI()/4+(D30/2*PI()/180)))*7915.7046)-(3437.7468*((0.0816968^2*SIN(D30*PI()/180))+(0.0816968^4/3*((SIN(D30*PI()/180))^3))+(0.0816968^6/5*((SIN(D30*PI()/180))^5))))),2)</f>
        <v>0</v>
      </c>
      <c r="G30" s="312"/>
      <c r="H30" s="312">
        <f>IF(E30&lt;0,E30+360,E30)</f>
        <v>0</v>
      </c>
      <c r="I30" s="334"/>
      <c r="J30" s="335"/>
      <c r="K30" s="336"/>
      <c r="L30" s="310"/>
      <c r="M30" s="310"/>
      <c r="N30" s="337"/>
      <c r="O30" s="352"/>
      <c r="P30" s="353"/>
      <c r="Q30" s="350" t="str">
        <f>IF(O29="","",Q28+O29)</f>
        <v/>
      </c>
      <c r="R30" s="350" t="str">
        <f>IF(O29="","",R28-O29)</f>
        <v/>
      </c>
      <c r="S30" s="340"/>
      <c r="T30" s="117" t="s">
        <v>25</v>
      </c>
      <c r="U30" s="355"/>
      <c r="V30" s="356"/>
      <c r="W30" s="351" t="str">
        <f t="shared" ref="W30" si="7">IF(P29="","",W28+V29)</f>
        <v/>
      </c>
      <c r="X30" s="340"/>
      <c r="Y30" s="343"/>
      <c r="Z30" s="340"/>
      <c r="AA30" s="340"/>
      <c r="AB30" s="52"/>
      <c r="AC30" s="331"/>
      <c r="AD30" s="333"/>
    </row>
    <row r="31" spans="1:30" ht="15" customHeight="1">
      <c r="A31" s="307"/>
      <c r="B31" s="349"/>
      <c r="C31" s="55"/>
      <c r="D31" s="310"/>
      <c r="E31" s="310"/>
      <c r="F31" s="311"/>
      <c r="G31" s="312">
        <f>ABS(D30-D32)*60</f>
        <v>0</v>
      </c>
      <c r="H31" s="312"/>
      <c r="I31" s="334">
        <f>ABS(H30-H32)*60</f>
        <v>0</v>
      </c>
      <c r="J31" s="335">
        <f>ABS(F30-F32)</f>
        <v>0</v>
      </c>
      <c r="K31" s="336" t="e">
        <f>IF(AND(D30&lt;D32,H30=H32),0,IF(AND(D30&gt;D32,H30=H32),180,IF(AND(D30=D32,H30&lt;H32),90,IF(AND(D30=D32,H30&gt;H32),270,(ATAN(I31/J31)*180/PI())))))</f>
        <v>#DIV/0!</v>
      </c>
      <c r="L31" s="310" t="e">
        <f>IF(OR(K31=0,K31=90,K31=180,K31=270),K31,IF(AND(D30&lt;D32,H30&lt;H32),K31,IF(AND(D30&lt;D32,H30&gt;H32),360-K31,IF(AND(D30&gt;D32,H30&lt;H32),180-K31,IF(AND(D30&gt;D32,H30&gt;H32),180+K31)))))</f>
        <v>#DIV/0!</v>
      </c>
      <c r="M31" s="310">
        <f>(IF(I31=0,G31,IF(G31=0,COS(D32*PI()/180)*I31,G31/COS(K31*PI()/180))))</f>
        <v>0</v>
      </c>
      <c r="N31" s="337" t="str">
        <f>IF(C33="","",ROUND(L31,1))</f>
        <v/>
      </c>
      <c r="O31" s="352" t="str">
        <f>IF(C33="","",ROUND(M31,1))</f>
        <v/>
      </c>
      <c r="P31" s="353"/>
      <c r="Q31" s="350"/>
      <c r="R31" s="350"/>
      <c r="S31" s="341"/>
      <c r="T31" s="122" t="s">
        <v>23</v>
      </c>
      <c r="U31" s="358"/>
      <c r="V31" s="356" t="e">
        <f>(O31/P31+U31/60)/24</f>
        <v>#VALUE!</v>
      </c>
      <c r="W31" s="351"/>
      <c r="X31" s="341"/>
      <c r="Y31" s="344"/>
      <c r="Z31" s="341"/>
      <c r="AA31" s="341"/>
      <c r="AB31" s="53"/>
      <c r="AC31" s="332"/>
      <c r="AD31" s="333"/>
    </row>
    <row r="32" spans="1:30" ht="15" customHeight="1">
      <c r="A32" s="307">
        <v>10</v>
      </c>
      <c r="B32" s="348"/>
      <c r="C32" s="54"/>
      <c r="D32" s="310">
        <f>TRUNC(C32)+((C32-TRUNC(C32))/0.6)</f>
        <v>0</v>
      </c>
      <c r="E32" s="310">
        <f>TRUNC(C33)+((C33-TRUNC(C33))/0.6)</f>
        <v>0</v>
      </c>
      <c r="F32" s="311">
        <f>ROUND(((LOG10(TAN(PI()/4+(D32/2*PI()/180)))*7915.7046)-(3437.7468*((0.0816968^2*SIN(D32*PI()/180))+(0.0816968^4/3*((SIN(D32*PI()/180))^3))+(0.0816968^6/5*((SIN(D32*PI()/180))^5))))),2)</f>
        <v>0</v>
      </c>
      <c r="G32" s="312"/>
      <c r="H32" s="312">
        <f>IF(E32&lt;0,E32+360,E32)</f>
        <v>0</v>
      </c>
      <c r="I32" s="334"/>
      <c r="J32" s="335"/>
      <c r="K32" s="336"/>
      <c r="L32" s="310"/>
      <c r="M32" s="310"/>
      <c r="N32" s="337"/>
      <c r="O32" s="352"/>
      <c r="P32" s="353"/>
      <c r="Q32" s="350" t="str">
        <f>IF(O31="","",Q30+O31)</f>
        <v/>
      </c>
      <c r="R32" s="350" t="str">
        <f>IF(O31="","",R30-O31)</f>
        <v/>
      </c>
      <c r="S32" s="340"/>
      <c r="T32" s="117" t="s">
        <v>25</v>
      </c>
      <c r="U32" s="355"/>
      <c r="V32" s="356"/>
      <c r="W32" s="351" t="str">
        <f t="shared" ref="W32" si="8">IF(P31="","",W30+V31)</f>
        <v/>
      </c>
      <c r="X32" s="340"/>
      <c r="Y32" s="343"/>
      <c r="Z32" s="340"/>
      <c r="AA32" s="340"/>
      <c r="AB32" s="57"/>
      <c r="AC32" s="331"/>
      <c r="AD32" s="333"/>
    </row>
    <row r="33" spans="1:30" ht="15" customHeight="1">
      <c r="A33" s="307"/>
      <c r="B33" s="349"/>
      <c r="C33" s="55"/>
      <c r="D33" s="310"/>
      <c r="E33" s="310"/>
      <c r="F33" s="311"/>
      <c r="G33" s="312">
        <f>ABS(D32-D34)*60</f>
        <v>0</v>
      </c>
      <c r="H33" s="312"/>
      <c r="I33" s="334">
        <f>ABS(H32-H34)*60</f>
        <v>0</v>
      </c>
      <c r="J33" s="335">
        <f>ABS(F32-F34)</f>
        <v>0</v>
      </c>
      <c r="K33" s="336" t="e">
        <f>IF(AND(D32&lt;D34,H32=H34),0,IF(AND(D32&gt;D34,H32=H34),180,IF(AND(D32=D34,H32&lt;H34),90,IF(AND(D32=D34,H32&gt;H34),270,(ATAN(I33/J33)*180/PI())))))</f>
        <v>#DIV/0!</v>
      </c>
      <c r="L33" s="310" t="e">
        <f>IF(OR(K33=0,K33=90,K33=180,K33=270),K33,IF(AND(D32&lt;D34,H32&lt;H34),K33,IF(AND(D32&lt;D34,H32&gt;H34),360-K33,IF(AND(D32&gt;D34,H32&lt;H34),180-K33,IF(AND(D32&gt;D34,H32&gt;H34),180+K33)))))</f>
        <v>#DIV/0!</v>
      </c>
      <c r="M33" s="310">
        <f>(IF(I33=0,G33,IF(G33=0,COS(D34*PI()/180)*I33,G33/COS(K33*PI()/180))))</f>
        <v>0</v>
      </c>
      <c r="N33" s="337" t="str">
        <f>IF(C35="","",ROUND(L33,1))</f>
        <v/>
      </c>
      <c r="O33" s="352" t="str">
        <f>IF(C35="","",ROUND(M33,1))</f>
        <v/>
      </c>
      <c r="P33" s="353"/>
      <c r="Q33" s="350"/>
      <c r="R33" s="350"/>
      <c r="S33" s="341"/>
      <c r="T33" s="122" t="s">
        <v>22</v>
      </c>
      <c r="U33" s="358"/>
      <c r="V33" s="356" t="e">
        <f>(O33/P33+U33/60)/24</f>
        <v>#VALUE!</v>
      </c>
      <c r="W33" s="351"/>
      <c r="X33" s="341"/>
      <c r="Y33" s="344"/>
      <c r="Z33" s="341"/>
      <c r="AA33" s="341"/>
      <c r="AB33" s="56"/>
      <c r="AC33" s="332"/>
      <c r="AD33" s="333"/>
    </row>
    <row r="34" spans="1:30" ht="15" customHeight="1">
      <c r="A34" s="307">
        <v>11</v>
      </c>
      <c r="B34" s="348"/>
      <c r="C34" s="54"/>
      <c r="D34" s="310">
        <f>TRUNC(C34)+((C34-TRUNC(C34))/0.6)</f>
        <v>0</v>
      </c>
      <c r="E34" s="310">
        <f>TRUNC(C35)+((C35-TRUNC(C35))/0.6)</f>
        <v>0</v>
      </c>
      <c r="F34" s="311">
        <f>ROUND(((LOG10(TAN(PI()/4+(D34/2*PI()/180)))*7915.7046)-(3437.7468*((0.0816968^2*SIN(D34*PI()/180))+(0.0816968^4/3*((SIN(D34*PI()/180))^3))+(0.0816968^6/5*((SIN(D34*PI()/180))^5))))),2)</f>
        <v>0</v>
      </c>
      <c r="G34" s="312"/>
      <c r="H34" s="312">
        <f>IF(E34&lt;0,E34+360,E34)</f>
        <v>0</v>
      </c>
      <c r="I34" s="334"/>
      <c r="J34" s="335"/>
      <c r="K34" s="336"/>
      <c r="L34" s="310"/>
      <c r="M34" s="310"/>
      <c r="N34" s="337"/>
      <c r="O34" s="352"/>
      <c r="P34" s="353"/>
      <c r="Q34" s="350" t="str">
        <f>IF(O33="","",Q32+O33)</f>
        <v/>
      </c>
      <c r="R34" s="350" t="str">
        <f>IF(O33="","",R32-O33)</f>
        <v/>
      </c>
      <c r="S34" s="340"/>
      <c r="T34" s="117" t="s">
        <v>25</v>
      </c>
      <c r="U34" s="355"/>
      <c r="V34" s="356"/>
      <c r="W34" s="351" t="str">
        <f t="shared" ref="W34" si="9">IF(P33="","",W32+V33)</f>
        <v/>
      </c>
      <c r="X34" s="340"/>
      <c r="Y34" s="343"/>
      <c r="Z34" s="340"/>
      <c r="AA34" s="340"/>
      <c r="AB34" s="57"/>
      <c r="AC34" s="331"/>
      <c r="AD34" s="333"/>
    </row>
    <row r="35" spans="1:30" ht="15.75" customHeight="1">
      <c r="A35" s="307"/>
      <c r="B35" s="349"/>
      <c r="C35" s="55"/>
      <c r="D35" s="310"/>
      <c r="E35" s="310"/>
      <c r="F35" s="311"/>
      <c r="G35" s="312">
        <f>ABS(D34-D36)*60</f>
        <v>0</v>
      </c>
      <c r="H35" s="312"/>
      <c r="I35" s="334">
        <f>ABS(H34-H36)*60</f>
        <v>0</v>
      </c>
      <c r="J35" s="335">
        <f>ABS(F34-F36)</f>
        <v>0</v>
      </c>
      <c r="K35" s="336" t="e">
        <f>IF(AND(D34&lt;D36,H34=H36),0,IF(AND(D34&gt;D36,H34=H36),180,IF(AND(D34=D36,H34&lt;H36),90,IF(AND(D34=D36,H34&gt;H36),270,(ATAN(I35/J35)*180/PI())))))</f>
        <v>#DIV/0!</v>
      </c>
      <c r="L35" s="310" t="e">
        <f>IF(OR(K35=0,K35=90,K35=180,K35=270),K35,IF(AND(D34&lt;D36,H34&lt;H36),K35,IF(AND(D34&lt;D36,H34&gt;H36),360-K35,IF(AND(D34&gt;D36,H34&lt;H36),180-K35,IF(AND(D34&gt;D36,H34&gt;H36),180+K35)))))</f>
        <v>#DIV/0!</v>
      </c>
      <c r="M35" s="310">
        <f>(IF(I35=0,G35,IF(G35=0,COS(D36*PI()/180)*I35,G35/COS(K35*PI()/180))))</f>
        <v>0</v>
      </c>
      <c r="N35" s="337" t="str">
        <f>IF(C37="","",ROUND(L35,1))</f>
        <v/>
      </c>
      <c r="O35" s="352" t="str">
        <f>IF(C37="","",ROUND(M35,1))</f>
        <v/>
      </c>
      <c r="P35" s="353"/>
      <c r="Q35" s="350"/>
      <c r="R35" s="350"/>
      <c r="S35" s="341"/>
      <c r="T35" s="122" t="s">
        <v>22</v>
      </c>
      <c r="U35" s="358"/>
      <c r="V35" s="356" t="e">
        <f>(O35/P35+U35/60)/24</f>
        <v>#VALUE!</v>
      </c>
      <c r="W35" s="351"/>
      <c r="X35" s="341"/>
      <c r="Y35" s="344"/>
      <c r="Z35" s="341"/>
      <c r="AA35" s="341"/>
      <c r="AB35" s="56"/>
      <c r="AC35" s="332"/>
      <c r="AD35" s="333"/>
    </row>
    <row r="36" spans="1:30" ht="15" customHeight="1">
      <c r="A36" s="307">
        <v>12</v>
      </c>
      <c r="B36" s="348"/>
      <c r="C36" s="54"/>
      <c r="D36" s="310">
        <f>TRUNC(C36)+((C36-TRUNC(C36))/0.6)</f>
        <v>0</v>
      </c>
      <c r="E36" s="310">
        <f>TRUNC(C37)+((C37-TRUNC(C37))/0.6)</f>
        <v>0</v>
      </c>
      <c r="F36" s="311">
        <f>ROUND(((LOG10(TAN(PI()/4+(D36/2*PI()/180)))*7915.7046)-(3437.7468*((0.0816968^2*SIN(D36*PI()/180))+(0.0816968^4/3*((SIN(D36*PI()/180))^3))+(0.0816968^6/5*((SIN(D36*PI()/180))^5))))),2)</f>
        <v>0</v>
      </c>
      <c r="G36" s="312"/>
      <c r="H36" s="312">
        <f>IF(E36&lt;0,E36+360,E36)</f>
        <v>0</v>
      </c>
      <c r="I36" s="334"/>
      <c r="J36" s="335"/>
      <c r="K36" s="336"/>
      <c r="L36" s="310"/>
      <c r="M36" s="310"/>
      <c r="N36" s="337"/>
      <c r="O36" s="352"/>
      <c r="P36" s="353"/>
      <c r="Q36" s="350" t="str">
        <f>IF(O35="","",Q34+O35)</f>
        <v/>
      </c>
      <c r="R36" s="350" t="str">
        <f>IF(O35="","",R34-O35)</f>
        <v/>
      </c>
      <c r="S36" s="340"/>
      <c r="T36" s="117" t="s">
        <v>25</v>
      </c>
      <c r="U36" s="355"/>
      <c r="V36" s="356"/>
      <c r="W36" s="351" t="str">
        <f t="shared" ref="W36" si="10">IF(P35="","",W34+V35)</f>
        <v/>
      </c>
      <c r="X36" s="340"/>
      <c r="Y36" s="343"/>
      <c r="Z36" s="340"/>
      <c r="AA36" s="340"/>
      <c r="AB36" s="57"/>
      <c r="AC36" s="331"/>
      <c r="AD36" s="333"/>
    </row>
    <row r="37" spans="1:30" ht="15" customHeight="1">
      <c r="A37" s="307"/>
      <c r="B37" s="349"/>
      <c r="C37" s="55"/>
      <c r="D37" s="310"/>
      <c r="E37" s="310"/>
      <c r="F37" s="311"/>
      <c r="G37" s="312">
        <f>ABS(D36-D38)*60</f>
        <v>0</v>
      </c>
      <c r="H37" s="312"/>
      <c r="I37" s="334">
        <f>ABS(H36-H38)*60</f>
        <v>0</v>
      </c>
      <c r="J37" s="335">
        <f>ABS(F36-F38)</f>
        <v>0</v>
      </c>
      <c r="K37" s="336" t="e">
        <f>IF(AND(D36&lt;D38,H36=H38),0,IF(AND(D36&gt;D38,H36=H38),180,IF(AND(D36=D38,H36&lt;H38),90,IF(AND(D36=D38,H36&gt;H38),270,(ATAN(I37/J37)*180/PI())))))</f>
        <v>#DIV/0!</v>
      </c>
      <c r="L37" s="310" t="e">
        <f>IF(OR(K37=0,K37=90,K37=180,K37=270),K37,IF(AND(D36&lt;D38,H36&lt;H38),K37,IF(AND(D36&lt;D38,H36&gt;H38),360-K37,IF(AND(D36&gt;D38,H36&lt;H38),180-K37,IF(AND(D36&gt;D38,H36&gt;H38),180+K37)))))</f>
        <v>#DIV/0!</v>
      </c>
      <c r="M37" s="310">
        <f>(IF(I37=0,G37,IF(G37=0,COS(D38*PI()/180)*I37,G37/COS(K37*PI()/180))))</f>
        <v>0</v>
      </c>
      <c r="N37" s="337" t="str">
        <f>IF(C39="","",ROUND(L37,1))</f>
        <v/>
      </c>
      <c r="O37" s="352" t="str">
        <f>IF(C39="","",ROUND(M37,1))</f>
        <v/>
      </c>
      <c r="P37" s="353"/>
      <c r="Q37" s="350"/>
      <c r="R37" s="350"/>
      <c r="S37" s="341"/>
      <c r="T37" s="122" t="s">
        <v>27</v>
      </c>
      <c r="U37" s="358"/>
      <c r="V37" s="356" t="e">
        <f>(O37/P37+U37/60)/24</f>
        <v>#VALUE!</v>
      </c>
      <c r="W37" s="351"/>
      <c r="X37" s="341"/>
      <c r="Y37" s="344"/>
      <c r="Z37" s="341"/>
      <c r="AA37" s="341"/>
      <c r="AB37" s="56"/>
      <c r="AC37" s="332"/>
      <c r="AD37" s="333"/>
    </row>
    <row r="38" spans="1:30" ht="15" customHeight="1">
      <c r="A38" s="307">
        <v>13</v>
      </c>
      <c r="B38" s="348"/>
      <c r="C38" s="54"/>
      <c r="D38" s="310">
        <f>TRUNC(C38)+((C38-TRUNC(C38))/0.6)</f>
        <v>0</v>
      </c>
      <c r="E38" s="310">
        <f>TRUNC(C39)+((C39-TRUNC(C39))/0.6)</f>
        <v>0</v>
      </c>
      <c r="F38" s="311">
        <f>ROUND(((LOG10(TAN(PI()/4+(D38/2*PI()/180)))*7915.7046)-(3437.7468*((0.0816968^2*SIN(D38*PI()/180))+(0.0816968^4/3*((SIN(D38*PI()/180))^3))+(0.0816968^6/5*((SIN(D38*PI()/180))^5))))),2)</f>
        <v>0</v>
      </c>
      <c r="G38" s="312"/>
      <c r="H38" s="312">
        <f>IF(E38&lt;0,E38+360,E38)</f>
        <v>0</v>
      </c>
      <c r="I38" s="334"/>
      <c r="J38" s="335"/>
      <c r="K38" s="336"/>
      <c r="L38" s="310"/>
      <c r="M38" s="310"/>
      <c r="N38" s="337"/>
      <c r="O38" s="352"/>
      <c r="P38" s="353"/>
      <c r="Q38" s="350" t="str">
        <f>IF(O37="","",Q36+O37)</f>
        <v/>
      </c>
      <c r="R38" s="350" t="str">
        <f>IF(O37="","",R36-O37)</f>
        <v/>
      </c>
      <c r="S38" s="340"/>
      <c r="T38" s="117" t="s">
        <v>25</v>
      </c>
      <c r="U38" s="355"/>
      <c r="V38" s="356"/>
      <c r="W38" s="351" t="str">
        <f t="shared" ref="W38" si="11">IF(P37="","",W36+V37)</f>
        <v/>
      </c>
      <c r="X38" s="340"/>
      <c r="Y38" s="343"/>
      <c r="Z38" s="340"/>
      <c r="AA38" s="340"/>
      <c r="AB38" s="57"/>
      <c r="AC38" s="331"/>
      <c r="AD38" s="333"/>
    </row>
    <row r="39" spans="1:30" ht="15" customHeight="1">
      <c r="A39" s="307"/>
      <c r="B39" s="349"/>
      <c r="C39" s="55"/>
      <c r="D39" s="310"/>
      <c r="E39" s="310"/>
      <c r="F39" s="311"/>
      <c r="G39" s="312">
        <f>ABS(D38-D40)*60</f>
        <v>0</v>
      </c>
      <c r="H39" s="312"/>
      <c r="I39" s="334">
        <f>ABS(H38-H40)*60</f>
        <v>0</v>
      </c>
      <c r="J39" s="335">
        <f>ABS(F38-F40)</f>
        <v>0</v>
      </c>
      <c r="K39" s="336" t="e">
        <f>IF(AND(D38&lt;D40,H38=H40),0,IF(AND(D38&gt;D40,H38=H40),180,IF(AND(D38=D40,H38&lt;H40),90,IF(AND(D38=D40,H38&gt;H40),270,(ATAN(I39/J39)*180/PI())))))</f>
        <v>#DIV/0!</v>
      </c>
      <c r="L39" s="310" t="e">
        <f>IF(OR(K39=0,K39=90,K39=180,K39=270),K39,IF(AND(D38&lt;D40,H38&lt;H40),K39,IF(AND(D38&lt;D40,H38&gt;H40),360-K39,IF(AND(D38&gt;D40,H38&lt;H40),180-K39,IF(AND(D38&gt;D40,H38&gt;H40),180+K39)))))</f>
        <v>#DIV/0!</v>
      </c>
      <c r="M39" s="310">
        <f>(IF(I39=0,G39,IF(G39=0,COS(D40*PI()/180)*I39,G39/COS(K39*PI()/180))))</f>
        <v>0</v>
      </c>
      <c r="N39" s="337" t="str">
        <f>IF(C41="","",ROUND(L39,1))</f>
        <v/>
      </c>
      <c r="O39" s="352" t="str">
        <f>IF(C41="","",ROUND(M39,1))</f>
        <v/>
      </c>
      <c r="P39" s="353"/>
      <c r="Q39" s="350"/>
      <c r="R39" s="350"/>
      <c r="S39" s="341"/>
      <c r="T39" s="122" t="s">
        <v>27</v>
      </c>
      <c r="U39" s="358"/>
      <c r="V39" s="356" t="e">
        <f>(O39/P39+U39/60)/24</f>
        <v>#VALUE!</v>
      </c>
      <c r="W39" s="351"/>
      <c r="X39" s="341"/>
      <c r="Y39" s="344"/>
      <c r="Z39" s="341"/>
      <c r="AA39" s="341"/>
      <c r="AB39" s="56"/>
      <c r="AC39" s="332"/>
      <c r="AD39" s="333"/>
    </row>
    <row r="40" spans="1:30" ht="15" customHeight="1">
      <c r="A40" s="307">
        <v>14</v>
      </c>
      <c r="B40" s="348"/>
      <c r="C40" s="54"/>
      <c r="D40" s="310">
        <f>TRUNC(C40)+((C40-TRUNC(C40))/0.6)</f>
        <v>0</v>
      </c>
      <c r="E40" s="310">
        <f>TRUNC(C41)+((C41-TRUNC(C41))/0.6)</f>
        <v>0</v>
      </c>
      <c r="F40" s="311">
        <f>ROUND(((LOG10(TAN(PI()/4+(D40/2*PI()/180)))*7915.7046)-(3437.7468*((0.0816968^2*SIN(D40*PI()/180))+(0.0816968^4/3*((SIN(D40*PI()/180))^3))+(0.0816968^6/5*((SIN(D40*PI()/180))^5))))),2)</f>
        <v>0</v>
      </c>
      <c r="G40" s="312"/>
      <c r="H40" s="312">
        <f>IF(E40&lt;0,E40+360,E40)</f>
        <v>0</v>
      </c>
      <c r="I40" s="334"/>
      <c r="J40" s="335"/>
      <c r="K40" s="336"/>
      <c r="L40" s="310"/>
      <c r="M40" s="310"/>
      <c r="N40" s="337"/>
      <c r="O40" s="352"/>
      <c r="P40" s="353"/>
      <c r="Q40" s="350" t="str">
        <f>IF(O39="","",Q38+O39)</f>
        <v/>
      </c>
      <c r="R40" s="350" t="str">
        <f>IF(O39="","",R38-O39)</f>
        <v/>
      </c>
      <c r="S40" s="340"/>
      <c r="T40" s="117" t="s">
        <v>26</v>
      </c>
      <c r="U40" s="355"/>
      <c r="V40" s="356"/>
      <c r="W40" s="351" t="str">
        <f t="shared" ref="W40" si="12">IF(P39="","",W38+V39)</f>
        <v/>
      </c>
      <c r="X40" s="340"/>
      <c r="Y40" s="343"/>
      <c r="Z40" s="340"/>
      <c r="AA40" s="340"/>
      <c r="AB40" s="57"/>
      <c r="AC40" s="331"/>
      <c r="AD40" s="333"/>
    </row>
    <row r="41" spans="1:30" ht="15" customHeight="1">
      <c r="A41" s="307"/>
      <c r="B41" s="349"/>
      <c r="C41" s="55"/>
      <c r="D41" s="310"/>
      <c r="E41" s="310"/>
      <c r="F41" s="311"/>
      <c r="G41" s="312">
        <f>ABS(D40-D42)*60</f>
        <v>0</v>
      </c>
      <c r="H41" s="312"/>
      <c r="I41" s="334">
        <f>ABS(H40-H42)*60</f>
        <v>0</v>
      </c>
      <c r="J41" s="335">
        <f>ABS(F40-F42)</f>
        <v>0</v>
      </c>
      <c r="K41" s="336" t="e">
        <f>IF(AND(D40&lt;D42,H40=H42),0,IF(AND(D40&gt;D42,H40=H42),180,IF(AND(D40=D42,H40&lt;H42),90,IF(AND(D40=D42,H40&gt;H42),270,(ATAN(I41/J41)*180/PI())))))</f>
        <v>#DIV/0!</v>
      </c>
      <c r="L41" s="310" t="e">
        <f>IF(OR(K41=0,K41=90,K41=180,K41=270),K41,IF(AND(D40&lt;D42,H40&lt;H42),K41,IF(AND(D40&lt;D42,H40&gt;H42),360-K41,IF(AND(D40&gt;D42,H40&lt;H42),180-K41,IF(AND(D40&gt;D42,H40&gt;H42),180+K41)))))</f>
        <v>#DIV/0!</v>
      </c>
      <c r="M41" s="310">
        <f>(IF(I41=0,G41,IF(G41=0,COS(D42*PI()/180)*I41,G41/COS(K41*PI()/180))))</f>
        <v>0</v>
      </c>
      <c r="N41" s="337" t="str">
        <f>IF(C43="","",ROUND(L41,1))</f>
        <v/>
      </c>
      <c r="O41" s="352" t="str">
        <f>IF(C43="","",ROUND(M41,1))</f>
        <v/>
      </c>
      <c r="P41" s="353"/>
      <c r="Q41" s="350"/>
      <c r="R41" s="350"/>
      <c r="S41" s="341"/>
      <c r="T41" s="122" t="s">
        <v>29</v>
      </c>
      <c r="U41" s="358"/>
      <c r="V41" s="356" t="e">
        <f>(O41/P41+U41/60)/24</f>
        <v>#VALUE!</v>
      </c>
      <c r="W41" s="351"/>
      <c r="X41" s="341"/>
      <c r="Y41" s="344"/>
      <c r="Z41" s="341"/>
      <c r="AA41" s="341"/>
      <c r="AB41" s="56"/>
      <c r="AC41" s="332"/>
      <c r="AD41" s="333"/>
    </row>
    <row r="42" spans="1:30" ht="15" customHeight="1">
      <c r="A42" s="307">
        <v>15</v>
      </c>
      <c r="B42" s="348"/>
      <c r="C42" s="54"/>
      <c r="D42" s="310">
        <f>TRUNC(C42)+((C42-TRUNC(C42))/0.6)</f>
        <v>0</v>
      </c>
      <c r="E42" s="310">
        <f>TRUNC(C43)+((C43-TRUNC(C43))/0.6)</f>
        <v>0</v>
      </c>
      <c r="F42" s="311">
        <f>ROUND(((LOG10(TAN(PI()/4+(D42/2*PI()/180)))*7915.7046)-(3437.7468*((0.0816968^2*SIN(D42*PI()/180))+(0.0816968^4/3*((SIN(D42*PI()/180))^3))+(0.0816968^6/5*((SIN(D42*PI()/180))^5))))),2)</f>
        <v>0</v>
      </c>
      <c r="G42" s="312"/>
      <c r="H42" s="312">
        <f>IF(E42&lt;0,E42+360,E42)</f>
        <v>0</v>
      </c>
      <c r="I42" s="334"/>
      <c r="J42" s="335"/>
      <c r="K42" s="336"/>
      <c r="L42" s="310"/>
      <c r="M42" s="310"/>
      <c r="N42" s="337"/>
      <c r="O42" s="352"/>
      <c r="P42" s="353"/>
      <c r="Q42" s="350" t="str">
        <f>IF(O41="","",Q40+O41)</f>
        <v/>
      </c>
      <c r="R42" s="350" t="str">
        <f>IF(O41="","",R40-O41)</f>
        <v/>
      </c>
      <c r="S42" s="340"/>
      <c r="T42" s="117" t="s">
        <v>26</v>
      </c>
      <c r="U42" s="355"/>
      <c r="V42" s="356"/>
      <c r="W42" s="351" t="str">
        <f t="shared" ref="W42" si="13">IF(P41="","",W40+V41)</f>
        <v/>
      </c>
      <c r="X42" s="340"/>
      <c r="Y42" s="343"/>
      <c r="Z42" s="340"/>
      <c r="AA42" s="340"/>
      <c r="AB42" s="57"/>
      <c r="AC42" s="331"/>
      <c r="AD42" s="333"/>
    </row>
    <row r="43" spans="1:30" ht="15" customHeight="1">
      <c r="A43" s="307"/>
      <c r="B43" s="349"/>
      <c r="C43" s="55"/>
      <c r="D43" s="310"/>
      <c r="E43" s="310"/>
      <c r="F43" s="311"/>
      <c r="G43" s="312">
        <f>ABS(D42-D44)*60</f>
        <v>0</v>
      </c>
      <c r="H43" s="312"/>
      <c r="I43" s="334">
        <f>ABS(H42-H44)*60</f>
        <v>0</v>
      </c>
      <c r="J43" s="335">
        <f>ABS(F42-F44)</f>
        <v>0</v>
      </c>
      <c r="K43" s="336" t="e">
        <f>IF(AND(D42&lt;D44,H42=H44),0,IF(AND(D42&gt;D44,H42=H44),180,IF(AND(D42=D44,H42&lt;H44),90,IF(AND(D42=D44,H42&gt;H44),270,(ATAN(I43/J43)*180/PI())))))</f>
        <v>#DIV/0!</v>
      </c>
      <c r="L43" s="310" t="e">
        <f>IF(OR(K43=0,K43=90,K43=180,K43=270),K43,IF(AND(D42&lt;D44,H42&lt;H44),K43,IF(AND(D42&lt;D44,H42&gt;H44),360-K43,IF(AND(D42&gt;D44,H42&lt;H44),180-K43,IF(AND(D42&gt;D44,H42&gt;H44),180+K43)))))</f>
        <v>#DIV/0!</v>
      </c>
      <c r="M43" s="310">
        <f>(IF(I43=0,G43,IF(G43=0,COS(D44*PI()/180)*I43,G43/COS(K43*PI()/180))))</f>
        <v>0</v>
      </c>
      <c r="N43" s="337" t="str">
        <f>IF(C45="","",ROUND(L43,1))</f>
        <v/>
      </c>
      <c r="O43" s="352" t="str">
        <f>IF(C45="","",ROUND(M43,1))</f>
        <v/>
      </c>
      <c r="P43" s="353"/>
      <c r="Q43" s="350"/>
      <c r="R43" s="350"/>
      <c r="S43" s="341"/>
      <c r="T43" s="122" t="s">
        <v>29</v>
      </c>
      <c r="U43" s="358"/>
      <c r="V43" s="356" t="e">
        <f>(O43/P43+U43/60)/24</f>
        <v>#VALUE!</v>
      </c>
      <c r="W43" s="351"/>
      <c r="X43" s="341"/>
      <c r="Y43" s="344"/>
      <c r="Z43" s="341"/>
      <c r="AA43" s="341"/>
      <c r="AB43" s="56"/>
      <c r="AC43" s="332"/>
      <c r="AD43" s="333"/>
    </row>
    <row r="44" spans="1:30" ht="15" customHeight="1">
      <c r="A44" s="307">
        <v>16</v>
      </c>
      <c r="B44" s="348"/>
      <c r="C44" s="54"/>
      <c r="D44" s="310">
        <f>TRUNC(C44)+((C44-TRUNC(C44))/0.6)</f>
        <v>0</v>
      </c>
      <c r="E44" s="310">
        <f>TRUNC(C45)+((C45-TRUNC(C45))/0.6)</f>
        <v>0</v>
      </c>
      <c r="F44" s="311">
        <f>ROUND(((LOG10(TAN(PI()/4+(D44/2*PI()/180)))*7915.7046)-(3437.7468*((0.0816968^2*SIN(D44*PI()/180))+(0.0816968^4/3*((SIN(D44*PI()/180))^3))+(0.0816968^6/5*((SIN(D44*PI()/180))^5))))),2)</f>
        <v>0</v>
      </c>
      <c r="G44" s="312"/>
      <c r="H44" s="312">
        <f>IF(E44&lt;0,E44+360,E44)</f>
        <v>0</v>
      </c>
      <c r="I44" s="334"/>
      <c r="J44" s="335"/>
      <c r="K44" s="336"/>
      <c r="L44" s="310"/>
      <c r="M44" s="310"/>
      <c r="N44" s="337"/>
      <c r="O44" s="352"/>
      <c r="P44" s="353"/>
      <c r="Q44" s="350" t="str">
        <f>IF(O43="","",Q42+O43)</f>
        <v/>
      </c>
      <c r="R44" s="350" t="str">
        <f>IF(O43="","",R42-O43)</f>
        <v/>
      </c>
      <c r="S44" s="340"/>
      <c r="T44" s="117" t="s">
        <v>25</v>
      </c>
      <c r="U44" s="355"/>
      <c r="V44" s="356"/>
      <c r="W44" s="351" t="str">
        <f t="shared" ref="W44" si="14">IF(P43="","",W42+V43)</f>
        <v/>
      </c>
      <c r="X44" s="340"/>
      <c r="Y44" s="343"/>
      <c r="Z44" s="340"/>
      <c r="AA44" s="340"/>
      <c r="AB44" s="57"/>
      <c r="AC44" s="331"/>
      <c r="AD44" s="333"/>
    </row>
    <row r="45" spans="1:30" ht="15" customHeight="1">
      <c r="A45" s="307"/>
      <c r="B45" s="349"/>
      <c r="C45" s="55"/>
      <c r="D45" s="310"/>
      <c r="E45" s="310"/>
      <c r="F45" s="311"/>
      <c r="G45" s="312">
        <f>ABS(D44-D46)*60</f>
        <v>0</v>
      </c>
      <c r="H45" s="312"/>
      <c r="I45" s="334">
        <f>ABS(H44-H46)*60</f>
        <v>0</v>
      </c>
      <c r="J45" s="335">
        <f>ABS(F44-F46)</f>
        <v>0</v>
      </c>
      <c r="K45" s="336" t="e">
        <f>IF(AND(D44&lt;D46,H44=H46),0,IF(AND(D44&gt;D46,H44=H46),180,IF(AND(D44=D46,H44&lt;H46),90,IF(AND(D44=D46,H44&gt;H46),270,(ATAN(I45/J45)*180/PI())))))</f>
        <v>#DIV/0!</v>
      </c>
      <c r="L45" s="310" t="e">
        <f>IF(OR(K45=0,K45=90,K45=180,K45=270),K45,IF(AND(D44&lt;D46,H44&lt;H46),K45,IF(AND(D44&lt;D46,H44&gt;H46),360-K45,IF(AND(D44&gt;D46,H44&lt;H46),180-K45,IF(AND(D44&gt;D46,H44&gt;H46),180+K45)))))</f>
        <v>#DIV/0!</v>
      </c>
      <c r="M45" s="310">
        <f>(IF(I45=0,G45,IF(G45=0,COS(D46*PI()/180)*I45,G45/COS(K45*PI()/180))))</f>
        <v>0</v>
      </c>
      <c r="N45" s="337" t="str">
        <f>IF(C47="","",ROUND(L45,1))</f>
        <v/>
      </c>
      <c r="O45" s="352" t="str">
        <f>IF(C47="","",ROUND(M45,1))</f>
        <v/>
      </c>
      <c r="P45" s="353"/>
      <c r="Q45" s="350"/>
      <c r="R45" s="350"/>
      <c r="S45" s="341"/>
      <c r="T45" s="122" t="s">
        <v>27</v>
      </c>
      <c r="U45" s="358"/>
      <c r="V45" s="356" t="e">
        <f>(O45/P45+U45/60)/24</f>
        <v>#VALUE!</v>
      </c>
      <c r="W45" s="351"/>
      <c r="X45" s="341"/>
      <c r="Y45" s="344"/>
      <c r="Z45" s="341"/>
      <c r="AA45" s="341"/>
      <c r="AB45" s="56"/>
      <c r="AC45" s="332"/>
      <c r="AD45" s="333"/>
    </row>
    <row r="46" spans="1:30" ht="15" customHeight="1">
      <c r="A46" s="307">
        <v>17</v>
      </c>
      <c r="B46" s="348"/>
      <c r="C46" s="54"/>
      <c r="D46" s="310">
        <f>TRUNC(C46)+((C46-TRUNC(C46))/0.6)</f>
        <v>0</v>
      </c>
      <c r="E46" s="310">
        <f>TRUNC(C47)+((C47-TRUNC(C47))/0.6)</f>
        <v>0</v>
      </c>
      <c r="F46" s="311">
        <f>ROUND(((LOG10(TAN(PI()/4+(D46/2*PI()/180)))*7915.7046)-(3437.7468*((0.0816968^2*SIN(D46*PI()/180))+(0.0816968^4/3*((SIN(D46*PI()/180))^3))+(0.0816968^6/5*((SIN(D46*PI()/180))^5))))),2)</f>
        <v>0</v>
      </c>
      <c r="G46" s="312"/>
      <c r="H46" s="312">
        <f>IF(E46&lt;0,E46+360,E46)</f>
        <v>0</v>
      </c>
      <c r="I46" s="334"/>
      <c r="J46" s="335"/>
      <c r="K46" s="336"/>
      <c r="L46" s="310"/>
      <c r="M46" s="310"/>
      <c r="N46" s="337"/>
      <c r="O46" s="352"/>
      <c r="P46" s="353"/>
      <c r="Q46" s="350" t="str">
        <f>IF(O45="","",Q44+O45)</f>
        <v/>
      </c>
      <c r="R46" s="350" t="str">
        <f>IF(O45="","",R44-O45)</f>
        <v/>
      </c>
      <c r="S46" s="340"/>
      <c r="T46" s="117" t="s">
        <v>25</v>
      </c>
      <c r="U46" s="355"/>
      <c r="V46" s="356"/>
      <c r="W46" s="351" t="str">
        <f t="shared" ref="W46" si="15">IF(P45="","",W44+V45)</f>
        <v/>
      </c>
      <c r="X46" s="340"/>
      <c r="Y46" s="343"/>
      <c r="Z46" s="340"/>
      <c r="AA46" s="340"/>
      <c r="AB46" s="57"/>
      <c r="AC46" s="331"/>
      <c r="AD46" s="333"/>
    </row>
    <row r="47" spans="1:30" ht="15" customHeight="1">
      <c r="A47" s="307"/>
      <c r="B47" s="349"/>
      <c r="C47" s="55"/>
      <c r="D47" s="310"/>
      <c r="E47" s="310"/>
      <c r="F47" s="311"/>
      <c r="G47" s="312">
        <f>ABS(D46-D48)*60</f>
        <v>0</v>
      </c>
      <c r="H47" s="312"/>
      <c r="I47" s="334">
        <f>ABS(H46-H48)*60</f>
        <v>0</v>
      </c>
      <c r="J47" s="335">
        <f>ABS(F46-F48)</f>
        <v>0</v>
      </c>
      <c r="K47" s="336" t="e">
        <f>IF(AND(D46&lt;D48,H46=H48),0,IF(AND(D46&gt;D48,H46=H48),180,IF(AND(D46=D48,H46&lt;H48),90,IF(AND(D46=D48,H46&gt;H48),270,(ATAN(I47/J47)*180/PI())))))</f>
        <v>#DIV/0!</v>
      </c>
      <c r="L47" s="310" t="e">
        <f>IF(OR(K47=0,K47=90,K47=180,K47=270),K47,IF(AND(D46&lt;D48,H46&lt;H48),K47,IF(AND(D46&lt;D48,H46&gt;H48),360-K47,IF(AND(D46&gt;D48,H46&lt;H48),180-K47,IF(AND(D46&gt;D48,H46&gt;H48),180+K47)))))</f>
        <v>#DIV/0!</v>
      </c>
      <c r="M47" s="310">
        <f>(IF(I47=0,G47,IF(G47=0,COS(D48*PI()/180)*I47,G47/COS(K47*PI()/180))))</f>
        <v>0</v>
      </c>
      <c r="N47" s="337" t="str">
        <f>IF(C49="","",ROUND(L47,1))</f>
        <v/>
      </c>
      <c r="O47" s="352" t="str">
        <f>IF(C49="","",ROUND(M47,1))</f>
        <v/>
      </c>
      <c r="P47" s="353"/>
      <c r="Q47" s="350"/>
      <c r="R47" s="350"/>
      <c r="S47" s="341"/>
      <c r="T47" s="122" t="s">
        <v>22</v>
      </c>
      <c r="U47" s="358"/>
      <c r="V47" s="356" t="e">
        <f>(O47/P47+U47/60)/24</f>
        <v>#VALUE!</v>
      </c>
      <c r="W47" s="351"/>
      <c r="X47" s="341"/>
      <c r="Y47" s="344"/>
      <c r="Z47" s="341"/>
      <c r="AA47" s="341"/>
      <c r="AB47" s="93"/>
      <c r="AC47" s="332"/>
      <c r="AD47" s="333"/>
    </row>
    <row r="48" spans="1:30" ht="15" customHeight="1">
      <c r="A48" s="307">
        <v>18</v>
      </c>
      <c r="B48" s="348"/>
      <c r="C48" s="54"/>
      <c r="D48" s="310">
        <f>TRUNC(C48)+((C48-TRUNC(C48))/0.6)</f>
        <v>0</v>
      </c>
      <c r="E48" s="310">
        <f>TRUNC(C49)+((C49-TRUNC(C49))/0.6)</f>
        <v>0</v>
      </c>
      <c r="F48" s="311">
        <f>ROUND(((LOG10(TAN(PI()/4+(D48/2*PI()/180)))*7915.7046)-(3437.7468*((0.0816968^2*SIN(D48*PI()/180))+(0.0816968^4/3*((SIN(D48*PI()/180))^3))+(0.0816968^6/5*((SIN(D48*PI()/180))^5))))),2)</f>
        <v>0</v>
      </c>
      <c r="G48" s="312"/>
      <c r="H48" s="312">
        <f>IF(E48&lt;0,E48+360,E48)</f>
        <v>0</v>
      </c>
      <c r="I48" s="334"/>
      <c r="J48" s="335"/>
      <c r="K48" s="336"/>
      <c r="L48" s="310"/>
      <c r="M48" s="310"/>
      <c r="N48" s="337"/>
      <c r="O48" s="352"/>
      <c r="P48" s="353"/>
      <c r="Q48" s="350" t="str">
        <f>IF(O47="","",Q46+O47)</f>
        <v/>
      </c>
      <c r="R48" s="350" t="str">
        <f>IF(O47="","",R46-O47)</f>
        <v/>
      </c>
      <c r="S48" s="340"/>
      <c r="T48" s="117" t="s">
        <v>25</v>
      </c>
      <c r="U48" s="355"/>
      <c r="V48" s="356"/>
      <c r="W48" s="351" t="str">
        <f>IF(P47="","",W46+V47)</f>
        <v/>
      </c>
      <c r="X48" s="340"/>
      <c r="Y48" s="343"/>
      <c r="Z48" s="340"/>
      <c r="AA48" s="340"/>
      <c r="AB48" s="57"/>
      <c r="AC48" s="331"/>
      <c r="AD48" s="333"/>
    </row>
    <row r="49" spans="1:30" ht="15" customHeight="1">
      <c r="A49" s="307"/>
      <c r="B49" s="349"/>
      <c r="C49" s="55"/>
      <c r="D49" s="310"/>
      <c r="E49" s="310"/>
      <c r="F49" s="311"/>
      <c r="G49" s="364">
        <f>ABS(D48-D50)*60</f>
        <v>0</v>
      </c>
      <c r="H49" s="312"/>
      <c r="I49" s="368">
        <f>ABS(H48-H50)*60</f>
        <v>0</v>
      </c>
      <c r="J49" s="370">
        <f>ABS(F48-F50)</f>
        <v>0</v>
      </c>
      <c r="K49" s="372" t="e">
        <f>IF(AND(D48&lt;D50,H48=H50),0,IF(AND(D48&gt;D50,H48=H50),180,IF(AND(D48=D50,H48&lt;H50),90,IF(AND(D48=D50,H48&gt;H50),270,(ATAN(I49/J49)*180/PI())))))</f>
        <v>#DIV/0!</v>
      </c>
      <c r="L49" s="360" t="e">
        <f>IF(OR(K49=0,K49=90,K49=180,K49=270),K49,IF(AND(D48&lt;D50,H48&lt;H50),K49,IF(AND(D48&lt;D50,H48&gt;H50),360-K49,IF(AND(D48&gt;D50,H48&lt;H50),180-K49,IF(AND(D48&gt;D50,H48&gt;H50),180+K49)))))</f>
        <v>#DIV/0!</v>
      </c>
      <c r="M49" s="360">
        <f>(IF(I49=0,G49,IF(G49=0,COS(D50*PI()/180)*I49,G49/COS(K49*PI()/180))))</f>
        <v>0</v>
      </c>
      <c r="N49" s="374" t="str">
        <f>IF(C51="","",ROUND(L49,1))</f>
        <v/>
      </c>
      <c r="O49" s="376" t="str">
        <f>IF(C51="","",ROUND(M49,1))</f>
        <v/>
      </c>
      <c r="P49" s="378"/>
      <c r="Q49" s="350"/>
      <c r="R49" s="350"/>
      <c r="S49" s="341"/>
      <c r="T49" s="122" t="s">
        <v>23</v>
      </c>
      <c r="U49" s="358"/>
      <c r="V49" s="359" t="e">
        <f>(O49/P49+U49/60)/24</f>
        <v>#VALUE!</v>
      </c>
      <c r="W49" s="351"/>
      <c r="X49" s="341"/>
      <c r="Y49" s="344"/>
      <c r="Z49" s="341"/>
      <c r="AA49" s="341"/>
      <c r="AB49" s="93"/>
      <c r="AC49" s="332"/>
      <c r="AD49" s="333"/>
    </row>
    <row r="50" spans="1:30" ht="15" customHeight="1">
      <c r="A50" s="307">
        <v>19</v>
      </c>
      <c r="B50" s="348"/>
      <c r="C50" s="54"/>
      <c r="D50" s="360">
        <f>TRUNC(C50)+((C50-TRUNC(C50))/0.6)</f>
        <v>0</v>
      </c>
      <c r="E50" s="360">
        <f>TRUNC(C51)+((C51-TRUNC(C51))/0.6)</f>
        <v>0</v>
      </c>
      <c r="F50" s="362">
        <f>ROUND(((LOG10(TAN(PI()/4+(D50/2*PI()/180)))*7915.7046)-(3437.7468*((0.0816968^2*SIN(D50*PI()/180))+(0.0816968^4/3*((SIN(D50*PI()/180))^3))+(0.0816968^6/5*((SIN(D50*PI()/180))^5))))),2)</f>
        <v>0</v>
      </c>
      <c r="G50" s="364"/>
      <c r="H50" s="364">
        <f>IF(E50&lt;0,E50+360,E50)</f>
        <v>0</v>
      </c>
      <c r="I50" s="369"/>
      <c r="J50" s="371"/>
      <c r="K50" s="373"/>
      <c r="L50" s="361"/>
      <c r="M50" s="361"/>
      <c r="N50" s="375"/>
      <c r="O50" s="377"/>
      <c r="P50" s="379"/>
      <c r="Q50" s="366" t="str">
        <f>IF(O49="","",Q48+O49)</f>
        <v/>
      </c>
      <c r="R50" s="366" t="str">
        <f>IF(O49="","",R48-O49)</f>
        <v/>
      </c>
      <c r="S50" s="340"/>
      <c r="T50" s="117"/>
      <c r="U50" s="355"/>
      <c r="V50" s="359"/>
      <c r="W50" s="351" t="str">
        <f t="shared" ref="W50" si="16">IF(P49="","",W48+V49)</f>
        <v/>
      </c>
      <c r="X50" s="340"/>
      <c r="Y50" s="340"/>
      <c r="Z50" s="340"/>
      <c r="AA50" s="340"/>
      <c r="AB50" s="57"/>
      <c r="AC50" s="331"/>
      <c r="AD50" s="333"/>
    </row>
    <row r="51" spans="1:30" ht="15" customHeight="1">
      <c r="A51" s="307"/>
      <c r="B51" s="349"/>
      <c r="C51" s="55"/>
      <c r="D51" s="361"/>
      <c r="E51" s="361"/>
      <c r="F51" s="363"/>
      <c r="G51" s="128"/>
      <c r="H51" s="365"/>
      <c r="I51" s="128"/>
      <c r="J51" s="128"/>
      <c r="K51" s="128"/>
      <c r="L51" s="128"/>
      <c r="M51" s="128"/>
      <c r="N51" s="114"/>
      <c r="O51" s="115"/>
      <c r="P51" s="116"/>
      <c r="Q51" s="367"/>
      <c r="R51" s="367"/>
      <c r="S51" s="340"/>
      <c r="T51" s="122"/>
      <c r="U51" s="129"/>
      <c r="V51" s="118"/>
      <c r="W51" s="351"/>
      <c r="X51" s="341"/>
      <c r="Y51" s="340"/>
      <c r="Z51" s="341"/>
      <c r="AA51" s="341"/>
      <c r="AB51" s="56"/>
      <c r="AC51" s="332"/>
      <c r="AD51" s="333"/>
    </row>
    <row r="52" spans="1:30" s="94" customFormat="1" ht="0.75" hidden="1" customHeight="1">
      <c r="A52" s="130" t="s">
        <v>8</v>
      </c>
      <c r="B52" s="387" t="s">
        <v>62</v>
      </c>
      <c r="C52" s="131">
        <v>35.03</v>
      </c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3" t="s">
        <v>9</v>
      </c>
      <c r="Q52" s="134">
        <f>Q1</f>
        <v>0</v>
      </c>
      <c r="R52" s="135"/>
      <c r="S52" s="135"/>
      <c r="T52" s="133">
        <f>T1</f>
        <v>0</v>
      </c>
      <c r="U52" s="136"/>
      <c r="V52" s="132"/>
      <c r="W52" s="137"/>
      <c r="X52" s="164"/>
      <c r="Y52" s="164"/>
      <c r="Z52" s="164"/>
      <c r="AA52" s="164"/>
      <c r="AB52" s="164"/>
      <c r="AC52" s="51"/>
      <c r="AD52" s="18"/>
    </row>
    <row r="53" spans="1:30" s="94" customFormat="1" ht="7.5" hidden="1" customHeight="1">
      <c r="B53" s="388"/>
      <c r="C53" s="140">
        <v>136.51</v>
      </c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2"/>
      <c r="O53" s="142"/>
      <c r="P53" s="143" t="s">
        <v>10</v>
      </c>
      <c r="Q53" s="144">
        <f>Q2</f>
        <v>0</v>
      </c>
      <c r="R53" s="145"/>
      <c r="S53" s="146"/>
      <c r="T53" s="133">
        <f>T2</f>
        <v>0</v>
      </c>
      <c r="U53" s="147"/>
      <c r="V53" s="148"/>
      <c r="W53" s="149"/>
      <c r="X53" s="165"/>
      <c r="Y53" s="165"/>
      <c r="Z53" s="165"/>
      <c r="AA53" s="165"/>
      <c r="AB53" s="165"/>
      <c r="AC53" s="165"/>
      <c r="AD53" s="166"/>
    </row>
    <row r="54" spans="1:30" s="94" customFormat="1" ht="5.25" hidden="1" customHeight="1">
      <c r="A54" s="151" t="e">
        <f>#REF!</f>
        <v>#REF!</v>
      </c>
      <c r="B54" s="151"/>
      <c r="C54" s="15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52"/>
      <c r="O54" s="153"/>
      <c r="P54" s="153"/>
      <c r="Q54" s="154"/>
      <c r="R54" s="154"/>
      <c r="S54" s="132"/>
      <c r="T54" s="132"/>
      <c r="U54" s="136"/>
      <c r="V54" s="155"/>
      <c r="W54" s="137"/>
      <c r="X54" s="164"/>
      <c r="Y54" s="164"/>
      <c r="Z54" s="164"/>
      <c r="AA54" s="164"/>
      <c r="AB54" s="164"/>
      <c r="AC54" s="164"/>
      <c r="AD54" s="167" t="e">
        <f>#REF!</f>
        <v>#REF!</v>
      </c>
    </row>
    <row r="55" spans="1:30" ht="24.95" customHeight="1">
      <c r="A55" s="322" t="s">
        <v>11</v>
      </c>
      <c r="B55" s="325" t="s">
        <v>216</v>
      </c>
      <c r="C55" s="325" t="s">
        <v>33</v>
      </c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326" t="s">
        <v>210</v>
      </c>
      <c r="O55" s="327" t="s">
        <v>5</v>
      </c>
      <c r="P55" s="327" t="s">
        <v>13</v>
      </c>
      <c r="Q55" s="329" t="s">
        <v>14</v>
      </c>
      <c r="R55" s="329" t="s">
        <v>6</v>
      </c>
      <c r="S55" s="319" t="s">
        <v>211</v>
      </c>
      <c r="T55" s="102" t="s">
        <v>33</v>
      </c>
      <c r="U55" s="314" t="s">
        <v>15</v>
      </c>
      <c r="V55" s="103"/>
      <c r="W55" s="316" t="s">
        <v>224</v>
      </c>
      <c r="X55" s="380" t="s">
        <v>212</v>
      </c>
      <c r="Y55" s="380" t="s">
        <v>213</v>
      </c>
      <c r="Z55" s="380" t="s">
        <v>225</v>
      </c>
      <c r="AA55" s="380" t="s">
        <v>214</v>
      </c>
      <c r="AB55" s="380" t="s">
        <v>37</v>
      </c>
      <c r="AC55" s="380" t="s">
        <v>215</v>
      </c>
      <c r="AD55" s="383" t="s">
        <v>38</v>
      </c>
    </row>
    <row r="56" spans="1:30" s="107" customFormat="1" ht="24.95" customHeight="1">
      <c r="A56" s="323"/>
      <c r="B56" s="325"/>
      <c r="C56" s="325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326"/>
      <c r="O56" s="328"/>
      <c r="P56" s="328"/>
      <c r="Q56" s="330"/>
      <c r="R56" s="330"/>
      <c r="S56" s="319"/>
      <c r="T56" s="102" t="s">
        <v>39</v>
      </c>
      <c r="U56" s="315"/>
      <c r="V56" s="103"/>
      <c r="W56" s="317"/>
      <c r="X56" s="381"/>
      <c r="Y56" s="381"/>
      <c r="Z56" s="381"/>
      <c r="AA56" s="381"/>
      <c r="AB56" s="381"/>
      <c r="AC56" s="381"/>
      <c r="AD56" s="384"/>
    </row>
    <row r="57" spans="1:30" ht="24.95" customHeight="1">
      <c r="A57" s="323"/>
      <c r="B57" s="325"/>
      <c r="C57" s="325"/>
      <c r="D57" s="100" t="s">
        <v>17</v>
      </c>
      <c r="E57" s="100" t="s">
        <v>18</v>
      </c>
      <c r="F57" s="105" t="s">
        <v>0</v>
      </c>
      <c r="G57" s="105" t="s">
        <v>1</v>
      </c>
      <c r="H57" s="105" t="s">
        <v>19</v>
      </c>
      <c r="I57" s="106" t="s">
        <v>2</v>
      </c>
      <c r="J57" s="105" t="s">
        <v>3</v>
      </c>
      <c r="K57" s="105"/>
      <c r="L57" s="105" t="s">
        <v>20</v>
      </c>
      <c r="M57" s="105" t="s">
        <v>21</v>
      </c>
      <c r="N57" s="326"/>
      <c r="O57" s="328"/>
      <c r="P57" s="328"/>
      <c r="Q57" s="330"/>
      <c r="R57" s="330"/>
      <c r="S57" s="319"/>
      <c r="T57" s="102" t="s">
        <v>44</v>
      </c>
      <c r="U57" s="315"/>
      <c r="V57" s="103"/>
      <c r="W57" s="317"/>
      <c r="X57" s="381"/>
      <c r="Y57" s="381"/>
      <c r="Z57" s="381"/>
      <c r="AA57" s="381"/>
      <c r="AB57" s="381"/>
      <c r="AC57" s="381"/>
      <c r="AD57" s="384"/>
    </row>
    <row r="58" spans="1:30" ht="24.75" customHeight="1">
      <c r="A58" s="324"/>
      <c r="B58" s="325"/>
      <c r="C58" s="325"/>
      <c r="D58" s="101"/>
      <c r="E58" s="101"/>
      <c r="F58" s="108"/>
      <c r="G58" s="108"/>
      <c r="H58" s="108"/>
      <c r="I58" s="109"/>
      <c r="J58" s="108"/>
      <c r="K58" s="108"/>
      <c r="L58" s="108"/>
      <c r="M58" s="108"/>
      <c r="N58" s="326"/>
      <c r="O58" s="328"/>
      <c r="P58" s="328"/>
      <c r="Q58" s="330"/>
      <c r="R58" s="330"/>
      <c r="S58" s="320"/>
      <c r="T58" s="110" t="s">
        <v>47</v>
      </c>
      <c r="U58" s="315"/>
      <c r="V58" s="103"/>
      <c r="W58" s="317"/>
      <c r="X58" s="382"/>
      <c r="Y58" s="382"/>
      <c r="Z58" s="382"/>
      <c r="AA58" s="382"/>
      <c r="AB58" s="382"/>
      <c r="AC58" s="382"/>
      <c r="AD58" s="385"/>
    </row>
    <row r="59" spans="1:30" ht="22.5" customHeight="1">
      <c r="A59" s="386">
        <v>19</v>
      </c>
      <c r="B59" s="400">
        <f>B50</f>
        <v>0</v>
      </c>
      <c r="C59" s="124">
        <f>C50</f>
        <v>0</v>
      </c>
      <c r="D59" s="310">
        <f>TRUNC(C59)+((C59-TRUNC(C59))/0.6)</f>
        <v>0</v>
      </c>
      <c r="E59" s="310">
        <f>TRUNC(C60)+((C60-TRUNC(C60))/0.6)</f>
        <v>0</v>
      </c>
      <c r="F59" s="311">
        <f>ROUND(((LOG10(TAN(PI()/4+(D59/2*PI()/180)))*7915.7046)-(3437.7468*((0.0816968^2*SIN(D59*PI()/180))+(0.0816968^4/3*((SIN(D59*PI()/180))^3))+(0.0816968^6/5*((SIN(D59*PI()/180))^5))))),2)</f>
        <v>0</v>
      </c>
      <c r="G59" s="112"/>
      <c r="H59" s="312">
        <f>IF(E59&lt;0,E59+360,E59)</f>
        <v>0</v>
      </c>
      <c r="I59" s="113"/>
      <c r="J59" s="112"/>
      <c r="K59" s="112"/>
      <c r="L59" s="112"/>
      <c r="M59" s="112"/>
      <c r="N59" s="121" t="str">
        <f>N49</f>
        <v/>
      </c>
      <c r="O59" s="121" t="str">
        <f>O49</f>
        <v/>
      </c>
      <c r="P59" s="156">
        <f>P49</f>
        <v>0</v>
      </c>
      <c r="Q59" s="350" t="str">
        <f>Q50</f>
        <v/>
      </c>
      <c r="R59" s="350" t="str">
        <f>R50</f>
        <v/>
      </c>
      <c r="S59" s="340"/>
      <c r="T59" s="117" t="s">
        <v>7</v>
      </c>
      <c r="U59" s="129"/>
      <c r="V59" s="118"/>
      <c r="W59" s="390" t="str">
        <f>W50</f>
        <v/>
      </c>
      <c r="X59" s="340"/>
      <c r="Y59" s="340"/>
      <c r="Z59" s="340"/>
      <c r="AA59" s="340"/>
      <c r="AB59" s="57"/>
      <c r="AC59" s="331"/>
      <c r="AD59" s="389"/>
    </row>
    <row r="60" spans="1:30" ht="15" customHeight="1">
      <c r="A60" s="386"/>
      <c r="B60" s="401"/>
      <c r="C60" s="125">
        <f>C51</f>
        <v>0</v>
      </c>
      <c r="D60" s="310"/>
      <c r="E60" s="310"/>
      <c r="F60" s="311"/>
      <c r="G60" s="312">
        <f>ABS(D59-D61)*60</f>
        <v>0</v>
      </c>
      <c r="H60" s="312"/>
      <c r="I60" s="334">
        <f>ABS(H59-H61)*60</f>
        <v>0</v>
      </c>
      <c r="J60" s="335">
        <f>ABS(F59-F61)</f>
        <v>0</v>
      </c>
      <c r="K60" s="336" t="e">
        <f>IF(AND(D59&lt;D61,H59=H61),0,IF(AND(D59&gt;D61,H59=H61),180,IF(AND(D59=D61,H59&lt;H61),90,IF(AND(D59=D61,H59&gt;H61),270,(ATAN(I60/J60)*180/PI())))))</f>
        <v>#DIV/0!</v>
      </c>
      <c r="L60" s="310" t="e">
        <f>IF(OR(K60=0,K60=90,K60=180,K60=270),K60,IF(AND(D59&lt;D61,H59&lt;H61),K60,IF(AND(D59&lt;D61,H59&gt;H61),360-K60,IF(AND(D59&gt;D61,H59&lt;H61),180-K60,IF(AND(D59&gt;D61,H59&gt;H61),180+K60)))))</f>
        <v>#DIV/0!</v>
      </c>
      <c r="M60" s="310">
        <f>(IF(I60=0,G60,IF(G60=0,COS(D61*PI()/180)*I60,G60/COS(K60*PI()/180))))</f>
        <v>0</v>
      </c>
      <c r="N60" s="337" t="str">
        <f>IF(C62="","",ROUND(L60,1))</f>
        <v/>
      </c>
      <c r="O60" s="352" t="str">
        <f>IF(C62="","",ROUND(M60,1))</f>
        <v/>
      </c>
      <c r="P60" s="353"/>
      <c r="Q60" s="350"/>
      <c r="R60" s="350"/>
      <c r="S60" s="341"/>
      <c r="T60" s="122" t="s">
        <v>23</v>
      </c>
      <c r="U60" s="358"/>
      <c r="V60" s="356" t="e">
        <f>(O60/P60+U60/60)/24</f>
        <v>#VALUE!</v>
      </c>
      <c r="W60" s="391"/>
      <c r="X60" s="341"/>
      <c r="Y60" s="340"/>
      <c r="Z60" s="341"/>
      <c r="AA60" s="341"/>
      <c r="AB60" s="56"/>
      <c r="AC60" s="332"/>
      <c r="AD60" s="389"/>
    </row>
    <row r="61" spans="1:30" ht="15" customHeight="1">
      <c r="A61" s="386">
        <v>20</v>
      </c>
      <c r="B61" s="392"/>
      <c r="C61" s="54"/>
      <c r="D61" s="310">
        <f>TRUNC(C61)+((C61-TRUNC(C61))/0.6)</f>
        <v>0</v>
      </c>
      <c r="E61" s="310">
        <f>TRUNC(C62)+((C62-TRUNC(C62))/0.6)</f>
        <v>0</v>
      </c>
      <c r="F61" s="311">
        <f>ROUND(((LOG10(TAN(PI()/4+(D61/2*PI()/180)))*7915.7046)-(3437.7468*((0.0816968^2*SIN(D61*PI()/180))+(0.0816968^4/3*((SIN(D61*PI()/180))^3))+(0.0816968^6/5*((SIN(D61*PI()/180))^5))))),2)</f>
        <v>0</v>
      </c>
      <c r="G61" s="312"/>
      <c r="H61" s="312">
        <f>IF(E61&lt;0,E61+360,E61)</f>
        <v>0</v>
      </c>
      <c r="I61" s="334"/>
      <c r="J61" s="335"/>
      <c r="K61" s="336"/>
      <c r="L61" s="310"/>
      <c r="M61" s="310"/>
      <c r="N61" s="337"/>
      <c r="O61" s="352"/>
      <c r="P61" s="353"/>
      <c r="Q61" s="350" t="str">
        <f>IF(O60="","",Q59+O60)</f>
        <v/>
      </c>
      <c r="R61" s="350" t="str">
        <f>IF(O60="","",R59-O60)</f>
        <v/>
      </c>
      <c r="S61" s="340"/>
      <c r="T61" s="117" t="s">
        <v>7</v>
      </c>
      <c r="U61" s="355"/>
      <c r="V61" s="356"/>
      <c r="W61" s="351" t="str">
        <f>IF(P60="","",W59+V60)</f>
        <v/>
      </c>
      <c r="X61" s="340"/>
      <c r="Y61" s="340"/>
      <c r="Z61" s="340"/>
      <c r="AA61" s="340"/>
      <c r="AB61" s="57"/>
      <c r="AC61" s="331"/>
      <c r="AD61" s="389"/>
    </row>
    <row r="62" spans="1:30" ht="15" customHeight="1">
      <c r="A62" s="386"/>
      <c r="B62" s="392"/>
      <c r="C62" s="55"/>
      <c r="D62" s="310"/>
      <c r="E62" s="310"/>
      <c r="F62" s="311"/>
      <c r="G62" s="312">
        <f>ABS(D61-D63)*60</f>
        <v>0</v>
      </c>
      <c r="H62" s="312"/>
      <c r="I62" s="334">
        <f>ABS(H61-H63)*60</f>
        <v>0</v>
      </c>
      <c r="J62" s="335">
        <f>ABS(F61-F63)</f>
        <v>0</v>
      </c>
      <c r="K62" s="336" t="e">
        <f>IF(AND(D61&lt;D63,H61=H63),0,IF(AND(D61&gt;D63,H61=H63),180,IF(AND(D61=D63,H61&lt;H63),90,IF(AND(D61=D63,H61&gt;H63),270,(ATAN(I62/J62)*180/PI())))))</f>
        <v>#DIV/0!</v>
      </c>
      <c r="L62" s="310" t="e">
        <f>IF(OR(K62=0,K62=90,K62=180,K62=270),K62,IF(AND(D61&lt;D63,H61&lt;H63),K62,IF(AND(D61&lt;D63,H61&gt;H63),360-K62,IF(AND(D61&gt;D63,H61&lt;H63),180-K62,IF(AND(D61&gt;D63,H61&gt;H63),180+K62)))))</f>
        <v>#DIV/0!</v>
      </c>
      <c r="M62" s="310">
        <f>(IF(I62=0,G62,IF(G62=0,COS(D63*PI()/180)*I62,G62/COS(K62*PI()/180))))</f>
        <v>0</v>
      </c>
      <c r="N62" s="337" t="str">
        <f>IF(C64="","",ROUND(L62,1))</f>
        <v/>
      </c>
      <c r="O62" s="352" t="str">
        <f>IF(C64="","",ROUND(M62,1))</f>
        <v/>
      </c>
      <c r="P62" s="353"/>
      <c r="Q62" s="350"/>
      <c r="R62" s="350"/>
      <c r="S62" s="341"/>
      <c r="T62" s="122" t="s">
        <v>23</v>
      </c>
      <c r="U62" s="358"/>
      <c r="V62" s="356" t="e">
        <f>(O62/P62+U62/60)/24</f>
        <v>#VALUE!</v>
      </c>
      <c r="W62" s="351"/>
      <c r="X62" s="341"/>
      <c r="Y62" s="340"/>
      <c r="Z62" s="341"/>
      <c r="AA62" s="341"/>
      <c r="AB62" s="56"/>
      <c r="AC62" s="332"/>
      <c r="AD62" s="389"/>
    </row>
    <row r="63" spans="1:30" ht="15" customHeight="1">
      <c r="A63" s="386">
        <v>21</v>
      </c>
      <c r="B63" s="392"/>
      <c r="C63" s="54"/>
      <c r="D63" s="310">
        <f>TRUNC(C63)+((C63-TRUNC(C63))/0.6)</f>
        <v>0</v>
      </c>
      <c r="E63" s="310">
        <f>TRUNC(C64)+((C64-TRUNC(C64))/0.6)</f>
        <v>0</v>
      </c>
      <c r="F63" s="311">
        <f>ROUND(((LOG10(TAN(PI()/4+(D63/2*PI()/180)))*7915.7046)-(3437.7468*((0.0816968^2*SIN(D63*PI()/180))+(0.0816968^4/3*((SIN(D63*PI()/180))^3))+(0.0816968^6/5*((SIN(D63*PI()/180))^5))))),2)</f>
        <v>0</v>
      </c>
      <c r="G63" s="312"/>
      <c r="H63" s="312">
        <f>IF(E63&lt;0,E63+360,E63)</f>
        <v>0</v>
      </c>
      <c r="I63" s="334"/>
      <c r="J63" s="335"/>
      <c r="K63" s="336"/>
      <c r="L63" s="310"/>
      <c r="M63" s="310"/>
      <c r="N63" s="337"/>
      <c r="O63" s="352"/>
      <c r="P63" s="353"/>
      <c r="Q63" s="350" t="str">
        <f>IF(O62="","",Q61+O62)</f>
        <v/>
      </c>
      <c r="R63" s="350" t="str">
        <f>IF(O62="","",R61-O62)</f>
        <v/>
      </c>
      <c r="S63" s="340"/>
      <c r="T63" s="117" t="s">
        <v>7</v>
      </c>
      <c r="U63" s="355"/>
      <c r="V63" s="356"/>
      <c r="W63" s="351" t="str">
        <f>IF(P62="","",W61+V62)</f>
        <v/>
      </c>
      <c r="X63" s="340"/>
      <c r="Y63" s="340"/>
      <c r="Z63" s="340"/>
      <c r="AA63" s="340"/>
      <c r="AB63" s="57"/>
      <c r="AC63" s="331"/>
      <c r="AD63" s="389"/>
    </row>
    <row r="64" spans="1:30" ht="15" customHeight="1">
      <c r="A64" s="386"/>
      <c r="B64" s="392"/>
      <c r="C64" s="55"/>
      <c r="D64" s="310"/>
      <c r="E64" s="310"/>
      <c r="F64" s="311"/>
      <c r="G64" s="312">
        <f>ABS(D63-D65)*60</f>
        <v>0</v>
      </c>
      <c r="H64" s="312"/>
      <c r="I64" s="334">
        <f>ABS(H63-H65)*60</f>
        <v>0</v>
      </c>
      <c r="J64" s="335">
        <f>ABS(F63-F65)</f>
        <v>0</v>
      </c>
      <c r="K64" s="336" t="e">
        <f>IF(AND(D63&lt;D65,H63=H65),0,IF(AND(D63&gt;D65,H63=H65),180,IF(AND(D63=D65,H63&lt;H65),90,IF(AND(D63=D65,H63&gt;H65),270,(ATAN(I64/J64)*180/PI())))))</f>
        <v>#DIV/0!</v>
      </c>
      <c r="L64" s="310" t="e">
        <f>IF(OR(K64=0,K64=90,K64=180,K64=270),K64,IF(AND(D63&lt;D65,H63&lt;H65),K64,IF(AND(D63&lt;D65,H63&gt;H65),360-K64,IF(AND(D63&gt;D65,H63&lt;H65),180-K64,IF(AND(D63&gt;D65,H63&gt;H65),180+K64)))))</f>
        <v>#DIV/0!</v>
      </c>
      <c r="M64" s="310">
        <f>(IF(I64=0,G64,IF(G64=0,COS(D65*PI()/180)*I64,G64/COS(K64*PI()/180))))</f>
        <v>0</v>
      </c>
      <c r="N64" s="337" t="str">
        <f>IF(C66="","",ROUND(L64,1))</f>
        <v/>
      </c>
      <c r="O64" s="352" t="str">
        <f>IF(C66="","",ROUND(M64,1))</f>
        <v/>
      </c>
      <c r="P64" s="353"/>
      <c r="Q64" s="350"/>
      <c r="R64" s="350"/>
      <c r="S64" s="341"/>
      <c r="T64" s="122" t="s">
        <v>23</v>
      </c>
      <c r="U64" s="358"/>
      <c r="V64" s="356" t="e">
        <f>(O64/P64+U64/60)/24</f>
        <v>#VALUE!</v>
      </c>
      <c r="W64" s="351"/>
      <c r="X64" s="341"/>
      <c r="Y64" s="340"/>
      <c r="Z64" s="341"/>
      <c r="AA64" s="341"/>
      <c r="AB64" s="56"/>
      <c r="AC64" s="332"/>
      <c r="AD64" s="389"/>
    </row>
    <row r="65" spans="1:30" ht="15" customHeight="1">
      <c r="A65" s="386">
        <v>22</v>
      </c>
      <c r="B65" s="348"/>
      <c r="C65" s="54"/>
      <c r="D65" s="310">
        <f>TRUNC(C65)+((C65-TRUNC(C65))/0.6)</f>
        <v>0</v>
      </c>
      <c r="E65" s="310">
        <f>TRUNC(C66)+((C66-TRUNC(C66))/0.6)</f>
        <v>0</v>
      </c>
      <c r="F65" s="311">
        <f>ROUND(((LOG10(TAN(PI()/4+(D65/2*PI()/180)))*7915.7046)-(3437.7468*((0.0816968^2*SIN(D65*PI()/180))+(0.0816968^4/3*((SIN(D65*PI()/180))^3))+(0.0816968^6/5*((SIN(D65*PI()/180))^5))))),2)</f>
        <v>0</v>
      </c>
      <c r="G65" s="312"/>
      <c r="H65" s="312">
        <f>IF(E65&lt;0,E65+360,E65)</f>
        <v>0</v>
      </c>
      <c r="I65" s="334"/>
      <c r="J65" s="335"/>
      <c r="K65" s="336"/>
      <c r="L65" s="310"/>
      <c r="M65" s="310"/>
      <c r="N65" s="337"/>
      <c r="O65" s="352"/>
      <c r="P65" s="353"/>
      <c r="Q65" s="350" t="str">
        <f>IF(O64="","",Q63+O64)</f>
        <v/>
      </c>
      <c r="R65" s="350" t="str">
        <f>IF(O64="","",R63-O64)</f>
        <v/>
      </c>
      <c r="S65" s="340"/>
      <c r="T65" s="117" t="s">
        <v>7</v>
      </c>
      <c r="U65" s="355"/>
      <c r="V65" s="356"/>
      <c r="W65" s="351" t="str">
        <f>IF(P64="","",W63+V64)</f>
        <v/>
      </c>
      <c r="X65" s="340"/>
      <c r="Y65" s="340"/>
      <c r="Z65" s="340"/>
      <c r="AA65" s="340"/>
      <c r="AB65" s="57"/>
      <c r="AC65" s="331"/>
      <c r="AD65" s="389"/>
    </row>
    <row r="66" spans="1:30" ht="15" customHeight="1">
      <c r="A66" s="386"/>
      <c r="B66" s="349"/>
      <c r="C66" s="55"/>
      <c r="D66" s="310"/>
      <c r="E66" s="310"/>
      <c r="F66" s="311"/>
      <c r="G66" s="312">
        <f>ABS(D65-D67)*60</f>
        <v>0</v>
      </c>
      <c r="H66" s="312"/>
      <c r="I66" s="334">
        <f>ABS(H65-H67)*60</f>
        <v>0</v>
      </c>
      <c r="J66" s="335">
        <f>ABS(F65-F67)</f>
        <v>0</v>
      </c>
      <c r="K66" s="336" t="e">
        <f>IF(AND(D65&lt;D67,H65=H67),0,IF(AND(D65&gt;D67,H65=H67),180,IF(AND(D65=D67,H65&lt;H67),90,IF(AND(D65=D67,H65&gt;H67),270,(ATAN(I66/J66)*180/PI())))))</f>
        <v>#DIV/0!</v>
      </c>
      <c r="L66" s="310" t="e">
        <f>IF(OR(K66=0,K66=90,K66=180,K66=270),K66,IF(AND(D65&lt;D67,H65&lt;H67),K66,IF(AND(D65&lt;D67,H65&gt;H67),360-K66,IF(AND(D65&gt;D67,H65&lt;H67),180-K66,IF(AND(D65&gt;D67,H65&gt;H67),180+K66)))))</f>
        <v>#DIV/0!</v>
      </c>
      <c r="M66" s="310">
        <f>(IF(I66=0,G66,IF(G66=0,COS(D67*PI()/180)*I66,G66/COS(K66*PI()/180))))</f>
        <v>0</v>
      </c>
      <c r="N66" s="337" t="str">
        <f>IF(C68="","",ROUND(L66,1))</f>
        <v/>
      </c>
      <c r="O66" s="352" t="str">
        <f>IF(C68="","",ROUND(M66,1))</f>
        <v/>
      </c>
      <c r="P66" s="353"/>
      <c r="Q66" s="350"/>
      <c r="R66" s="350"/>
      <c r="S66" s="341"/>
      <c r="T66" s="122" t="s">
        <v>23</v>
      </c>
      <c r="U66" s="358"/>
      <c r="V66" s="356" t="e">
        <f>(O66/P66+U66/60)/24</f>
        <v>#VALUE!</v>
      </c>
      <c r="W66" s="351"/>
      <c r="X66" s="341"/>
      <c r="Y66" s="340"/>
      <c r="Z66" s="341"/>
      <c r="AA66" s="341"/>
      <c r="AB66" s="56"/>
      <c r="AC66" s="332"/>
      <c r="AD66" s="389"/>
    </row>
    <row r="67" spans="1:30" ht="15" customHeight="1">
      <c r="A67" s="386">
        <v>23</v>
      </c>
      <c r="B67" s="348"/>
      <c r="C67" s="54"/>
      <c r="D67" s="310">
        <f>TRUNC(C67)+((C67-TRUNC(C67))/0.6)</f>
        <v>0</v>
      </c>
      <c r="E67" s="310">
        <f>TRUNC(C68)+((C68-TRUNC(C68))/0.6)</f>
        <v>0</v>
      </c>
      <c r="F67" s="311">
        <f>ROUND(((LOG10(TAN(PI()/4+(D67/2*PI()/180)))*7915.7046)-(3437.7468*((0.0816968^2*SIN(D67*PI()/180))+(0.0816968^4/3*((SIN(D67*PI()/180))^3))+(0.0816968^6/5*((SIN(D67*PI()/180))^5))))),2)</f>
        <v>0</v>
      </c>
      <c r="G67" s="312"/>
      <c r="H67" s="312">
        <f>IF(E67&lt;0,E67+360,E67)</f>
        <v>0</v>
      </c>
      <c r="I67" s="334"/>
      <c r="J67" s="335"/>
      <c r="K67" s="336"/>
      <c r="L67" s="310"/>
      <c r="M67" s="310"/>
      <c r="N67" s="337"/>
      <c r="O67" s="352"/>
      <c r="P67" s="353"/>
      <c r="Q67" s="350" t="str">
        <f>IF(O66="","",Q65+O66)</f>
        <v/>
      </c>
      <c r="R67" s="350" t="str">
        <f>IF(O66="","",R65-O66)</f>
        <v/>
      </c>
      <c r="S67" s="340"/>
      <c r="T67" s="117" t="s">
        <v>7</v>
      </c>
      <c r="U67" s="355"/>
      <c r="V67" s="356"/>
      <c r="W67" s="351" t="str">
        <f>IF(P66="","",W65+V66)</f>
        <v/>
      </c>
      <c r="X67" s="340"/>
      <c r="Y67" s="340"/>
      <c r="Z67" s="340"/>
      <c r="AA67" s="340"/>
      <c r="AB67" s="57"/>
      <c r="AC67" s="331"/>
      <c r="AD67" s="389"/>
    </row>
    <row r="68" spans="1:30" ht="15" customHeight="1">
      <c r="A68" s="386"/>
      <c r="B68" s="349"/>
      <c r="C68" s="55"/>
      <c r="D68" s="310"/>
      <c r="E68" s="310"/>
      <c r="F68" s="311"/>
      <c r="G68" s="312">
        <f>ABS(D67-D69)*60</f>
        <v>0</v>
      </c>
      <c r="H68" s="312"/>
      <c r="I68" s="334">
        <f>ABS(H67-H69)*60</f>
        <v>0</v>
      </c>
      <c r="J68" s="335">
        <f>ABS(F67-F69)</f>
        <v>0</v>
      </c>
      <c r="K68" s="336" t="e">
        <f>IF(AND(D67&lt;D69,H67=H69),0,IF(AND(D67&gt;D69,H67=H69),180,IF(AND(D67=D69,H67&lt;H69),90,IF(AND(D67=D69,H67&gt;H69),270,(ATAN(I68/J68)*180/PI())))))</f>
        <v>#DIV/0!</v>
      </c>
      <c r="L68" s="310" t="e">
        <f>IF(OR(K68=0,K68=90,K68=180,K68=270),K68,IF(AND(D67&lt;D69,H67&lt;H69),K68,IF(AND(D67&lt;D69,H67&gt;H69),360-K68,IF(AND(D67&gt;D69,H67&lt;H69),180-K68,IF(AND(D67&gt;D69,H67&gt;H69),180+K68)))))</f>
        <v>#DIV/0!</v>
      </c>
      <c r="M68" s="310">
        <f>(IF(I68=0,G68,IF(G68=0,COS(D69*PI()/180)*I68,G68/COS(K68*PI()/180))))</f>
        <v>0</v>
      </c>
      <c r="N68" s="337" t="str">
        <f>IF(C70="","",ROUND(L68,1))</f>
        <v/>
      </c>
      <c r="O68" s="352" t="str">
        <f>IF(C70="","",ROUND(M68,1))</f>
        <v/>
      </c>
      <c r="P68" s="353"/>
      <c r="Q68" s="350"/>
      <c r="R68" s="350"/>
      <c r="S68" s="341"/>
      <c r="T68" s="122" t="s">
        <v>24</v>
      </c>
      <c r="U68" s="358"/>
      <c r="V68" s="356" t="e">
        <f>(O68/P68+U68/60)/24</f>
        <v>#VALUE!</v>
      </c>
      <c r="W68" s="351"/>
      <c r="X68" s="341"/>
      <c r="Y68" s="340"/>
      <c r="Z68" s="341"/>
      <c r="AA68" s="341"/>
      <c r="AB68" s="56"/>
      <c r="AC68" s="332"/>
      <c r="AD68" s="389"/>
    </row>
    <row r="69" spans="1:30" ht="15" customHeight="1">
      <c r="A69" s="386">
        <v>24</v>
      </c>
      <c r="B69" s="348"/>
      <c r="C69" s="54"/>
      <c r="D69" s="310">
        <f>TRUNC(C69)+((C69-TRUNC(C69))/0.6)</f>
        <v>0</v>
      </c>
      <c r="E69" s="310">
        <f>TRUNC(C70)+((C70-TRUNC(C70))/0.6)</f>
        <v>0</v>
      </c>
      <c r="F69" s="311">
        <f>ROUND(((LOG10(TAN(PI()/4+(D69/2*PI()/180)))*7915.7046)-(3437.7468*((0.0816968^2*SIN(D69*PI()/180))+(0.0816968^4/3*((SIN(D69*PI()/180))^3))+(0.0816968^6/5*((SIN(D69*PI()/180))^5))))),2)</f>
        <v>0</v>
      </c>
      <c r="G69" s="312"/>
      <c r="H69" s="312">
        <f>IF(E69&lt;0,E69+360,E69)</f>
        <v>0</v>
      </c>
      <c r="I69" s="334"/>
      <c r="J69" s="335"/>
      <c r="K69" s="336"/>
      <c r="L69" s="310"/>
      <c r="M69" s="310"/>
      <c r="N69" s="337"/>
      <c r="O69" s="352"/>
      <c r="P69" s="353"/>
      <c r="Q69" s="350" t="str">
        <f>IF(O68="","",Q67+O68)</f>
        <v/>
      </c>
      <c r="R69" s="350" t="str">
        <f>IF(O68="","",R67-O68)</f>
        <v/>
      </c>
      <c r="S69" s="340"/>
      <c r="T69" s="117" t="s">
        <v>7</v>
      </c>
      <c r="U69" s="355"/>
      <c r="V69" s="356"/>
      <c r="W69" s="351" t="str">
        <f>IF(P68="","",W67+V68)</f>
        <v/>
      </c>
      <c r="X69" s="340"/>
      <c r="Y69" s="340"/>
      <c r="Z69" s="340"/>
      <c r="AA69" s="340"/>
      <c r="AB69" s="57"/>
      <c r="AC69" s="331"/>
      <c r="AD69" s="389"/>
    </row>
    <row r="70" spans="1:30" ht="15" customHeight="1">
      <c r="A70" s="386"/>
      <c r="B70" s="349"/>
      <c r="C70" s="55"/>
      <c r="D70" s="310"/>
      <c r="E70" s="310"/>
      <c r="F70" s="311"/>
      <c r="G70" s="312">
        <f>ABS(D69-D71)*60</f>
        <v>0</v>
      </c>
      <c r="H70" s="312"/>
      <c r="I70" s="334">
        <f>ABS(H69-H71)*60</f>
        <v>0</v>
      </c>
      <c r="J70" s="335">
        <f>ABS(F69-F71)</f>
        <v>0</v>
      </c>
      <c r="K70" s="336" t="e">
        <f>IF(AND(D69&lt;D71,H69=H71),0,IF(AND(D69&gt;D71,H69=H71),180,IF(AND(D69=D71,H69&lt;H71),90,IF(AND(D69=D71,H69&gt;H71),270,(ATAN(I70/J70)*180/PI())))))</f>
        <v>#DIV/0!</v>
      </c>
      <c r="L70" s="310" t="e">
        <f>IF(OR(K70=0,K70=90,K70=180,K70=270),K70,IF(AND(D69&lt;D71,H69&lt;H71),K70,IF(AND(D69&lt;D71,H69&gt;H71),360-K70,IF(AND(D69&gt;D71,H69&lt;H71),180-K70,IF(AND(D69&gt;D71,H69&gt;H71),180+K70)))))</f>
        <v>#DIV/0!</v>
      </c>
      <c r="M70" s="310">
        <f>(IF(I70=0,G70,IF(G70=0,COS(D71*PI()/180)*I70,G70/COS(K70*PI()/180))))</f>
        <v>0</v>
      </c>
      <c r="N70" s="337" t="str">
        <f>IF(C72="","",ROUND(L70,1))</f>
        <v/>
      </c>
      <c r="O70" s="352" t="str">
        <f>IF(C72="","",ROUND(M70,1))</f>
        <v/>
      </c>
      <c r="P70" s="353"/>
      <c r="Q70" s="350"/>
      <c r="R70" s="350"/>
      <c r="S70" s="341"/>
      <c r="T70" s="122" t="s">
        <v>23</v>
      </c>
      <c r="U70" s="358"/>
      <c r="V70" s="356" t="e">
        <f>(O70/P70+U70/60)/24</f>
        <v>#VALUE!</v>
      </c>
      <c r="W70" s="351"/>
      <c r="X70" s="341"/>
      <c r="Y70" s="340"/>
      <c r="Z70" s="341"/>
      <c r="AA70" s="341"/>
      <c r="AB70" s="56"/>
      <c r="AC70" s="332"/>
      <c r="AD70" s="389"/>
    </row>
    <row r="71" spans="1:30" ht="15" customHeight="1">
      <c r="A71" s="386">
        <v>25</v>
      </c>
      <c r="B71" s="393"/>
      <c r="C71" s="54"/>
      <c r="D71" s="310">
        <f>TRUNC(C71)+((C71-TRUNC(C71))/0.6)</f>
        <v>0</v>
      </c>
      <c r="E71" s="310">
        <f>TRUNC(C72)+((C72-TRUNC(C72))/0.6)</f>
        <v>0</v>
      </c>
      <c r="F71" s="311">
        <f>ROUND(((LOG10(TAN(PI()/4+(D71/2*PI()/180)))*7915.7046)-(3437.7468*((0.0816968^2*SIN(D71*PI()/180))+(0.0816968^4/3*((SIN(D71*PI()/180))^3))+(0.0816968^6/5*((SIN(D71*PI()/180))^5))))),2)</f>
        <v>0</v>
      </c>
      <c r="G71" s="312"/>
      <c r="H71" s="312">
        <f>IF(E71&lt;0,E71+360,E71)</f>
        <v>0</v>
      </c>
      <c r="I71" s="334"/>
      <c r="J71" s="335"/>
      <c r="K71" s="336"/>
      <c r="L71" s="310"/>
      <c r="M71" s="310"/>
      <c r="N71" s="337"/>
      <c r="O71" s="352"/>
      <c r="P71" s="353"/>
      <c r="Q71" s="350" t="str">
        <f>IF(O70="","",Q69+O70)</f>
        <v/>
      </c>
      <c r="R71" s="350" t="str">
        <f>IF(O70="","",R69-O70)</f>
        <v/>
      </c>
      <c r="S71" s="340"/>
      <c r="T71" s="117" t="s">
        <v>25</v>
      </c>
      <c r="U71" s="355"/>
      <c r="V71" s="356"/>
      <c r="W71" s="351" t="str">
        <f>IF(P70="","",W69+V70)</f>
        <v/>
      </c>
      <c r="X71" s="340"/>
      <c r="Y71" s="340"/>
      <c r="Z71" s="340"/>
      <c r="AA71" s="340"/>
      <c r="AB71" s="52"/>
      <c r="AC71" s="331"/>
      <c r="AD71" s="389"/>
    </row>
    <row r="72" spans="1:30" ht="15" customHeight="1">
      <c r="A72" s="386"/>
      <c r="B72" s="393"/>
      <c r="C72" s="55"/>
      <c r="D72" s="310"/>
      <c r="E72" s="310"/>
      <c r="F72" s="311"/>
      <c r="G72" s="312">
        <f>ABS(D71-D73)*60</f>
        <v>0</v>
      </c>
      <c r="H72" s="312"/>
      <c r="I72" s="334">
        <f>ABS(H71-H73)*60</f>
        <v>0</v>
      </c>
      <c r="J72" s="335">
        <f>ABS(F71-F73)</f>
        <v>0</v>
      </c>
      <c r="K72" s="336" t="e">
        <f>IF(AND(D71&lt;D73,H71=H73),0,IF(AND(D71&gt;D73,H71=H73),180,IF(AND(D71=D73,H71&lt;H73),90,IF(AND(D71=D73,H71&gt;H73),270,(ATAN(I72/J72)*180/PI())))))</f>
        <v>#DIV/0!</v>
      </c>
      <c r="L72" s="310" t="e">
        <f>IF(OR(K72=0,K72=90,K72=180,K72=270),K72,IF(AND(D71&lt;D73,H71&lt;H73),K72,IF(AND(D71&lt;D73,H71&gt;H73),360-K72,IF(AND(D71&gt;D73,H71&lt;H73),180-K72,IF(AND(D71&gt;D73,H71&gt;H73),180+K72)))))</f>
        <v>#DIV/0!</v>
      </c>
      <c r="M72" s="310">
        <f>(IF(I72=0,G72,IF(G72=0,COS(D73*PI()/180)*I72,G72/COS(K72*PI()/180))))</f>
        <v>0</v>
      </c>
      <c r="N72" s="337" t="str">
        <f>IF(C74="","",ROUND(L72,1))</f>
        <v/>
      </c>
      <c r="O72" s="352" t="str">
        <f>IF(C74="","",ROUND(M72,1))</f>
        <v/>
      </c>
      <c r="P72" s="353"/>
      <c r="Q72" s="350"/>
      <c r="R72" s="350"/>
      <c r="S72" s="341"/>
      <c r="T72" s="122" t="s">
        <v>24</v>
      </c>
      <c r="U72" s="358"/>
      <c r="V72" s="356" t="e">
        <f>(O72/P72+U72/60)/24</f>
        <v>#VALUE!</v>
      </c>
      <c r="W72" s="351"/>
      <c r="X72" s="341"/>
      <c r="Y72" s="340"/>
      <c r="Z72" s="341"/>
      <c r="AA72" s="341"/>
      <c r="AB72" s="53"/>
      <c r="AC72" s="332"/>
      <c r="AD72" s="389"/>
    </row>
    <row r="73" spans="1:30" ht="15" customHeight="1">
      <c r="A73" s="386">
        <v>26</v>
      </c>
      <c r="B73" s="392"/>
      <c r="C73" s="54"/>
      <c r="D73" s="310">
        <f>TRUNC(C73)+((C73-TRUNC(C73))/0.6)</f>
        <v>0</v>
      </c>
      <c r="E73" s="310">
        <f>TRUNC(C74)+((C74-TRUNC(C74))/0.6)</f>
        <v>0</v>
      </c>
      <c r="F73" s="311">
        <f>ROUND(((LOG10(TAN(PI()/4+(D73/2*PI()/180)))*7915.7046)-(3437.7468*((0.0816968^2*SIN(D73*PI()/180))+(0.0816968^4/3*((SIN(D73*PI()/180))^3))+(0.0816968^6/5*((SIN(D73*PI()/180))^5))))),2)</f>
        <v>0</v>
      </c>
      <c r="G73" s="312"/>
      <c r="H73" s="312">
        <f>IF(E73&lt;0,E73+360,E73)</f>
        <v>0</v>
      </c>
      <c r="I73" s="334"/>
      <c r="J73" s="335"/>
      <c r="K73" s="336"/>
      <c r="L73" s="310"/>
      <c r="M73" s="310"/>
      <c r="N73" s="337"/>
      <c r="O73" s="352"/>
      <c r="P73" s="353"/>
      <c r="Q73" s="350" t="str">
        <f>IF(O72="","",Q71+O72)</f>
        <v/>
      </c>
      <c r="R73" s="350" t="str">
        <f>IF(O72="","",R71-O72)</f>
        <v/>
      </c>
      <c r="S73" s="340"/>
      <c r="T73" s="117" t="s">
        <v>25</v>
      </c>
      <c r="U73" s="355"/>
      <c r="V73" s="356"/>
      <c r="W73" s="351" t="str">
        <f>IF(P72="","",W71+V72)</f>
        <v/>
      </c>
      <c r="X73" s="340"/>
      <c r="Y73" s="340"/>
      <c r="Z73" s="340"/>
      <c r="AA73" s="340"/>
      <c r="AB73" s="52"/>
      <c r="AC73" s="331"/>
      <c r="AD73" s="389"/>
    </row>
    <row r="74" spans="1:30" ht="15" customHeight="1">
      <c r="A74" s="386"/>
      <c r="B74" s="392"/>
      <c r="C74" s="55"/>
      <c r="D74" s="310"/>
      <c r="E74" s="310"/>
      <c r="F74" s="311"/>
      <c r="G74" s="312">
        <f>ABS(D73-D75)*60</f>
        <v>0</v>
      </c>
      <c r="H74" s="312"/>
      <c r="I74" s="334">
        <f>ABS(H73-H75)*60</f>
        <v>0</v>
      </c>
      <c r="J74" s="335">
        <f>ABS(F73-F75)</f>
        <v>0</v>
      </c>
      <c r="K74" s="336" t="e">
        <f>IF(AND(D73&lt;D75,H73=H75),0,IF(AND(D73&gt;D75,H73=H75),180,IF(AND(D73=D75,H73&lt;H75),90,IF(AND(D73=D75,H73&gt;H75),270,(ATAN(I74/J74)*180/PI())))))</f>
        <v>#DIV/0!</v>
      </c>
      <c r="L74" s="310" t="e">
        <f>IF(OR(K74=0,K74=90,K74=180,K74=270),K74,IF(AND(D73&lt;D75,H73&lt;H75),K74,IF(AND(D73&lt;D75,H73&gt;H75),360-K74,IF(AND(D73&gt;D75,H73&lt;H75),180-K74,IF(AND(D73&gt;D75,H73&gt;H75),180+K74)))))</f>
        <v>#DIV/0!</v>
      </c>
      <c r="M74" s="310">
        <f>(IF(I74=0,G74,IF(G74=0,COS(D75*PI()/180)*I74,G74/COS(K74*PI()/180))))</f>
        <v>0</v>
      </c>
      <c r="N74" s="337" t="str">
        <f>IF(C76="","",ROUND(L74,1))</f>
        <v/>
      </c>
      <c r="O74" s="352" t="str">
        <f>IF(C76="","",ROUND(M74,1))</f>
        <v/>
      </c>
      <c r="P74" s="353"/>
      <c r="Q74" s="350"/>
      <c r="R74" s="350"/>
      <c r="S74" s="341"/>
      <c r="T74" s="122" t="s">
        <v>24</v>
      </c>
      <c r="U74" s="358"/>
      <c r="V74" s="356" t="e">
        <f>(O74/P74+U74/60)/24</f>
        <v>#VALUE!</v>
      </c>
      <c r="W74" s="351"/>
      <c r="X74" s="341"/>
      <c r="Y74" s="340"/>
      <c r="Z74" s="341"/>
      <c r="AA74" s="341"/>
      <c r="AB74" s="53"/>
      <c r="AC74" s="332"/>
      <c r="AD74" s="389"/>
    </row>
    <row r="75" spans="1:30" ht="15" customHeight="1">
      <c r="A75" s="386">
        <v>27</v>
      </c>
      <c r="B75" s="392"/>
      <c r="C75" s="54"/>
      <c r="D75" s="310">
        <f>TRUNC(C75)+((C75-TRUNC(C75))/0.6)</f>
        <v>0</v>
      </c>
      <c r="E75" s="310">
        <f>TRUNC(C76)+((C76-TRUNC(C76))/0.6)</f>
        <v>0</v>
      </c>
      <c r="F75" s="311">
        <f>ROUND(((LOG10(TAN(PI()/4+(D75/2*PI()/180)))*7915.7046)-(3437.7468*((0.0816968^2*SIN(D75*PI()/180))+(0.0816968^4/3*((SIN(D75*PI()/180))^3))+(0.0816968^6/5*((SIN(D75*PI()/180))^5))))),2)</f>
        <v>0</v>
      </c>
      <c r="G75" s="312"/>
      <c r="H75" s="312">
        <f>IF(E75&lt;0,E75+360,E75)</f>
        <v>0</v>
      </c>
      <c r="I75" s="334"/>
      <c r="J75" s="335"/>
      <c r="K75" s="336"/>
      <c r="L75" s="310"/>
      <c r="M75" s="310"/>
      <c r="N75" s="337"/>
      <c r="O75" s="352"/>
      <c r="P75" s="353"/>
      <c r="Q75" s="350" t="str">
        <f>IF(O74="","",Q73+O74)</f>
        <v/>
      </c>
      <c r="R75" s="350" t="str">
        <f>IF(O74="","",R73-O74)</f>
        <v/>
      </c>
      <c r="S75" s="340"/>
      <c r="T75" s="117" t="s">
        <v>30</v>
      </c>
      <c r="U75" s="355"/>
      <c r="V75" s="356"/>
      <c r="W75" s="351" t="str">
        <f>IF(P74="","",W73+V74)</f>
        <v/>
      </c>
      <c r="X75" s="340"/>
      <c r="Y75" s="340"/>
      <c r="Z75" s="340"/>
      <c r="AA75" s="340"/>
      <c r="AB75" s="52"/>
      <c r="AC75" s="331"/>
      <c r="AD75" s="389"/>
    </row>
    <row r="76" spans="1:30" ht="15" customHeight="1">
      <c r="A76" s="386"/>
      <c r="B76" s="392"/>
      <c r="C76" s="55"/>
      <c r="D76" s="310"/>
      <c r="E76" s="310"/>
      <c r="F76" s="311"/>
      <c r="G76" s="312">
        <f>ABS(D75-D77)*60</f>
        <v>0</v>
      </c>
      <c r="H76" s="312"/>
      <c r="I76" s="334">
        <f>ABS(H75-H77)*60</f>
        <v>0</v>
      </c>
      <c r="J76" s="335">
        <f>ABS(F75-F77)</f>
        <v>0</v>
      </c>
      <c r="K76" s="336" t="e">
        <f>IF(AND(D75&lt;D77,H75=H77),0,IF(AND(D75&gt;D77,H75=H77),180,IF(AND(D75=D77,H75&lt;H77),90,IF(AND(D75=D77,H75&gt;H77),270,(ATAN(I76/J76)*180/PI())))))</f>
        <v>#DIV/0!</v>
      </c>
      <c r="L76" s="310" t="e">
        <f>IF(OR(K76=0,K76=90,K76=180,K76=270),K76,IF(AND(D75&lt;D77,H75&lt;H77),K76,IF(AND(D75&lt;D77,H75&gt;H77),360-K76,IF(AND(D75&gt;D77,H75&lt;H77),180-K76,IF(AND(D75&gt;D77,H75&gt;H77),180+K76)))))</f>
        <v>#DIV/0!</v>
      </c>
      <c r="M76" s="310">
        <f>(IF(I76=0,G76,IF(G76=0,COS(D77*PI()/180)*I76,G76/COS(K76*PI()/180))))</f>
        <v>0</v>
      </c>
      <c r="N76" s="337" t="str">
        <f>IF(C78="","",ROUND(L76,1))</f>
        <v/>
      </c>
      <c r="O76" s="352" t="str">
        <f>IF(C78="","",ROUND(M76,1))</f>
        <v/>
      </c>
      <c r="P76" s="353"/>
      <c r="Q76" s="350"/>
      <c r="R76" s="350"/>
      <c r="S76" s="341"/>
      <c r="T76" s="122" t="s">
        <v>24</v>
      </c>
      <c r="U76" s="358"/>
      <c r="V76" s="356" t="e">
        <f>(O76/P76+U76/60)/24</f>
        <v>#VALUE!</v>
      </c>
      <c r="W76" s="351"/>
      <c r="X76" s="341"/>
      <c r="Y76" s="340"/>
      <c r="Z76" s="341"/>
      <c r="AA76" s="341"/>
      <c r="AB76" s="53"/>
      <c r="AC76" s="332"/>
      <c r="AD76" s="389"/>
    </row>
    <row r="77" spans="1:30" ht="15" customHeight="1">
      <c r="A77" s="386">
        <v>28</v>
      </c>
      <c r="B77" s="392"/>
      <c r="C77" s="54"/>
      <c r="D77" s="310">
        <f>TRUNC(C77)+((C77-TRUNC(C77))/0.6)</f>
        <v>0</v>
      </c>
      <c r="E77" s="310">
        <f>TRUNC(C78)+((C78-TRUNC(C78))/0.6)</f>
        <v>0</v>
      </c>
      <c r="F77" s="311">
        <f>ROUND(((LOG10(TAN(PI()/4+(D77/2*PI()/180)))*7915.7046)-(3437.7468*((0.0816968^2*SIN(D77*PI()/180))+(0.0816968^4/3*((SIN(D77*PI()/180))^3))+(0.0816968^6/5*((SIN(D77*PI()/180))^5))))),2)</f>
        <v>0</v>
      </c>
      <c r="G77" s="312"/>
      <c r="H77" s="312">
        <f>IF(E77&lt;0,E77+360,E77)</f>
        <v>0</v>
      </c>
      <c r="I77" s="334"/>
      <c r="J77" s="335"/>
      <c r="K77" s="336"/>
      <c r="L77" s="310"/>
      <c r="M77" s="310"/>
      <c r="N77" s="337"/>
      <c r="O77" s="352"/>
      <c r="P77" s="353"/>
      <c r="Q77" s="350" t="str">
        <f>IF(O76="","",Q75+O76)</f>
        <v/>
      </c>
      <c r="R77" s="350" t="str">
        <f>IF(O76="","",R75-O76)</f>
        <v/>
      </c>
      <c r="S77" s="340"/>
      <c r="T77" s="117" t="s">
        <v>25</v>
      </c>
      <c r="U77" s="355"/>
      <c r="V77" s="356"/>
      <c r="W77" s="351" t="str">
        <f>IF(P76="","",W75+V76)</f>
        <v/>
      </c>
      <c r="X77" s="340"/>
      <c r="Y77" s="340"/>
      <c r="Z77" s="340"/>
      <c r="AA77" s="340"/>
      <c r="AB77" s="52"/>
      <c r="AC77" s="331"/>
      <c r="AD77" s="389"/>
    </row>
    <row r="78" spans="1:30" ht="15" customHeight="1">
      <c r="A78" s="386"/>
      <c r="B78" s="392"/>
      <c r="C78" s="55"/>
      <c r="D78" s="310"/>
      <c r="E78" s="310"/>
      <c r="F78" s="311"/>
      <c r="G78" s="312">
        <f>ABS(D77-D79)*60</f>
        <v>0</v>
      </c>
      <c r="H78" s="312"/>
      <c r="I78" s="334">
        <f>ABS(H77-H79)*60</f>
        <v>0</v>
      </c>
      <c r="J78" s="335">
        <f>ABS(F77-F79)</f>
        <v>0</v>
      </c>
      <c r="K78" s="336" t="e">
        <f>IF(AND(D77&lt;D79,H77=H79),0,IF(AND(D77&gt;D79,H77=H79),180,IF(AND(D77=D79,H77&lt;H79),90,IF(AND(D77=D79,H77&gt;H79),270,(ATAN(I78/J78)*180/PI())))))</f>
        <v>#DIV/0!</v>
      </c>
      <c r="L78" s="310" t="e">
        <f>IF(OR(K78=0,K78=90,K78=180,K78=270),K78,IF(AND(D77&lt;D79,H77&lt;H79),K78,IF(AND(D77&lt;D79,H77&gt;H79),360-K78,IF(AND(D77&gt;D79,H77&lt;H79),180-K78,IF(AND(D77&gt;D79,H77&gt;H79),180+K78)))))</f>
        <v>#DIV/0!</v>
      </c>
      <c r="M78" s="310">
        <f>(IF(I78=0,G78,IF(G78=0,COS(D79*PI()/180)*I78,G78/COS(K78*PI()/180))))</f>
        <v>0</v>
      </c>
      <c r="N78" s="337" t="str">
        <f>IF(C80="","",ROUND(L78,1))</f>
        <v/>
      </c>
      <c r="O78" s="352" t="str">
        <f>IF(C80="","",ROUND(M78,1))</f>
        <v/>
      </c>
      <c r="P78" s="353"/>
      <c r="Q78" s="350"/>
      <c r="R78" s="350"/>
      <c r="S78" s="341"/>
      <c r="T78" s="122" t="s">
        <v>23</v>
      </c>
      <c r="U78" s="358"/>
      <c r="V78" s="356" t="e">
        <f>(O78/P78+U78/60)/24</f>
        <v>#VALUE!</v>
      </c>
      <c r="W78" s="351"/>
      <c r="X78" s="341"/>
      <c r="Y78" s="340"/>
      <c r="Z78" s="341"/>
      <c r="AA78" s="341"/>
      <c r="AB78" s="53"/>
      <c r="AC78" s="332"/>
      <c r="AD78" s="389"/>
    </row>
    <row r="79" spans="1:30" ht="15" customHeight="1">
      <c r="A79" s="386">
        <v>29</v>
      </c>
      <c r="B79" s="392"/>
      <c r="C79" s="54"/>
      <c r="D79" s="310">
        <f>TRUNC(C79)+((C79-TRUNC(C79))/0.6)</f>
        <v>0</v>
      </c>
      <c r="E79" s="310">
        <f>TRUNC(C80)+((C80-TRUNC(C80))/0.6)</f>
        <v>0</v>
      </c>
      <c r="F79" s="311">
        <f>ROUND(((LOG10(TAN(PI()/4+(D79/2*PI()/180)))*7915.7046)-(3437.7468*((0.0816968^2*SIN(D79*PI()/180))+(0.0816968^4/3*((SIN(D79*PI()/180))^3))+(0.0816968^6/5*((SIN(D79*PI()/180))^5))))),2)</f>
        <v>0</v>
      </c>
      <c r="G79" s="312"/>
      <c r="H79" s="312">
        <f>IF(E79&lt;0,E79+360,E79)</f>
        <v>0</v>
      </c>
      <c r="I79" s="334"/>
      <c r="J79" s="335"/>
      <c r="K79" s="336"/>
      <c r="L79" s="310"/>
      <c r="M79" s="310"/>
      <c r="N79" s="337"/>
      <c r="O79" s="352"/>
      <c r="P79" s="353"/>
      <c r="Q79" s="350" t="str">
        <f>IF(O78="","",Q77+O78)</f>
        <v/>
      </c>
      <c r="R79" s="350" t="str">
        <f>IF(O78="","",R77-O78)</f>
        <v/>
      </c>
      <c r="S79" s="340"/>
      <c r="T79" s="117" t="s">
        <v>25</v>
      </c>
      <c r="U79" s="355"/>
      <c r="V79" s="356"/>
      <c r="W79" s="351" t="str">
        <f>IF(P78="","",W77+V78)</f>
        <v/>
      </c>
      <c r="X79" s="340"/>
      <c r="Y79" s="340"/>
      <c r="Z79" s="340"/>
      <c r="AA79" s="340"/>
      <c r="AB79" s="52"/>
      <c r="AC79" s="331"/>
      <c r="AD79" s="389"/>
    </row>
    <row r="80" spans="1:30" ht="15" customHeight="1">
      <c r="A80" s="386"/>
      <c r="B80" s="392"/>
      <c r="C80" s="55"/>
      <c r="D80" s="310"/>
      <c r="E80" s="310"/>
      <c r="F80" s="311"/>
      <c r="G80" s="312">
        <f>ABS(D79-D81)*60</f>
        <v>0</v>
      </c>
      <c r="H80" s="312"/>
      <c r="I80" s="334">
        <f>ABS(H79-H81)*60</f>
        <v>0</v>
      </c>
      <c r="J80" s="335">
        <f>ABS(F79-F81)</f>
        <v>0</v>
      </c>
      <c r="K80" s="336" t="e">
        <f>IF(AND(D79&lt;D81,H79=H81),0,IF(AND(D79&gt;D81,H79=H81),180,IF(AND(D79=D81,H79&lt;H81),90,IF(AND(D79=D81,H79&gt;H81),270,(ATAN(I80/J80)*180/PI())))))</f>
        <v>#DIV/0!</v>
      </c>
      <c r="L80" s="310" t="e">
        <f>IF(OR(K80=0,K80=90,K80=180,K80=270),K80,IF(AND(D79&lt;D81,H79&lt;H81),K80,IF(AND(D79&lt;D81,H79&gt;H81),360-K80,IF(AND(D79&gt;D81,H79&lt;H81),180-K80,IF(AND(D79&gt;D81,H79&gt;H81),180+K80)))))</f>
        <v>#DIV/0!</v>
      </c>
      <c r="M80" s="310">
        <f>(IF(I80=0,G80,IF(G80=0,COS(D81*PI()/180)*I80,G80/COS(K80*PI()/180))))</f>
        <v>0</v>
      </c>
      <c r="N80" s="337" t="str">
        <f>IF(C82="","",ROUND(L80,1))</f>
        <v/>
      </c>
      <c r="O80" s="352" t="str">
        <f>IF(C82="","",ROUND(M80,1))</f>
        <v/>
      </c>
      <c r="P80" s="353"/>
      <c r="Q80" s="350"/>
      <c r="R80" s="350"/>
      <c r="S80" s="341"/>
      <c r="T80" s="122" t="s">
        <v>22</v>
      </c>
      <c r="U80" s="358"/>
      <c r="V80" s="356" t="e">
        <f>(O80/P80+U80/60)/24</f>
        <v>#VALUE!</v>
      </c>
      <c r="W80" s="351"/>
      <c r="X80" s="341"/>
      <c r="Y80" s="340"/>
      <c r="Z80" s="341"/>
      <c r="AA80" s="341"/>
      <c r="AB80" s="53"/>
      <c r="AC80" s="332"/>
      <c r="AD80" s="389"/>
    </row>
    <row r="81" spans="1:30" ht="15" customHeight="1">
      <c r="A81" s="386">
        <v>30</v>
      </c>
      <c r="B81" s="392"/>
      <c r="C81" s="54"/>
      <c r="D81" s="310">
        <f>TRUNC(C81)+((C81-TRUNC(C81))/0.6)</f>
        <v>0</v>
      </c>
      <c r="E81" s="310">
        <f>TRUNC(C82)+((C82-TRUNC(C82))/0.6)</f>
        <v>0</v>
      </c>
      <c r="F81" s="311">
        <f>ROUND(((LOG10(TAN(PI()/4+(D81/2*PI()/180)))*7915.7046)-(3437.7468*((0.0816968^2*SIN(D81*PI()/180))+(0.0816968^4/3*((SIN(D81*PI()/180))^3))+(0.0816968^6/5*((SIN(D81*PI()/180))^5))))),2)</f>
        <v>0</v>
      </c>
      <c r="G81" s="312"/>
      <c r="H81" s="312">
        <f>IF(E81&lt;0,E81+360,E81)</f>
        <v>0</v>
      </c>
      <c r="I81" s="334"/>
      <c r="J81" s="335"/>
      <c r="K81" s="336"/>
      <c r="L81" s="310"/>
      <c r="M81" s="310"/>
      <c r="N81" s="337"/>
      <c r="O81" s="352"/>
      <c r="P81" s="353"/>
      <c r="Q81" s="350" t="str">
        <f>IF(O80="","",Q79+O80)</f>
        <v/>
      </c>
      <c r="R81" s="350" t="str">
        <f>IF(O80="","",R79-O80)</f>
        <v/>
      </c>
      <c r="S81" s="340"/>
      <c r="T81" s="117" t="s">
        <v>25</v>
      </c>
      <c r="U81" s="355"/>
      <c r="V81" s="356"/>
      <c r="W81" s="351" t="str">
        <f>IF(P80="","",W79+V80)</f>
        <v/>
      </c>
      <c r="X81" s="340"/>
      <c r="Y81" s="340"/>
      <c r="Z81" s="340"/>
      <c r="AA81" s="340"/>
      <c r="AB81" s="52"/>
      <c r="AC81" s="331"/>
      <c r="AD81" s="389"/>
    </row>
    <row r="82" spans="1:30" ht="15" customHeight="1">
      <c r="A82" s="386"/>
      <c r="B82" s="392"/>
      <c r="C82" s="55"/>
      <c r="D82" s="310"/>
      <c r="E82" s="310"/>
      <c r="F82" s="311"/>
      <c r="G82" s="312">
        <f>ABS(D81-D83)*60</f>
        <v>0</v>
      </c>
      <c r="H82" s="312"/>
      <c r="I82" s="334">
        <f>ABS(H81-H83)*60</f>
        <v>0</v>
      </c>
      <c r="J82" s="335">
        <f>ABS(F81-F83)</f>
        <v>0</v>
      </c>
      <c r="K82" s="336" t="e">
        <f>IF(AND(D81&lt;D83,H81=H83),0,IF(AND(D81&gt;D83,H81=H83),180,IF(AND(D81=D83,H81&lt;H83),90,IF(AND(D81=D83,H81&gt;H83),270,(ATAN(I82/J82)*180/PI())))))</f>
        <v>#DIV/0!</v>
      </c>
      <c r="L82" s="310" t="e">
        <f>IF(OR(K82=0,K82=90,K82=180,K82=270),K82,IF(AND(D81&lt;D83,H81&lt;H83),K82,IF(AND(D81&lt;D83,H81&gt;H83),360-K82,IF(AND(D81&gt;D83,H81&lt;H83),180-K82,IF(AND(D81&gt;D83,H81&gt;H83),180+K82)))))</f>
        <v>#DIV/0!</v>
      </c>
      <c r="M82" s="310">
        <f>(IF(I82=0,G82,IF(G82=0,COS(D83*PI()/180)*I82,G82/COS(K82*PI()/180))))</f>
        <v>0</v>
      </c>
      <c r="N82" s="337" t="str">
        <f>IF(C84="","",ROUND(L82,1))</f>
        <v/>
      </c>
      <c r="O82" s="352" t="str">
        <f>IF(C84="","",ROUND(M82,1))</f>
        <v/>
      </c>
      <c r="P82" s="353"/>
      <c r="Q82" s="350"/>
      <c r="R82" s="350"/>
      <c r="S82" s="341"/>
      <c r="T82" s="122" t="s">
        <v>22</v>
      </c>
      <c r="U82" s="358"/>
      <c r="V82" s="356" t="e">
        <f>(O82/P82+U82/60)/24</f>
        <v>#VALUE!</v>
      </c>
      <c r="W82" s="351"/>
      <c r="X82" s="341"/>
      <c r="Y82" s="340"/>
      <c r="Z82" s="341"/>
      <c r="AA82" s="341"/>
      <c r="AB82" s="53"/>
      <c r="AC82" s="332"/>
      <c r="AD82" s="389"/>
    </row>
    <row r="83" spans="1:30" ht="15" customHeight="1">
      <c r="A83" s="386">
        <v>31</v>
      </c>
      <c r="B83" s="392"/>
      <c r="C83" s="54"/>
      <c r="D83" s="310">
        <f>TRUNC(C83)+((C83-TRUNC(C83))/0.6)</f>
        <v>0</v>
      </c>
      <c r="E83" s="310">
        <f>TRUNC(C84)+((C84-TRUNC(C84))/0.6)</f>
        <v>0</v>
      </c>
      <c r="F83" s="311">
        <f>ROUND(((LOG10(TAN(PI()/4+(D83/2*PI()/180)))*7915.7046)-(3437.7468*((0.0816968^2*SIN(D83*PI()/180))+(0.0816968^4/3*((SIN(D83*PI()/180))^3))+(0.0816968^6/5*((SIN(D83*PI()/180))^5))))),2)</f>
        <v>0</v>
      </c>
      <c r="G83" s="312"/>
      <c r="H83" s="312">
        <f>IF(E83&lt;0,E83+360,E83)</f>
        <v>0</v>
      </c>
      <c r="I83" s="334"/>
      <c r="J83" s="335"/>
      <c r="K83" s="336"/>
      <c r="L83" s="310"/>
      <c r="M83" s="310"/>
      <c r="N83" s="337"/>
      <c r="O83" s="352"/>
      <c r="P83" s="353"/>
      <c r="Q83" s="350" t="str">
        <f>IF(O82="","",Q81+O82)</f>
        <v/>
      </c>
      <c r="R83" s="350" t="str">
        <f>IF(O82="","",R81-O82)</f>
        <v/>
      </c>
      <c r="S83" s="340"/>
      <c r="T83" s="117" t="s">
        <v>25</v>
      </c>
      <c r="U83" s="355"/>
      <c r="V83" s="356"/>
      <c r="W83" s="351" t="str">
        <f>IF(P82="","",W81+V82)</f>
        <v/>
      </c>
      <c r="X83" s="340"/>
      <c r="Y83" s="340"/>
      <c r="Z83" s="340"/>
      <c r="AA83" s="340"/>
      <c r="AB83" s="52"/>
      <c r="AC83" s="331"/>
      <c r="AD83" s="389"/>
    </row>
    <row r="84" spans="1:30" ht="15" customHeight="1">
      <c r="A84" s="386"/>
      <c r="B84" s="392"/>
      <c r="C84" s="55"/>
      <c r="D84" s="310"/>
      <c r="E84" s="310"/>
      <c r="F84" s="311"/>
      <c r="G84" s="312">
        <f>ABS(D83-D85)*60</f>
        <v>0</v>
      </c>
      <c r="H84" s="312"/>
      <c r="I84" s="334">
        <f>ABS(H83-H85)*60</f>
        <v>0</v>
      </c>
      <c r="J84" s="335">
        <f>ABS(F83-F85)</f>
        <v>0</v>
      </c>
      <c r="K84" s="336" t="e">
        <f>IF(AND(D83&lt;D85,H83=H85),0,IF(AND(D83&gt;D85,H83=H85),180,IF(AND(D83=D85,H83&lt;H85),90,IF(AND(D83=D85,H83&gt;H85),270,(ATAN(I84/J84)*180/PI())))))</f>
        <v>#DIV/0!</v>
      </c>
      <c r="L84" s="310" t="e">
        <f>IF(OR(K84=0,K84=90,K84=180,K84=270),K84,IF(AND(D83&lt;D85,H83&lt;H85),K84,IF(AND(D83&lt;D85,H83&gt;H85),360-K84,IF(AND(D83&gt;D85,H83&lt;H85),180-K84,IF(AND(D83&gt;D85,H83&gt;H85),180+K84)))))</f>
        <v>#DIV/0!</v>
      </c>
      <c r="M84" s="310">
        <f>(IF(I84=0,G84,IF(G84=0,COS(D85*PI()/180)*I84,G84/COS(K84*PI()/180))))</f>
        <v>0</v>
      </c>
      <c r="N84" s="337" t="str">
        <f>IF(C86="","",ROUND(L84,1))</f>
        <v/>
      </c>
      <c r="O84" s="352" t="str">
        <f>IF(C86="","",ROUND(M84,1))</f>
        <v/>
      </c>
      <c r="P84" s="353"/>
      <c r="Q84" s="350"/>
      <c r="R84" s="350"/>
      <c r="S84" s="341"/>
      <c r="T84" s="122" t="s">
        <v>27</v>
      </c>
      <c r="U84" s="358"/>
      <c r="V84" s="356" t="e">
        <f>(O84/P84+U84/60)/24</f>
        <v>#VALUE!</v>
      </c>
      <c r="W84" s="351"/>
      <c r="X84" s="341"/>
      <c r="Y84" s="340"/>
      <c r="Z84" s="341"/>
      <c r="AA84" s="341"/>
      <c r="AB84" s="53"/>
      <c r="AC84" s="332"/>
      <c r="AD84" s="389"/>
    </row>
    <row r="85" spans="1:30" ht="15" customHeight="1">
      <c r="A85" s="386">
        <v>32</v>
      </c>
      <c r="B85" s="392"/>
      <c r="C85" s="54"/>
      <c r="D85" s="310">
        <f>TRUNC(C85)+((C85-TRUNC(C85))/0.6)</f>
        <v>0</v>
      </c>
      <c r="E85" s="310">
        <f>TRUNC(C86)+((C86-TRUNC(C86))/0.6)</f>
        <v>0</v>
      </c>
      <c r="F85" s="311">
        <f>ROUND(((LOG10(TAN(PI()/4+(D85/2*PI()/180)))*7915.7046)-(3437.7468*((0.0816968^2*SIN(D85*PI()/180))+(0.0816968^4/3*((SIN(D85*PI()/180))^3))+(0.0816968^6/5*((SIN(D85*PI()/180))^5))))),2)</f>
        <v>0</v>
      </c>
      <c r="G85" s="312"/>
      <c r="H85" s="312">
        <f>IF(E85&lt;0,E85+360,E85)</f>
        <v>0</v>
      </c>
      <c r="I85" s="334"/>
      <c r="J85" s="335"/>
      <c r="K85" s="336"/>
      <c r="L85" s="310"/>
      <c r="M85" s="310"/>
      <c r="N85" s="337"/>
      <c r="O85" s="352"/>
      <c r="P85" s="353"/>
      <c r="Q85" s="350" t="str">
        <f>IF(O84="","",Q83+O84)</f>
        <v/>
      </c>
      <c r="R85" s="350" t="str">
        <f>IF(O84="","",R83-O84)</f>
        <v/>
      </c>
      <c r="S85" s="340"/>
      <c r="T85" s="117" t="s">
        <v>25</v>
      </c>
      <c r="U85" s="355"/>
      <c r="V85" s="356"/>
      <c r="W85" s="351" t="str">
        <f>IF(P84="","",W83+V84)</f>
        <v/>
      </c>
      <c r="X85" s="340"/>
      <c r="Y85" s="340"/>
      <c r="Z85" s="340"/>
      <c r="AA85" s="340"/>
      <c r="AB85" s="52"/>
      <c r="AC85" s="331"/>
      <c r="AD85" s="389"/>
    </row>
    <row r="86" spans="1:30" ht="15" customHeight="1">
      <c r="A86" s="386"/>
      <c r="B86" s="392"/>
      <c r="C86" s="55"/>
      <c r="D86" s="310"/>
      <c r="E86" s="310"/>
      <c r="F86" s="311"/>
      <c r="G86" s="312">
        <f>ABS(D85-D87)*60</f>
        <v>0</v>
      </c>
      <c r="H86" s="312"/>
      <c r="I86" s="334">
        <f>ABS(H85-H87)*60</f>
        <v>0</v>
      </c>
      <c r="J86" s="335">
        <f>ABS(F85-F87)</f>
        <v>0</v>
      </c>
      <c r="K86" s="336" t="e">
        <f>IF(AND(D85&lt;D87,H85=H87),0,IF(AND(D85&gt;D87,H85=H87),180,IF(AND(D85=D87,H85&lt;H87),90,IF(AND(D85=D87,H85&gt;H87),270,(ATAN(I86/J86)*180/PI())))))</f>
        <v>#DIV/0!</v>
      </c>
      <c r="L86" s="310" t="e">
        <f>IF(OR(K86=0,K86=90,K86=180,K86=270),K86,IF(AND(D85&lt;D87,H85&lt;H87),K86,IF(AND(D85&lt;D87,H85&gt;H87),360-K86,IF(AND(D85&gt;D87,H85&lt;H87),180-K86,IF(AND(D85&gt;D87,H85&gt;H87),180+K86)))))</f>
        <v>#DIV/0!</v>
      </c>
      <c r="M86" s="310">
        <f>(IF(I86=0,G86,IF(G86=0,COS(D87*PI()/180)*I86,G86/COS(K86*PI()/180))))</f>
        <v>0</v>
      </c>
      <c r="N86" s="337" t="str">
        <f>IF(C88="","",ROUND(L86,1))</f>
        <v/>
      </c>
      <c r="O86" s="352" t="str">
        <f>IF(C88="","",ROUND(M86,1))</f>
        <v/>
      </c>
      <c r="P86" s="353"/>
      <c r="Q86" s="350"/>
      <c r="R86" s="350"/>
      <c r="S86" s="341"/>
      <c r="T86" s="122" t="s">
        <v>27</v>
      </c>
      <c r="U86" s="358"/>
      <c r="V86" s="356" t="e">
        <f>(O86/P86+U86/60)/24</f>
        <v>#VALUE!</v>
      </c>
      <c r="W86" s="351"/>
      <c r="X86" s="341"/>
      <c r="Y86" s="340"/>
      <c r="Z86" s="341"/>
      <c r="AA86" s="341"/>
      <c r="AB86" s="53"/>
      <c r="AC86" s="332"/>
      <c r="AD86" s="389"/>
    </row>
    <row r="87" spans="1:30" ht="15" customHeight="1">
      <c r="A87" s="386">
        <v>33</v>
      </c>
      <c r="B87" s="392"/>
      <c r="C87" s="54"/>
      <c r="D87" s="310">
        <f>TRUNC(C87)+((C87-TRUNC(C87))/0.6)</f>
        <v>0</v>
      </c>
      <c r="E87" s="310">
        <f>TRUNC(C88)+((C88-TRUNC(C88))/0.6)</f>
        <v>0</v>
      </c>
      <c r="F87" s="311">
        <f>ROUND(((LOG10(TAN(PI()/4+(D87/2*PI()/180)))*7915.7046)-(3437.7468*((0.0816968^2*SIN(D87*PI()/180))+(0.0816968^4/3*((SIN(D87*PI()/180))^3))+(0.0816968^6/5*((SIN(D87*PI()/180))^5))))),2)</f>
        <v>0</v>
      </c>
      <c r="G87" s="312"/>
      <c r="H87" s="312">
        <f>IF(E87&lt;0,E87+360,E87)</f>
        <v>0</v>
      </c>
      <c r="I87" s="334"/>
      <c r="J87" s="335"/>
      <c r="K87" s="336"/>
      <c r="L87" s="310"/>
      <c r="M87" s="310"/>
      <c r="N87" s="337"/>
      <c r="O87" s="352"/>
      <c r="P87" s="353"/>
      <c r="Q87" s="350" t="str">
        <f>IF(O86="","",Q85+O86)</f>
        <v/>
      </c>
      <c r="R87" s="350" t="str">
        <f>IF(O86="","",R85-O86)</f>
        <v/>
      </c>
      <c r="S87" s="340"/>
      <c r="T87" s="117" t="s">
        <v>26</v>
      </c>
      <c r="U87" s="355"/>
      <c r="V87" s="356"/>
      <c r="W87" s="351" t="str">
        <f>IF(P86="","",W85+V86)</f>
        <v/>
      </c>
      <c r="X87" s="340"/>
      <c r="Y87" s="340"/>
      <c r="Z87" s="340"/>
      <c r="AA87" s="340"/>
      <c r="AB87" s="52"/>
      <c r="AC87" s="331"/>
      <c r="AD87" s="389"/>
    </row>
    <row r="88" spans="1:30" ht="15" customHeight="1">
      <c r="A88" s="386"/>
      <c r="B88" s="392"/>
      <c r="C88" s="55"/>
      <c r="D88" s="310"/>
      <c r="E88" s="310"/>
      <c r="F88" s="311"/>
      <c r="G88" s="312">
        <f>ABS(D87-D89)*60</f>
        <v>0</v>
      </c>
      <c r="H88" s="312"/>
      <c r="I88" s="334">
        <f>ABS(H87-H89)*60</f>
        <v>0</v>
      </c>
      <c r="J88" s="335">
        <f>ABS(F87-F89)</f>
        <v>0</v>
      </c>
      <c r="K88" s="336" t="e">
        <f>IF(AND(D87&lt;D89,H87=H89),0,IF(AND(D87&gt;D89,H87=H89),180,IF(AND(D87=D89,H87&lt;H89),90,IF(AND(D87=D89,H87&gt;H89),270,(ATAN(I88/J88)*180/PI())))))</f>
        <v>#DIV/0!</v>
      </c>
      <c r="L88" s="310" t="e">
        <f>IF(OR(K88=0,K88=90,K88=180,K88=270),K88,IF(AND(D87&lt;D89,H87&lt;H89),K88,IF(AND(D87&lt;D89,H87&gt;H89),360-K88,IF(AND(D87&gt;D89,H87&lt;H89),180-K88,IF(AND(D87&gt;D89,H87&gt;H89),180+K88)))))</f>
        <v>#DIV/0!</v>
      </c>
      <c r="M88" s="310">
        <f>(IF(I88=0,G88,IF(G88=0,COS(D89*PI()/180)*I88,G88/COS(K88*PI()/180))))</f>
        <v>0</v>
      </c>
      <c r="N88" s="337" t="str">
        <f>IF(C90="","",ROUND(L88,1))</f>
        <v/>
      </c>
      <c r="O88" s="352" t="str">
        <f>IF(C90="","",ROUND(M88,1))</f>
        <v/>
      </c>
      <c r="P88" s="353"/>
      <c r="Q88" s="350"/>
      <c r="R88" s="350"/>
      <c r="S88" s="341"/>
      <c r="T88" s="122" t="s">
        <v>29</v>
      </c>
      <c r="U88" s="358"/>
      <c r="V88" s="356" t="e">
        <f>(O88/P88+U88/60)/24</f>
        <v>#VALUE!</v>
      </c>
      <c r="W88" s="351"/>
      <c r="X88" s="341"/>
      <c r="Y88" s="340"/>
      <c r="Z88" s="341"/>
      <c r="AA88" s="341"/>
      <c r="AB88" s="53"/>
      <c r="AC88" s="332"/>
      <c r="AD88" s="389"/>
    </row>
    <row r="89" spans="1:30" ht="15" customHeight="1">
      <c r="A89" s="386">
        <v>34</v>
      </c>
      <c r="B89" s="394"/>
      <c r="C89" s="54"/>
      <c r="D89" s="310">
        <f>TRUNC(C89)+((C89-TRUNC(C89))/0.6)</f>
        <v>0</v>
      </c>
      <c r="E89" s="310">
        <f>TRUNC(C90)+((C90-TRUNC(C90))/0.6)</f>
        <v>0</v>
      </c>
      <c r="F89" s="311">
        <f>ROUND(((LOG10(TAN(PI()/4+(D89/2*PI()/180)))*7915.7046)-(3437.7468*((0.0816968^2*SIN(D89*PI()/180))+(0.0816968^4/3*((SIN(D89*PI()/180))^3))+(0.0816968^6/5*((SIN(D89*PI()/180))^5))))),2)</f>
        <v>0</v>
      </c>
      <c r="G89" s="312"/>
      <c r="H89" s="312">
        <f>IF(E89&lt;0,E89+360,E89)</f>
        <v>0</v>
      </c>
      <c r="I89" s="334"/>
      <c r="J89" s="335"/>
      <c r="K89" s="336"/>
      <c r="L89" s="310"/>
      <c r="M89" s="310"/>
      <c r="N89" s="337"/>
      <c r="O89" s="352"/>
      <c r="P89" s="353"/>
      <c r="Q89" s="350" t="str">
        <f>IF(O88="","",Q87+O88)</f>
        <v/>
      </c>
      <c r="R89" s="350" t="str">
        <f>IF(O88="","",R87-O88)</f>
        <v/>
      </c>
      <c r="S89" s="340"/>
      <c r="T89" s="117" t="s">
        <v>26</v>
      </c>
      <c r="U89" s="355"/>
      <c r="V89" s="356"/>
      <c r="W89" s="351" t="str">
        <f>IF(P88="","",W87+V88)</f>
        <v/>
      </c>
      <c r="X89" s="340"/>
      <c r="Y89" s="340"/>
      <c r="Z89" s="340"/>
      <c r="AA89" s="340"/>
      <c r="AB89" s="52"/>
      <c r="AC89" s="331"/>
      <c r="AD89" s="389"/>
    </row>
    <row r="90" spans="1:30" ht="15" customHeight="1">
      <c r="A90" s="386"/>
      <c r="B90" s="395"/>
      <c r="C90" s="55"/>
      <c r="D90" s="310"/>
      <c r="E90" s="310"/>
      <c r="F90" s="311"/>
      <c r="G90" s="312">
        <f>ABS(D89-D91)*60</f>
        <v>0</v>
      </c>
      <c r="H90" s="312"/>
      <c r="I90" s="334">
        <f>ABS(H89-H91)*60</f>
        <v>0</v>
      </c>
      <c r="J90" s="335">
        <f>ABS(F89-F91)</f>
        <v>0</v>
      </c>
      <c r="K90" s="336" t="e">
        <f>IF(AND(D89&lt;D91,H89=H91),0,IF(AND(D89&gt;D91,H89=H91),180,IF(AND(D89=D91,H89&lt;H91),90,IF(AND(D89=D91,H89&gt;H91),270,(ATAN(I90/J90)*180/PI())))))</f>
        <v>#DIV/0!</v>
      </c>
      <c r="L90" s="310" t="e">
        <f>IF(OR(K90=0,K90=90,K90=180,K90=270),K90,IF(AND(D89&lt;D91,H89&lt;H91),K90,IF(AND(D89&lt;D91,H89&gt;H91),360-K90,IF(AND(D89&gt;D91,H89&lt;H91),180-K90,IF(AND(D89&gt;D91,H89&gt;H91),180+K90)))))</f>
        <v>#DIV/0!</v>
      </c>
      <c r="M90" s="310">
        <f>(IF(I90=0,G90,IF(G90=0,COS(D91*PI()/180)*I90,G90/COS(K90*PI()/180))))</f>
        <v>0</v>
      </c>
      <c r="N90" s="337" t="str">
        <f>IF(C92="","",ROUND(L90,1))</f>
        <v/>
      </c>
      <c r="O90" s="352" t="str">
        <f>IF(C92="","",ROUND(M90,1))</f>
        <v/>
      </c>
      <c r="P90" s="353"/>
      <c r="Q90" s="350"/>
      <c r="R90" s="350"/>
      <c r="S90" s="341"/>
      <c r="T90" s="122" t="s">
        <v>29</v>
      </c>
      <c r="U90" s="358"/>
      <c r="V90" s="356" t="e">
        <f>(O90/P90+U90/60)/24</f>
        <v>#VALUE!</v>
      </c>
      <c r="W90" s="351"/>
      <c r="X90" s="341"/>
      <c r="Y90" s="340"/>
      <c r="Z90" s="341"/>
      <c r="AA90" s="341"/>
      <c r="AB90" s="53"/>
      <c r="AC90" s="332"/>
      <c r="AD90" s="389"/>
    </row>
    <row r="91" spans="1:30" ht="15" customHeight="1">
      <c r="A91" s="386">
        <v>35</v>
      </c>
      <c r="B91" s="394"/>
      <c r="C91" s="54"/>
      <c r="D91" s="310">
        <f>TRUNC(C91)+((C91-TRUNC(C91))/0.6)</f>
        <v>0</v>
      </c>
      <c r="E91" s="310">
        <f>TRUNC(C92)+((C92-TRUNC(C92))/0.6)</f>
        <v>0</v>
      </c>
      <c r="F91" s="311">
        <f>ROUND(((LOG10(TAN(PI()/4+(D91/2*PI()/180)))*7915.7046)-(3437.7468*((0.0816968^2*SIN(D91*PI()/180))+(0.0816968^4/3*((SIN(D91*PI()/180))^3))+(0.0816968^6/5*((SIN(D91*PI()/180))^5))))),2)</f>
        <v>0</v>
      </c>
      <c r="G91" s="312"/>
      <c r="H91" s="312">
        <f>IF(E91&lt;0,E91+360,E91)</f>
        <v>0</v>
      </c>
      <c r="I91" s="334"/>
      <c r="J91" s="335"/>
      <c r="K91" s="336"/>
      <c r="L91" s="310"/>
      <c r="M91" s="310"/>
      <c r="N91" s="337"/>
      <c r="O91" s="352"/>
      <c r="P91" s="353"/>
      <c r="Q91" s="350" t="str">
        <f>IF(O90="","",Q89+O90)</f>
        <v/>
      </c>
      <c r="R91" s="350" t="str">
        <f>IF(O90="","",R89-O90)</f>
        <v/>
      </c>
      <c r="S91" s="340"/>
      <c r="T91" s="117" t="s">
        <v>25</v>
      </c>
      <c r="U91" s="355"/>
      <c r="V91" s="356"/>
      <c r="W91" s="351" t="str">
        <f>IF(P90="","",W89+V90)</f>
        <v/>
      </c>
      <c r="X91" s="340"/>
      <c r="Y91" s="340"/>
      <c r="Z91" s="340"/>
      <c r="AA91" s="340"/>
      <c r="AB91" s="52"/>
      <c r="AC91" s="331"/>
      <c r="AD91" s="389"/>
    </row>
    <row r="92" spans="1:30" ht="15" customHeight="1">
      <c r="A92" s="386"/>
      <c r="B92" s="395"/>
      <c r="C92" s="55"/>
      <c r="D92" s="310"/>
      <c r="E92" s="310"/>
      <c r="F92" s="311"/>
      <c r="G92" s="312">
        <f>ABS(D91-D93)*60</f>
        <v>0</v>
      </c>
      <c r="H92" s="312"/>
      <c r="I92" s="334">
        <f>ABS(H91-H93)*60</f>
        <v>0</v>
      </c>
      <c r="J92" s="335">
        <f>ABS(F91-F93)</f>
        <v>0</v>
      </c>
      <c r="K92" s="336" t="e">
        <f>IF(AND(D91&lt;D93,H91=H93),0,IF(AND(D91&gt;D93,H91=H93),180,IF(AND(D91=D93,H91&lt;H93),90,IF(AND(D91=D93,H91&gt;H93),270,(ATAN(I92/J92)*180/PI())))))</f>
        <v>#DIV/0!</v>
      </c>
      <c r="L92" s="310" t="e">
        <f>IF(OR(K92=0,K92=90,K92=180,K92=270),K92,IF(AND(D91&lt;D93,H91&lt;H93),K92,IF(AND(D91&lt;D93,H91&gt;H93),360-K92,IF(AND(D91&gt;D93,H91&lt;H93),180-K92,IF(AND(D91&gt;D93,H91&gt;H93),180+K92)))))</f>
        <v>#DIV/0!</v>
      </c>
      <c r="M92" s="310">
        <f>(IF(I92=0,G92,IF(G92=0,COS(D93*PI()/180)*I92,G92/COS(K92*PI()/180))))</f>
        <v>0</v>
      </c>
      <c r="N92" s="337" t="str">
        <f>IF(C94="","",ROUND(L92,1))</f>
        <v/>
      </c>
      <c r="O92" s="352" t="str">
        <f>IF(C94="","",ROUND(M92,1))</f>
        <v/>
      </c>
      <c r="P92" s="353"/>
      <c r="Q92" s="350"/>
      <c r="R92" s="350"/>
      <c r="S92" s="341"/>
      <c r="T92" s="122" t="s">
        <v>27</v>
      </c>
      <c r="U92" s="358"/>
      <c r="V92" s="356" t="e">
        <f>(O92/P92+U92/60)/24</f>
        <v>#VALUE!</v>
      </c>
      <c r="W92" s="351"/>
      <c r="X92" s="341"/>
      <c r="Y92" s="340"/>
      <c r="Z92" s="341"/>
      <c r="AA92" s="341"/>
      <c r="AB92" s="53"/>
      <c r="AC92" s="332"/>
      <c r="AD92" s="389"/>
    </row>
    <row r="93" spans="1:30" ht="15" customHeight="1">
      <c r="A93" s="386">
        <v>36</v>
      </c>
      <c r="B93" s="394"/>
      <c r="C93" s="54"/>
      <c r="D93" s="310">
        <f>TRUNC(C93)+((C93-TRUNC(C93))/0.6)</f>
        <v>0</v>
      </c>
      <c r="E93" s="310">
        <f>TRUNC(C94)+((C94-TRUNC(C94))/0.6)</f>
        <v>0</v>
      </c>
      <c r="F93" s="311">
        <f>ROUND(((LOG10(TAN(PI()/4+(D93/2*PI()/180)))*7915.7046)-(3437.7468*((0.0816968^2*SIN(D93*PI()/180))+(0.0816968^4/3*((SIN(D93*PI()/180))^3))+(0.0816968^6/5*((SIN(D93*PI()/180))^5))))),2)</f>
        <v>0</v>
      </c>
      <c r="G93" s="312"/>
      <c r="H93" s="312">
        <f>IF(E93&lt;0,E93+360,E93)</f>
        <v>0</v>
      </c>
      <c r="I93" s="334"/>
      <c r="J93" s="335"/>
      <c r="K93" s="336"/>
      <c r="L93" s="310"/>
      <c r="M93" s="310"/>
      <c r="N93" s="337"/>
      <c r="O93" s="352"/>
      <c r="P93" s="353"/>
      <c r="Q93" s="350" t="str">
        <f>IF(O92="","",Q91+O92)</f>
        <v/>
      </c>
      <c r="R93" s="350" t="str">
        <f>IF(O92="","",R91-O92)</f>
        <v/>
      </c>
      <c r="S93" s="340"/>
      <c r="T93" s="117" t="s">
        <v>25</v>
      </c>
      <c r="U93" s="355"/>
      <c r="V93" s="356"/>
      <c r="W93" s="351" t="str">
        <f>IF(P92="","",W91+V92)</f>
        <v/>
      </c>
      <c r="X93" s="340"/>
      <c r="Y93" s="340"/>
      <c r="Z93" s="340"/>
      <c r="AA93" s="340"/>
      <c r="AB93" s="52"/>
      <c r="AC93" s="331"/>
      <c r="AD93" s="389"/>
    </row>
    <row r="94" spans="1:30" ht="15" customHeight="1">
      <c r="A94" s="386"/>
      <c r="B94" s="395"/>
      <c r="C94" s="55"/>
      <c r="D94" s="310"/>
      <c r="E94" s="310"/>
      <c r="F94" s="311"/>
      <c r="G94" s="312">
        <f>ABS(D93-D95)*60</f>
        <v>0</v>
      </c>
      <c r="H94" s="312"/>
      <c r="I94" s="334">
        <f>ABS(H93-H95)*60</f>
        <v>0</v>
      </c>
      <c r="J94" s="335">
        <f>ABS(F93-F95)</f>
        <v>0</v>
      </c>
      <c r="K94" s="336" t="e">
        <f>IF(AND(D93&lt;D95,H93=H95),0,IF(AND(D93&gt;D95,H93=H95),180,IF(AND(D93=D95,H93&lt;H95),90,IF(AND(D93=D95,H93&gt;H95),270,(ATAN(I94/J94)*180/PI())))))</f>
        <v>#DIV/0!</v>
      </c>
      <c r="L94" s="310" t="e">
        <f>IF(OR(K94=0,K94=90,K94=180,K94=270),K94,IF(AND(D93&lt;D95,H93&lt;H95),K94,IF(AND(D93&lt;D95,H93&gt;H95),360-K94,IF(AND(D93&gt;D95,H93&lt;H95),180-K94,IF(AND(D93&gt;D95,H93&gt;H95),180+K94)))))</f>
        <v>#DIV/0!</v>
      </c>
      <c r="M94" s="310">
        <f>(IF(I94=0,G94,IF(G94=0,COS(D95*PI()/180)*I94,G94/COS(K94*PI()/180))))</f>
        <v>0</v>
      </c>
      <c r="N94" s="337" t="str">
        <f>IF(C96="","",ROUND(L94,1))</f>
        <v/>
      </c>
      <c r="O94" s="352" t="str">
        <f>IF(C96="","",ROUND(M94,1))</f>
        <v/>
      </c>
      <c r="P94" s="353"/>
      <c r="Q94" s="350"/>
      <c r="R94" s="350"/>
      <c r="S94" s="341"/>
      <c r="T94" s="122" t="s">
        <v>22</v>
      </c>
      <c r="U94" s="358"/>
      <c r="V94" s="356" t="e">
        <f>(O94/P94+U94/60)/24</f>
        <v>#VALUE!</v>
      </c>
      <c r="W94" s="351"/>
      <c r="X94" s="341"/>
      <c r="Y94" s="340"/>
      <c r="Z94" s="341"/>
      <c r="AA94" s="341"/>
      <c r="AB94" s="53"/>
      <c r="AC94" s="332"/>
      <c r="AD94" s="389"/>
    </row>
    <row r="95" spans="1:30" ht="15" customHeight="1">
      <c r="A95" s="386">
        <v>37</v>
      </c>
      <c r="B95" s="348"/>
      <c r="C95" s="54"/>
      <c r="D95" s="310">
        <f>TRUNC(C95)+((C95-TRUNC(C95))/0.6)</f>
        <v>0</v>
      </c>
      <c r="E95" s="310">
        <f>TRUNC(C96)+((C96-TRUNC(C96))/0.6)</f>
        <v>0</v>
      </c>
      <c r="F95" s="311">
        <f>ROUND(((LOG10(TAN(PI()/4+(D95/2*PI()/180)))*7915.7046)-(3437.7468*((0.0816968^2*SIN(D95*PI()/180))+(0.0816968^4/3*((SIN(D95*PI()/180))^3))+(0.0816968^6/5*((SIN(D95*PI()/180))^5))))),2)</f>
        <v>0</v>
      </c>
      <c r="G95" s="312"/>
      <c r="H95" s="312">
        <f>IF(E95&lt;0,E95+360,E95)</f>
        <v>0</v>
      </c>
      <c r="I95" s="334"/>
      <c r="J95" s="335"/>
      <c r="K95" s="336"/>
      <c r="L95" s="310"/>
      <c r="M95" s="310"/>
      <c r="N95" s="337"/>
      <c r="O95" s="352"/>
      <c r="P95" s="353"/>
      <c r="Q95" s="350" t="str">
        <f>IF(O94="","",Q93+O94)</f>
        <v/>
      </c>
      <c r="R95" s="350" t="str">
        <f>IF(O94="","",R93-O94)</f>
        <v/>
      </c>
      <c r="S95" s="340"/>
      <c r="T95" s="117" t="s">
        <v>25</v>
      </c>
      <c r="U95" s="355"/>
      <c r="V95" s="356"/>
      <c r="W95" s="351" t="str">
        <f>IF(P94="","",W93+V94)</f>
        <v/>
      </c>
      <c r="X95" s="340"/>
      <c r="Y95" s="340"/>
      <c r="Z95" s="340"/>
      <c r="AA95" s="340"/>
      <c r="AB95" s="52"/>
      <c r="AC95" s="331"/>
      <c r="AD95" s="389"/>
    </row>
    <row r="96" spans="1:30" ht="15" customHeight="1">
      <c r="A96" s="386"/>
      <c r="B96" s="349"/>
      <c r="C96" s="55"/>
      <c r="D96" s="310"/>
      <c r="E96" s="310"/>
      <c r="F96" s="311"/>
      <c r="G96" s="312">
        <f>ABS(D95-D97)*60</f>
        <v>0</v>
      </c>
      <c r="H96" s="312"/>
      <c r="I96" s="334">
        <f>ABS(H95-H97)*60</f>
        <v>0</v>
      </c>
      <c r="J96" s="335">
        <f>ABS(F95-F97)</f>
        <v>0</v>
      </c>
      <c r="K96" s="336" t="e">
        <f>IF(AND(D95&lt;D97,H95=H97),0,IF(AND(D95&gt;D97,H95=H97),180,IF(AND(D95=D97,H95&lt;H97),90,IF(AND(D95=D97,H95&gt;H97),270,(ATAN(I96/J96)*180/PI())))))</f>
        <v>#DIV/0!</v>
      </c>
      <c r="L96" s="310" t="e">
        <f>IF(OR(K96=0,K96=90,K96=180,K96=270),K96,IF(AND(D95&lt;D97,H95&lt;H97),K96,IF(AND(D95&lt;D97,H95&gt;H97),360-K96,IF(AND(D95&gt;D97,H95&lt;H97),180-K96,IF(AND(D95&gt;D97,H95&gt;H97),180+K96)))))</f>
        <v>#DIV/0!</v>
      </c>
      <c r="M96" s="310">
        <f>(IF(I96=0,G96,IF(G96=0,COS(D97*PI()/180)*I96,G96/COS(K96*PI()/180))))</f>
        <v>0</v>
      </c>
      <c r="N96" s="337" t="str">
        <f>IF(C98="","",ROUND(L96,1))</f>
        <v/>
      </c>
      <c r="O96" s="352" t="str">
        <f>IF(C98="","",ROUND(M96,1))</f>
        <v/>
      </c>
      <c r="P96" s="353"/>
      <c r="Q96" s="350"/>
      <c r="R96" s="350"/>
      <c r="S96" s="341"/>
      <c r="T96" s="122" t="s">
        <v>23</v>
      </c>
      <c r="U96" s="358"/>
      <c r="V96" s="356" t="e">
        <f>(O96/P96+U96/60)/24</f>
        <v>#VALUE!</v>
      </c>
      <c r="W96" s="351"/>
      <c r="X96" s="341"/>
      <c r="Y96" s="340"/>
      <c r="Z96" s="341"/>
      <c r="AA96" s="341"/>
      <c r="AB96" s="53"/>
      <c r="AC96" s="332"/>
      <c r="AD96" s="389"/>
    </row>
    <row r="97" spans="1:30" ht="15" customHeight="1">
      <c r="A97" s="386">
        <v>38</v>
      </c>
      <c r="B97" s="392"/>
      <c r="C97" s="54"/>
      <c r="D97" s="310">
        <f>TRUNC(C97)+((C97-TRUNC(C97))/0.6)</f>
        <v>0</v>
      </c>
      <c r="E97" s="310">
        <f>TRUNC(C98)+((C98-TRUNC(C98))/0.6)</f>
        <v>0</v>
      </c>
      <c r="F97" s="311">
        <f>ROUND(((LOG10(TAN(PI()/4+(D97/2*PI()/180)))*7915.7046)-(3437.7468*((0.0816968^2*SIN(D97*PI()/180))+(0.0816968^4/3*((SIN(D97*PI()/180))^3))+(0.0816968^6/5*((SIN(D97*PI()/180))^5))))),2)</f>
        <v>0</v>
      </c>
      <c r="G97" s="312"/>
      <c r="H97" s="312">
        <f>IF(E97&lt;0,E97+360,E97)</f>
        <v>0</v>
      </c>
      <c r="I97" s="334"/>
      <c r="J97" s="335"/>
      <c r="K97" s="336"/>
      <c r="L97" s="310"/>
      <c r="M97" s="310"/>
      <c r="N97" s="337"/>
      <c r="O97" s="352"/>
      <c r="P97" s="353"/>
      <c r="Q97" s="350" t="str">
        <f>IF(O96="","",Q95+O96)</f>
        <v/>
      </c>
      <c r="R97" s="350" t="str">
        <f>IF(O96="","",R95-O96)</f>
        <v/>
      </c>
      <c r="S97" s="340"/>
      <c r="T97" s="117"/>
      <c r="U97" s="355"/>
      <c r="V97" s="356"/>
      <c r="W97" s="351" t="str">
        <f>IF(P96="","",W95+V96)</f>
        <v/>
      </c>
      <c r="X97" s="340"/>
      <c r="Y97" s="386"/>
      <c r="Z97" s="340"/>
      <c r="AA97" s="340"/>
      <c r="AB97" s="52"/>
      <c r="AC97" s="331"/>
      <c r="AD97" s="389"/>
    </row>
    <row r="98" spans="1:30" s="94" customFormat="1" ht="15" customHeight="1">
      <c r="A98" s="386"/>
      <c r="B98" s="392"/>
      <c r="C98" s="55"/>
      <c r="D98" s="310"/>
      <c r="E98" s="310"/>
      <c r="F98" s="311"/>
      <c r="G98" s="128"/>
      <c r="H98" s="312"/>
      <c r="I98" s="128"/>
      <c r="J98" s="128"/>
      <c r="K98" s="128"/>
      <c r="L98" s="128"/>
      <c r="M98" s="128"/>
      <c r="N98" s="114"/>
      <c r="O98" s="115"/>
      <c r="P98" s="116"/>
      <c r="Q98" s="350"/>
      <c r="R98" s="350"/>
      <c r="S98" s="341"/>
      <c r="T98" s="122"/>
      <c r="U98" s="129"/>
      <c r="V98" s="118"/>
      <c r="W98" s="351"/>
      <c r="X98" s="341"/>
      <c r="Y98" s="386"/>
      <c r="Z98" s="341"/>
      <c r="AA98" s="341"/>
      <c r="AB98" s="53"/>
      <c r="AC98" s="332"/>
      <c r="AD98" s="389"/>
    </row>
    <row r="99" spans="1:30" ht="13.5" customHeight="1">
      <c r="A99" s="396"/>
      <c r="B99" s="396"/>
      <c r="C99" s="396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</row>
    <row r="100" spans="1:30" s="107" customFormat="1" ht="13.5" customHeight="1">
      <c r="A100" s="397"/>
      <c r="B100" s="397"/>
      <c r="C100" s="397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s="107" customFormat="1" ht="13.5" customHeight="1">
      <c r="A101" s="397"/>
      <c r="B101" s="397"/>
      <c r="C101" s="397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4.1" customHeight="1"/>
    <row r="103" spans="1:30" ht="14.1" customHeight="1"/>
    <row r="104" spans="1:30" ht="14.1" customHeight="1"/>
    <row r="105" spans="1:30" ht="14.1" customHeight="1"/>
    <row r="106" spans="1:30" ht="14.1" customHeight="1"/>
    <row r="107" spans="1:30" ht="14.1" customHeight="1"/>
    <row r="108" spans="1:30" ht="14.1" customHeight="1"/>
    <row r="109" spans="1:30" ht="14.1" customHeight="1"/>
    <row r="110" spans="1:30" ht="14.1" customHeight="1"/>
    <row r="111" spans="1:30" ht="14.1" customHeight="1"/>
    <row r="112" spans="1:30" ht="14.1" customHeight="1"/>
    <row r="113" spans="3:29" ht="14.1" customHeight="1"/>
    <row r="114" spans="3:29" ht="14.1" customHeight="1"/>
    <row r="115" spans="3:29" ht="14.1" customHeight="1"/>
    <row r="116" spans="3:29" ht="14.1" customHeight="1"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</row>
    <row r="117" spans="3:29" ht="14.1" customHeight="1"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</row>
    <row r="118" spans="3:29" ht="14.1" customHeight="1"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</row>
    <row r="119" spans="3:29" ht="14.1" customHeight="1"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</row>
    <row r="120" spans="3:29" ht="14.1" customHeight="1"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</row>
    <row r="121" spans="3:29" ht="14.1" customHeight="1"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</row>
    <row r="122" spans="3:29" ht="14.1" customHeight="1"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</row>
    <row r="123" spans="3:29" ht="14.1" customHeight="1"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</row>
    <row r="124" spans="3:29" ht="14.1" customHeight="1"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</row>
    <row r="125" spans="3:29" ht="14.1" customHeight="1"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</row>
    <row r="126" spans="3:29" ht="14.1" customHeight="1"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</row>
    <row r="127" spans="3:29" ht="14.1" customHeight="1"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</row>
    <row r="128" spans="3:29" ht="14.1" customHeight="1"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</row>
    <row r="129" s="104" customFormat="1" ht="14.1" customHeight="1"/>
    <row r="130" s="104" customFormat="1" ht="14.1" customHeight="1"/>
    <row r="131" s="104" customFormat="1" ht="14.1" customHeight="1"/>
    <row r="132" s="104" customFormat="1" ht="14.1" customHeight="1"/>
    <row r="133" s="104" customFormat="1" ht="14.1" customHeight="1"/>
    <row r="134" s="104" customFormat="1" ht="14.1" customHeight="1"/>
    <row r="135" s="104" customFormat="1" ht="14.1" customHeight="1"/>
  </sheetData>
  <sheetProtection algorithmName="SHA-512" hashValue="4MSDTbEteUxLvSjZFf0o4S0J7U+w6fayyCVy+QN2w4drRvUVAb8ZtDQrIeHY1MeveA2Se+Ia6LuDUIYg9P0YgQ==" saltValue="xmOv/g+jnaU1IYSx8/kLEQ==" spinCount="100000" sheet="1" objects="1" scenarios="1"/>
  <mergeCells count="1117">
    <mergeCell ref="A99:C101"/>
    <mergeCell ref="U13:U14"/>
    <mergeCell ref="U7:W7"/>
    <mergeCell ref="X7:Y7"/>
    <mergeCell ref="Z7:AA7"/>
    <mergeCell ref="AB7:AC7"/>
    <mergeCell ref="A3:XFD3"/>
    <mergeCell ref="AD95:AD96"/>
    <mergeCell ref="AD97:AD98"/>
    <mergeCell ref="AC87:AC88"/>
    <mergeCell ref="AC89:AC90"/>
    <mergeCell ref="AC91:AC92"/>
    <mergeCell ref="AC93:AC94"/>
    <mergeCell ref="AC95:AC96"/>
    <mergeCell ref="AC97:AC98"/>
    <mergeCell ref="AC75:AC76"/>
    <mergeCell ref="AC77:AC78"/>
    <mergeCell ref="AC79:AC80"/>
    <mergeCell ref="AC81:AC82"/>
    <mergeCell ref="AC83:AC84"/>
    <mergeCell ref="AC85:AC86"/>
    <mergeCell ref="AA95:AA96"/>
    <mergeCell ref="AA97:AA98"/>
    <mergeCell ref="AC59:AC60"/>
    <mergeCell ref="AC61:AC62"/>
    <mergeCell ref="AC63:AC64"/>
    <mergeCell ref="AC65:AC66"/>
    <mergeCell ref="AC67:AC68"/>
    <mergeCell ref="AC69:AC70"/>
    <mergeCell ref="AC71:AC72"/>
    <mergeCell ref="AC73:AC74"/>
    <mergeCell ref="AA83:AA84"/>
    <mergeCell ref="AA85:AA86"/>
    <mergeCell ref="AA87:AA88"/>
    <mergeCell ref="AA89:AA90"/>
    <mergeCell ref="AA91:AA92"/>
    <mergeCell ref="AA93:AA94"/>
    <mergeCell ref="AA71:AA72"/>
    <mergeCell ref="AA73:AA74"/>
    <mergeCell ref="AA75:AA76"/>
    <mergeCell ref="AA77:AA78"/>
    <mergeCell ref="AA79:AA80"/>
    <mergeCell ref="AA81:AA82"/>
    <mergeCell ref="AA59:AA60"/>
    <mergeCell ref="AA61:AA62"/>
    <mergeCell ref="AA63:AA64"/>
    <mergeCell ref="AA65:AA66"/>
    <mergeCell ref="AA67:AA68"/>
    <mergeCell ref="AA69:AA70"/>
    <mergeCell ref="Z97:Z98"/>
    <mergeCell ref="Z75:Z76"/>
    <mergeCell ref="Z77:Z78"/>
    <mergeCell ref="Z79:Z80"/>
    <mergeCell ref="Z81:Z82"/>
    <mergeCell ref="Z83:Z84"/>
    <mergeCell ref="Z85:Z86"/>
    <mergeCell ref="Y95:Y96"/>
    <mergeCell ref="Y97:Y98"/>
    <mergeCell ref="Z59:Z60"/>
    <mergeCell ref="Z61:Z62"/>
    <mergeCell ref="Z63:Z64"/>
    <mergeCell ref="Z65:Z66"/>
    <mergeCell ref="Z67:Z68"/>
    <mergeCell ref="Z69:Z70"/>
    <mergeCell ref="Z71:Z72"/>
    <mergeCell ref="Z73:Z74"/>
    <mergeCell ref="Y83:Y84"/>
    <mergeCell ref="Y85:Y86"/>
    <mergeCell ref="Y87:Y88"/>
    <mergeCell ref="Y89:Y90"/>
    <mergeCell ref="Y91:Y92"/>
    <mergeCell ref="Y93:Y94"/>
    <mergeCell ref="Y71:Y72"/>
    <mergeCell ref="Y73:Y74"/>
    <mergeCell ref="Y75:Y76"/>
    <mergeCell ref="Y77:Y78"/>
    <mergeCell ref="X97:X98"/>
    <mergeCell ref="Y59:Y60"/>
    <mergeCell ref="Y61:Y62"/>
    <mergeCell ref="Y63:Y64"/>
    <mergeCell ref="Y65:Y66"/>
    <mergeCell ref="Y67:Y68"/>
    <mergeCell ref="Y69:Y70"/>
    <mergeCell ref="X79:X80"/>
    <mergeCell ref="X81:X82"/>
    <mergeCell ref="X83:X84"/>
    <mergeCell ref="X85:X86"/>
    <mergeCell ref="X87:X88"/>
    <mergeCell ref="X89:X90"/>
    <mergeCell ref="X67:X68"/>
    <mergeCell ref="X69:X70"/>
    <mergeCell ref="X71:X72"/>
    <mergeCell ref="X73:X74"/>
    <mergeCell ref="X75:X76"/>
    <mergeCell ref="X77:X78"/>
    <mergeCell ref="AB4:AD4"/>
    <mergeCell ref="AB5:AD5"/>
    <mergeCell ref="W4:Z4"/>
    <mergeCell ref="W5:Z5"/>
    <mergeCell ref="Z50:Z51"/>
    <mergeCell ref="B55:B58"/>
    <mergeCell ref="C55:C58"/>
    <mergeCell ref="A7:B7"/>
    <mergeCell ref="C7:O7"/>
    <mergeCell ref="P7:Q7"/>
    <mergeCell ref="Z55:Z58"/>
    <mergeCell ref="AA55:AA58"/>
    <mergeCell ref="AC55:AC58"/>
    <mergeCell ref="S93:S94"/>
    <mergeCell ref="S95:S96"/>
    <mergeCell ref="S97:S98"/>
    <mergeCell ref="S55:S58"/>
    <mergeCell ref="X55:X58"/>
    <mergeCell ref="Y55:Y58"/>
    <mergeCell ref="X59:X60"/>
    <mergeCell ref="X61:X62"/>
    <mergeCell ref="X63:X64"/>
    <mergeCell ref="X65:X66"/>
    <mergeCell ref="S81:S82"/>
    <mergeCell ref="S83:S84"/>
    <mergeCell ref="S85:S86"/>
    <mergeCell ref="S87:S88"/>
    <mergeCell ref="S89:S90"/>
    <mergeCell ref="S91:S92"/>
    <mergeCell ref="S69:S70"/>
    <mergeCell ref="S71:S72"/>
    <mergeCell ref="S73:S74"/>
    <mergeCell ref="S59:S60"/>
    <mergeCell ref="S61:S62"/>
    <mergeCell ref="S63:S64"/>
    <mergeCell ref="S65:S66"/>
    <mergeCell ref="S67:S68"/>
    <mergeCell ref="AD50:AD51"/>
    <mergeCell ref="X50:X51"/>
    <mergeCell ref="Y50:Y51"/>
    <mergeCell ref="AA50:AA51"/>
    <mergeCell ref="S50:S51"/>
    <mergeCell ref="G49:G50"/>
    <mergeCell ref="A6:AD6"/>
    <mergeCell ref="AD48:AD49"/>
    <mergeCell ref="R7:S7"/>
    <mergeCell ref="AC50:AC51"/>
    <mergeCell ref="AC38:AC39"/>
    <mergeCell ref="AC40:AC41"/>
    <mergeCell ref="AC42:AC43"/>
    <mergeCell ref="AC44:AC45"/>
    <mergeCell ref="AC46:AC47"/>
    <mergeCell ref="AC48:AC49"/>
    <mergeCell ref="AC26:AC27"/>
    <mergeCell ref="AC28:AC29"/>
    <mergeCell ref="AC30:AC31"/>
    <mergeCell ref="AC32:AC33"/>
    <mergeCell ref="AC34:AC35"/>
    <mergeCell ref="AC36:AC37"/>
    <mergeCell ref="AA46:AA47"/>
    <mergeCell ref="AA48:AA49"/>
    <mergeCell ref="AC24:AC25"/>
    <mergeCell ref="AA34:AA35"/>
    <mergeCell ref="AA36:AA37"/>
    <mergeCell ref="AA38:AA39"/>
    <mergeCell ref="AA40:AA41"/>
    <mergeCell ref="AA42:AA43"/>
    <mergeCell ref="AA44:AA45"/>
    <mergeCell ref="AA22:AA23"/>
    <mergeCell ref="AA24:AA25"/>
    <mergeCell ref="AA26:AA27"/>
    <mergeCell ref="AA28:AA29"/>
    <mergeCell ref="AA30:AA31"/>
    <mergeCell ref="AA32:AA33"/>
    <mergeCell ref="A4:B4"/>
    <mergeCell ref="A5:B5"/>
    <mergeCell ref="C4:P4"/>
    <mergeCell ref="C5:P5"/>
    <mergeCell ref="Q4:S5"/>
    <mergeCell ref="Y8:Y11"/>
    <mergeCell ref="Z8:Z11"/>
    <mergeCell ref="S8:S11"/>
    <mergeCell ref="AA8:AA11"/>
    <mergeCell ref="Y38:Y39"/>
    <mergeCell ref="Y40:Y41"/>
    <mergeCell ref="Y42:Y43"/>
    <mergeCell ref="Y44:Y45"/>
    <mergeCell ref="X18:X19"/>
    <mergeCell ref="X20:X21"/>
    <mergeCell ref="D44:D45"/>
    <mergeCell ref="E44:E45"/>
    <mergeCell ref="F44:F45"/>
    <mergeCell ref="H44:H45"/>
    <mergeCell ref="Q44:Q45"/>
    <mergeCell ref="W42:W43"/>
    <mergeCell ref="V39:V40"/>
    <mergeCell ref="AC8:AC11"/>
    <mergeCell ref="B8:B11"/>
    <mergeCell ref="C8:C11"/>
    <mergeCell ref="S42:S43"/>
    <mergeCell ref="S44:S45"/>
    <mergeCell ref="X8:X11"/>
    <mergeCell ref="S30:S31"/>
    <mergeCell ref="S32:S33"/>
    <mergeCell ref="S34:S35"/>
    <mergeCell ref="S36:S37"/>
    <mergeCell ref="Z46:Z47"/>
    <mergeCell ref="Z48:Z49"/>
    <mergeCell ref="AA12:AA13"/>
    <mergeCell ref="AA14:AA15"/>
    <mergeCell ref="AA16:AA17"/>
    <mergeCell ref="AA18:AA19"/>
    <mergeCell ref="AA20:AA21"/>
    <mergeCell ref="Z30:Z31"/>
    <mergeCell ref="Z32:Z33"/>
    <mergeCell ref="Z34:Z35"/>
    <mergeCell ref="Z36:Z37"/>
    <mergeCell ref="Z38:Z39"/>
    <mergeCell ref="Z40:Z41"/>
    <mergeCell ref="Z12:Z13"/>
    <mergeCell ref="Z14:Z15"/>
    <mergeCell ref="Z16:Z17"/>
    <mergeCell ref="Z18:Z19"/>
    <mergeCell ref="Z20:Z21"/>
    <mergeCell ref="Z22:Z23"/>
    <mergeCell ref="Z24:Z25"/>
    <mergeCell ref="Z26:Z27"/>
    <mergeCell ref="Z28:Z29"/>
    <mergeCell ref="Y46:Y47"/>
    <mergeCell ref="Y48:Y49"/>
    <mergeCell ref="Y26:Y27"/>
    <mergeCell ref="Y28:Y29"/>
    <mergeCell ref="Y30:Y31"/>
    <mergeCell ref="Y32:Y33"/>
    <mergeCell ref="Y34:Y35"/>
    <mergeCell ref="Y36:Y37"/>
    <mergeCell ref="X46:X47"/>
    <mergeCell ref="X48:X49"/>
    <mergeCell ref="Y12:Y13"/>
    <mergeCell ref="Y14:Y15"/>
    <mergeCell ref="Y16:Y17"/>
    <mergeCell ref="Y18:Y19"/>
    <mergeCell ref="Y20:Y21"/>
    <mergeCell ref="Y22:Y23"/>
    <mergeCell ref="Y24:Y25"/>
    <mergeCell ref="X34:X35"/>
    <mergeCell ref="X36:X37"/>
    <mergeCell ref="X38:X39"/>
    <mergeCell ref="X40:X41"/>
    <mergeCell ref="X42:X43"/>
    <mergeCell ref="X44:X45"/>
    <mergeCell ref="X22:X23"/>
    <mergeCell ref="X24:X25"/>
    <mergeCell ref="X26:X27"/>
    <mergeCell ref="X28:X29"/>
    <mergeCell ref="X30:X31"/>
    <mergeCell ref="X32:X33"/>
    <mergeCell ref="X12:X13"/>
    <mergeCell ref="X14:X15"/>
    <mergeCell ref="X16:X17"/>
    <mergeCell ref="H97:H98"/>
    <mergeCell ref="Q97:Q98"/>
    <mergeCell ref="R97:R98"/>
    <mergeCell ref="W97:W98"/>
    <mergeCell ref="N96:N97"/>
    <mergeCell ref="O96:O97"/>
    <mergeCell ref="P96:P97"/>
    <mergeCell ref="U96:U97"/>
    <mergeCell ref="V96:V97"/>
    <mergeCell ref="A97:A98"/>
    <mergeCell ref="B97:B98"/>
    <mergeCell ref="D97:D98"/>
    <mergeCell ref="E97:E98"/>
    <mergeCell ref="F97:F98"/>
    <mergeCell ref="Q95:Q96"/>
    <mergeCell ref="R95:R96"/>
    <mergeCell ref="W95:W96"/>
    <mergeCell ref="G96:G97"/>
    <mergeCell ref="I96:I97"/>
    <mergeCell ref="J96:J97"/>
    <mergeCell ref="K96:K97"/>
    <mergeCell ref="L96:L97"/>
    <mergeCell ref="M96:M97"/>
    <mergeCell ref="O94:O95"/>
    <mergeCell ref="P94:P95"/>
    <mergeCell ref="U94:U95"/>
    <mergeCell ref="V94:V95"/>
    <mergeCell ref="A95:A96"/>
    <mergeCell ref="B95:B96"/>
    <mergeCell ref="D95:D96"/>
    <mergeCell ref="E95:E96"/>
    <mergeCell ref="F95:F96"/>
    <mergeCell ref="A93:A94"/>
    <mergeCell ref="B93:B94"/>
    <mergeCell ref="D93:D94"/>
    <mergeCell ref="E93:E94"/>
    <mergeCell ref="F93:F94"/>
    <mergeCell ref="H93:H94"/>
    <mergeCell ref="Q93:Q94"/>
    <mergeCell ref="W91:W92"/>
    <mergeCell ref="AD91:AD92"/>
    <mergeCell ref="G92:G93"/>
    <mergeCell ref="I92:I93"/>
    <mergeCell ref="J92:J93"/>
    <mergeCell ref="K92:K93"/>
    <mergeCell ref="L92:L93"/>
    <mergeCell ref="M92:M93"/>
    <mergeCell ref="N92:N93"/>
    <mergeCell ref="O92:O93"/>
    <mergeCell ref="U90:U91"/>
    <mergeCell ref="X91:X92"/>
    <mergeCell ref="X93:X94"/>
    <mergeCell ref="Z89:Z90"/>
    <mergeCell ref="Z91:Z92"/>
    <mergeCell ref="Z93:Z94"/>
    <mergeCell ref="Q89:Q90"/>
    <mergeCell ref="R89:R90"/>
    <mergeCell ref="P90:P91"/>
    <mergeCell ref="W87:W88"/>
    <mergeCell ref="AD87:AD88"/>
    <mergeCell ref="G88:G89"/>
    <mergeCell ref="H95:H96"/>
    <mergeCell ref="R93:R94"/>
    <mergeCell ref="W93:W94"/>
    <mergeCell ref="AD93:AD94"/>
    <mergeCell ref="G94:G95"/>
    <mergeCell ref="I94:I95"/>
    <mergeCell ref="J94:J95"/>
    <mergeCell ref="K94:K95"/>
    <mergeCell ref="L94:L95"/>
    <mergeCell ref="M94:M95"/>
    <mergeCell ref="N94:N95"/>
    <mergeCell ref="P92:P93"/>
    <mergeCell ref="U92:U93"/>
    <mergeCell ref="V92:V93"/>
    <mergeCell ref="X95:X96"/>
    <mergeCell ref="Z87:Z88"/>
    <mergeCell ref="Z95:Z96"/>
    <mergeCell ref="P86:P87"/>
    <mergeCell ref="A85:A86"/>
    <mergeCell ref="B85:B86"/>
    <mergeCell ref="D85:D86"/>
    <mergeCell ref="E85:E86"/>
    <mergeCell ref="F85:F86"/>
    <mergeCell ref="V90:V91"/>
    <mergeCell ref="A91:A92"/>
    <mergeCell ref="B91:B92"/>
    <mergeCell ref="D91:D92"/>
    <mergeCell ref="E91:E92"/>
    <mergeCell ref="F91:F92"/>
    <mergeCell ref="H91:H92"/>
    <mergeCell ref="Q91:Q92"/>
    <mergeCell ref="R91:R92"/>
    <mergeCell ref="W89:W90"/>
    <mergeCell ref="AD89:AD90"/>
    <mergeCell ref="G90:G91"/>
    <mergeCell ref="I90:I91"/>
    <mergeCell ref="J90:J91"/>
    <mergeCell ref="K90:K91"/>
    <mergeCell ref="L90:L91"/>
    <mergeCell ref="M90:M91"/>
    <mergeCell ref="N90:N91"/>
    <mergeCell ref="O90:O91"/>
    <mergeCell ref="V88:V89"/>
    <mergeCell ref="A89:A90"/>
    <mergeCell ref="B89:B90"/>
    <mergeCell ref="D89:D90"/>
    <mergeCell ref="E89:E90"/>
    <mergeCell ref="F89:F90"/>
    <mergeCell ref="H89:H90"/>
    <mergeCell ref="J84:J85"/>
    <mergeCell ref="K84:K85"/>
    <mergeCell ref="L84:L85"/>
    <mergeCell ref="M84:M85"/>
    <mergeCell ref="O82:O83"/>
    <mergeCell ref="I88:I89"/>
    <mergeCell ref="J88:J89"/>
    <mergeCell ref="K88:K89"/>
    <mergeCell ref="L88:L89"/>
    <mergeCell ref="M88:M89"/>
    <mergeCell ref="N88:N89"/>
    <mergeCell ref="O88:O89"/>
    <mergeCell ref="A87:A88"/>
    <mergeCell ref="B87:B88"/>
    <mergeCell ref="D87:D88"/>
    <mergeCell ref="E87:E88"/>
    <mergeCell ref="F87:F88"/>
    <mergeCell ref="H87:H88"/>
    <mergeCell ref="M86:M87"/>
    <mergeCell ref="N86:N87"/>
    <mergeCell ref="O86:O87"/>
    <mergeCell ref="D81:D82"/>
    <mergeCell ref="E81:E82"/>
    <mergeCell ref="F81:F82"/>
    <mergeCell ref="H81:H82"/>
    <mergeCell ref="Q81:Q82"/>
    <mergeCell ref="U86:U87"/>
    <mergeCell ref="V86:V87"/>
    <mergeCell ref="Q87:Q88"/>
    <mergeCell ref="R87:R88"/>
    <mergeCell ref="P88:P89"/>
    <mergeCell ref="U88:U89"/>
    <mergeCell ref="H85:H86"/>
    <mergeCell ref="Q85:Q86"/>
    <mergeCell ref="R85:R86"/>
    <mergeCell ref="W85:W86"/>
    <mergeCell ref="AD85:AD86"/>
    <mergeCell ref="G86:G87"/>
    <mergeCell ref="I86:I87"/>
    <mergeCell ref="J86:J87"/>
    <mergeCell ref="K86:K87"/>
    <mergeCell ref="L86:L87"/>
    <mergeCell ref="N84:N85"/>
    <mergeCell ref="O84:O85"/>
    <mergeCell ref="P84:P85"/>
    <mergeCell ref="U84:U85"/>
    <mergeCell ref="V84:V85"/>
    <mergeCell ref="Q83:Q84"/>
    <mergeCell ref="R83:R84"/>
    <mergeCell ref="W83:W84"/>
    <mergeCell ref="AD83:AD84"/>
    <mergeCell ref="G84:G85"/>
    <mergeCell ref="I84:I85"/>
    <mergeCell ref="M78:M79"/>
    <mergeCell ref="N78:N79"/>
    <mergeCell ref="O78:O79"/>
    <mergeCell ref="V76:V77"/>
    <mergeCell ref="A77:A78"/>
    <mergeCell ref="P82:P83"/>
    <mergeCell ref="U82:U83"/>
    <mergeCell ref="V82:V83"/>
    <mergeCell ref="A83:A84"/>
    <mergeCell ref="B83:B84"/>
    <mergeCell ref="D83:D84"/>
    <mergeCell ref="E83:E84"/>
    <mergeCell ref="F83:F84"/>
    <mergeCell ref="H83:H84"/>
    <mergeCell ref="R81:R82"/>
    <mergeCell ref="W81:W82"/>
    <mergeCell ref="AD81:AD82"/>
    <mergeCell ref="G82:G83"/>
    <mergeCell ref="I82:I83"/>
    <mergeCell ref="J82:J83"/>
    <mergeCell ref="K82:K83"/>
    <mergeCell ref="L82:L83"/>
    <mergeCell ref="M82:M83"/>
    <mergeCell ref="N82:N83"/>
    <mergeCell ref="P80:P81"/>
    <mergeCell ref="U80:U81"/>
    <mergeCell ref="V80:V81"/>
    <mergeCell ref="S79:S80"/>
    <mergeCell ref="Y79:Y80"/>
    <mergeCell ref="Y81:Y82"/>
    <mergeCell ref="A81:A82"/>
    <mergeCell ref="B81:B82"/>
    <mergeCell ref="W75:W76"/>
    <mergeCell ref="AD75:AD76"/>
    <mergeCell ref="G76:G77"/>
    <mergeCell ref="I76:I77"/>
    <mergeCell ref="J76:J77"/>
    <mergeCell ref="K76:K77"/>
    <mergeCell ref="L76:L77"/>
    <mergeCell ref="M76:M77"/>
    <mergeCell ref="N76:N77"/>
    <mergeCell ref="O76:O77"/>
    <mergeCell ref="W79:W80"/>
    <mergeCell ref="AD79:AD80"/>
    <mergeCell ref="G80:G81"/>
    <mergeCell ref="I80:I81"/>
    <mergeCell ref="J80:J81"/>
    <mergeCell ref="K80:K81"/>
    <mergeCell ref="L80:L81"/>
    <mergeCell ref="M80:M81"/>
    <mergeCell ref="N80:N81"/>
    <mergeCell ref="O80:O81"/>
    <mergeCell ref="U78:U79"/>
    <mergeCell ref="V78:V79"/>
    <mergeCell ref="H79:H80"/>
    <mergeCell ref="Q79:Q80"/>
    <mergeCell ref="R79:R80"/>
    <mergeCell ref="W77:W78"/>
    <mergeCell ref="AD77:AD78"/>
    <mergeCell ref="G78:G79"/>
    <mergeCell ref="I78:I79"/>
    <mergeCell ref="J78:J79"/>
    <mergeCell ref="K78:K79"/>
    <mergeCell ref="L78:L79"/>
    <mergeCell ref="A75:A76"/>
    <mergeCell ref="B75:B76"/>
    <mergeCell ref="D75:D76"/>
    <mergeCell ref="E75:E76"/>
    <mergeCell ref="F75:F76"/>
    <mergeCell ref="H75:H76"/>
    <mergeCell ref="M74:M75"/>
    <mergeCell ref="N74:N75"/>
    <mergeCell ref="O74:O75"/>
    <mergeCell ref="P74:P75"/>
    <mergeCell ref="U74:U75"/>
    <mergeCell ref="V74:V75"/>
    <mergeCell ref="Q75:Q76"/>
    <mergeCell ref="R75:R76"/>
    <mergeCell ref="P76:P77"/>
    <mergeCell ref="U76:U77"/>
    <mergeCell ref="H73:H74"/>
    <mergeCell ref="Q73:Q74"/>
    <mergeCell ref="R73:R74"/>
    <mergeCell ref="B77:B78"/>
    <mergeCell ref="D77:D78"/>
    <mergeCell ref="E77:E78"/>
    <mergeCell ref="F77:F78"/>
    <mergeCell ref="H77:H78"/>
    <mergeCell ref="Q77:Q78"/>
    <mergeCell ref="R77:R78"/>
    <mergeCell ref="P78:P79"/>
    <mergeCell ref="A79:A80"/>
    <mergeCell ref="B79:B80"/>
    <mergeCell ref="D79:D80"/>
    <mergeCell ref="E79:E80"/>
    <mergeCell ref="F79:F80"/>
    <mergeCell ref="W73:W74"/>
    <mergeCell ref="AD73:AD74"/>
    <mergeCell ref="G74:G75"/>
    <mergeCell ref="I74:I75"/>
    <mergeCell ref="J74:J75"/>
    <mergeCell ref="K74:K75"/>
    <mergeCell ref="L74:L75"/>
    <mergeCell ref="N72:N73"/>
    <mergeCell ref="O72:O73"/>
    <mergeCell ref="P72:P73"/>
    <mergeCell ref="U72:U73"/>
    <mergeCell ref="V72:V73"/>
    <mergeCell ref="S75:S76"/>
    <mergeCell ref="S77:S78"/>
    <mergeCell ref="A73:A74"/>
    <mergeCell ref="B73:B74"/>
    <mergeCell ref="D73:D74"/>
    <mergeCell ref="E73:E74"/>
    <mergeCell ref="F73:F74"/>
    <mergeCell ref="Q71:Q72"/>
    <mergeCell ref="R71:R72"/>
    <mergeCell ref="W71:W72"/>
    <mergeCell ref="AD71:AD72"/>
    <mergeCell ref="G72:G73"/>
    <mergeCell ref="I72:I73"/>
    <mergeCell ref="J72:J73"/>
    <mergeCell ref="K72:K73"/>
    <mergeCell ref="L72:L73"/>
    <mergeCell ref="M72:M73"/>
    <mergeCell ref="O70:O71"/>
    <mergeCell ref="P70:P71"/>
    <mergeCell ref="U70:U71"/>
    <mergeCell ref="V70:V71"/>
    <mergeCell ref="A71:A72"/>
    <mergeCell ref="B71:B72"/>
    <mergeCell ref="D71:D72"/>
    <mergeCell ref="E71:E72"/>
    <mergeCell ref="F71:F72"/>
    <mergeCell ref="H71:H72"/>
    <mergeCell ref="R69:R70"/>
    <mergeCell ref="W69:W70"/>
    <mergeCell ref="AD69:AD70"/>
    <mergeCell ref="G70:G71"/>
    <mergeCell ref="I70:I71"/>
    <mergeCell ref="J70:J71"/>
    <mergeCell ref="K70:K71"/>
    <mergeCell ref="L70:L71"/>
    <mergeCell ref="M70:M71"/>
    <mergeCell ref="N70:N71"/>
    <mergeCell ref="P68:P69"/>
    <mergeCell ref="U68:U69"/>
    <mergeCell ref="V68:V69"/>
    <mergeCell ref="A69:A70"/>
    <mergeCell ref="B69:B70"/>
    <mergeCell ref="D69:D70"/>
    <mergeCell ref="E69:E70"/>
    <mergeCell ref="F69:F70"/>
    <mergeCell ref="H69:H70"/>
    <mergeCell ref="Q69:Q70"/>
    <mergeCell ref="W67:W68"/>
    <mergeCell ref="AD67:AD68"/>
    <mergeCell ref="G68:G69"/>
    <mergeCell ref="I68:I69"/>
    <mergeCell ref="J68:J69"/>
    <mergeCell ref="K68:K69"/>
    <mergeCell ref="L68:L69"/>
    <mergeCell ref="M68:M69"/>
    <mergeCell ref="N68:N69"/>
    <mergeCell ref="O68:O69"/>
    <mergeCell ref="U66:U67"/>
    <mergeCell ref="V66:V67"/>
    <mergeCell ref="A67:A68"/>
    <mergeCell ref="B67:B68"/>
    <mergeCell ref="D67:D68"/>
    <mergeCell ref="E67:E68"/>
    <mergeCell ref="F67:F68"/>
    <mergeCell ref="H67:H68"/>
    <mergeCell ref="Q67:Q68"/>
    <mergeCell ref="A65:A66"/>
    <mergeCell ref="B65:B66"/>
    <mergeCell ref="D65:D66"/>
    <mergeCell ref="E65:E66"/>
    <mergeCell ref="F65:F66"/>
    <mergeCell ref="H65:H66"/>
    <mergeCell ref="Q65:Q66"/>
    <mergeCell ref="R65:R66"/>
    <mergeCell ref="P66:P67"/>
    <mergeCell ref="R67:R68"/>
    <mergeCell ref="N66:N67"/>
    <mergeCell ref="O66:O67"/>
    <mergeCell ref="V64:V65"/>
    <mergeCell ref="W63:W64"/>
    <mergeCell ref="AD63:AD64"/>
    <mergeCell ref="G64:G65"/>
    <mergeCell ref="I64:I65"/>
    <mergeCell ref="J64:J65"/>
    <mergeCell ref="K64:K65"/>
    <mergeCell ref="L64:L65"/>
    <mergeCell ref="M64:M65"/>
    <mergeCell ref="N64:N65"/>
    <mergeCell ref="O64:O65"/>
    <mergeCell ref="A63:A64"/>
    <mergeCell ref="M62:M63"/>
    <mergeCell ref="N62:N63"/>
    <mergeCell ref="O62:O63"/>
    <mergeCell ref="P62:P63"/>
    <mergeCell ref="U62:U63"/>
    <mergeCell ref="V62:V63"/>
    <mergeCell ref="Q63:Q64"/>
    <mergeCell ref="R63:R64"/>
    <mergeCell ref="P64:P65"/>
    <mergeCell ref="U64:U65"/>
    <mergeCell ref="H61:H62"/>
    <mergeCell ref="Q61:Q62"/>
    <mergeCell ref="R61:R62"/>
    <mergeCell ref="W65:W66"/>
    <mergeCell ref="AD65:AD66"/>
    <mergeCell ref="G66:G67"/>
    <mergeCell ref="I66:I67"/>
    <mergeCell ref="J66:J67"/>
    <mergeCell ref="K66:K67"/>
    <mergeCell ref="L66:L67"/>
    <mergeCell ref="M66:M67"/>
    <mergeCell ref="W61:W62"/>
    <mergeCell ref="AD61:AD62"/>
    <mergeCell ref="G62:G63"/>
    <mergeCell ref="I62:I63"/>
    <mergeCell ref="J62:J63"/>
    <mergeCell ref="K62:K63"/>
    <mergeCell ref="L62:L63"/>
    <mergeCell ref="N60:N61"/>
    <mergeCell ref="O60:O61"/>
    <mergeCell ref="P60:P61"/>
    <mergeCell ref="U60:U61"/>
    <mergeCell ref="V60:V61"/>
    <mergeCell ref="A61:A62"/>
    <mergeCell ref="B61:B62"/>
    <mergeCell ref="D61:D62"/>
    <mergeCell ref="E61:E62"/>
    <mergeCell ref="F61:F62"/>
    <mergeCell ref="Q59:Q60"/>
    <mergeCell ref="R59:R60"/>
    <mergeCell ref="W59:W60"/>
    <mergeCell ref="AD59:AD60"/>
    <mergeCell ref="G60:G61"/>
    <mergeCell ref="I60:I61"/>
    <mergeCell ref="J60:J61"/>
    <mergeCell ref="K60:K61"/>
    <mergeCell ref="L60:L61"/>
    <mergeCell ref="M60:M61"/>
    <mergeCell ref="B63:B64"/>
    <mergeCell ref="D63:D64"/>
    <mergeCell ref="E63:E64"/>
    <mergeCell ref="F63:F64"/>
    <mergeCell ref="H63:H64"/>
    <mergeCell ref="U55:U58"/>
    <mergeCell ref="W55:W58"/>
    <mergeCell ref="AB55:AB58"/>
    <mergeCell ref="AD55:AD58"/>
    <mergeCell ref="A59:A60"/>
    <mergeCell ref="B59:B60"/>
    <mergeCell ref="D59:D60"/>
    <mergeCell ref="E59:E60"/>
    <mergeCell ref="F59:F60"/>
    <mergeCell ref="H59:H60"/>
    <mergeCell ref="W50:W51"/>
    <mergeCell ref="B52:B53"/>
    <mergeCell ref="A55:A58"/>
    <mergeCell ref="N55:N58"/>
    <mergeCell ref="O55:O58"/>
    <mergeCell ref="P55:P58"/>
    <mergeCell ref="Q55:Q58"/>
    <mergeCell ref="R55:R58"/>
    <mergeCell ref="A50:A51"/>
    <mergeCell ref="B50:B51"/>
    <mergeCell ref="D50:D51"/>
    <mergeCell ref="E50:E51"/>
    <mergeCell ref="F50:F51"/>
    <mergeCell ref="H50:H51"/>
    <mergeCell ref="M49:M50"/>
    <mergeCell ref="N49:N50"/>
    <mergeCell ref="O49:O50"/>
    <mergeCell ref="P49:P50"/>
    <mergeCell ref="U49:U50"/>
    <mergeCell ref="V49:V50"/>
    <mergeCell ref="Q50:Q51"/>
    <mergeCell ref="R50:R51"/>
    <mergeCell ref="H48:H49"/>
    <mergeCell ref="Q48:Q49"/>
    <mergeCell ref="R48:R49"/>
    <mergeCell ref="W48:W49"/>
    <mergeCell ref="I49:I50"/>
    <mergeCell ref="J49:J50"/>
    <mergeCell ref="K49:K50"/>
    <mergeCell ref="L49:L50"/>
    <mergeCell ref="N47:N48"/>
    <mergeCell ref="O47:O48"/>
    <mergeCell ref="P47:P48"/>
    <mergeCell ref="U47:U48"/>
    <mergeCell ref="V47:V48"/>
    <mergeCell ref="A48:A49"/>
    <mergeCell ref="B48:B49"/>
    <mergeCell ref="D48:D49"/>
    <mergeCell ref="E48:E49"/>
    <mergeCell ref="F48:F49"/>
    <mergeCell ref="Q46:Q47"/>
    <mergeCell ref="R46:R47"/>
    <mergeCell ref="W46:W47"/>
    <mergeCell ref="S46:S47"/>
    <mergeCell ref="S48:S49"/>
    <mergeCell ref="AD46:AD47"/>
    <mergeCell ref="G47:G48"/>
    <mergeCell ref="I47:I48"/>
    <mergeCell ref="J47:J48"/>
    <mergeCell ref="K47:K48"/>
    <mergeCell ref="L47:L48"/>
    <mergeCell ref="M47:M48"/>
    <mergeCell ref="O45:O46"/>
    <mergeCell ref="P45:P46"/>
    <mergeCell ref="U45:U46"/>
    <mergeCell ref="V45:V46"/>
    <mergeCell ref="A46:A47"/>
    <mergeCell ref="B46:B47"/>
    <mergeCell ref="D46:D47"/>
    <mergeCell ref="E46:E47"/>
    <mergeCell ref="F46:F47"/>
    <mergeCell ref="H46:H47"/>
    <mergeCell ref="R44:R45"/>
    <mergeCell ref="W44:W45"/>
    <mergeCell ref="AD44:AD45"/>
    <mergeCell ref="G45:G46"/>
    <mergeCell ref="I45:I46"/>
    <mergeCell ref="J45:J46"/>
    <mergeCell ref="K45:K46"/>
    <mergeCell ref="L45:L46"/>
    <mergeCell ref="M45:M46"/>
    <mergeCell ref="N45:N46"/>
    <mergeCell ref="P43:P44"/>
    <mergeCell ref="U43:U44"/>
    <mergeCell ref="V43:V44"/>
    <mergeCell ref="A44:A45"/>
    <mergeCell ref="B44:B45"/>
    <mergeCell ref="AD42:AD43"/>
    <mergeCell ref="G43:G44"/>
    <mergeCell ref="I43:I44"/>
    <mergeCell ref="J43:J44"/>
    <mergeCell ref="K43:K44"/>
    <mergeCell ref="L43:L44"/>
    <mergeCell ref="M43:M44"/>
    <mergeCell ref="N43:N44"/>
    <mergeCell ref="O43:O44"/>
    <mergeCell ref="U41:U42"/>
    <mergeCell ref="V41:V42"/>
    <mergeCell ref="Z42:Z43"/>
    <mergeCell ref="Z44:Z45"/>
    <mergeCell ref="S40:S41"/>
    <mergeCell ref="A42:A43"/>
    <mergeCell ref="B42:B43"/>
    <mergeCell ref="D42:D43"/>
    <mergeCell ref="E42:E43"/>
    <mergeCell ref="F42:F43"/>
    <mergeCell ref="H42:H43"/>
    <mergeCell ref="Q42:Q43"/>
    <mergeCell ref="R42:R43"/>
    <mergeCell ref="W40:W41"/>
    <mergeCell ref="AD40:AD41"/>
    <mergeCell ref="G41:G42"/>
    <mergeCell ref="I41:I42"/>
    <mergeCell ref="J41:J42"/>
    <mergeCell ref="K41:K42"/>
    <mergeCell ref="L41:L42"/>
    <mergeCell ref="M41:M42"/>
    <mergeCell ref="N41:N42"/>
    <mergeCell ref="O41:O42"/>
    <mergeCell ref="A40:A41"/>
    <mergeCell ref="B40:B41"/>
    <mergeCell ref="D40:D41"/>
    <mergeCell ref="E40:E41"/>
    <mergeCell ref="F40:F41"/>
    <mergeCell ref="H40:H41"/>
    <mergeCell ref="Q40:Q41"/>
    <mergeCell ref="R40:R41"/>
    <mergeCell ref="P41:P42"/>
    <mergeCell ref="W38:W39"/>
    <mergeCell ref="AD38:AD39"/>
    <mergeCell ref="G39:G40"/>
    <mergeCell ref="I39:I40"/>
    <mergeCell ref="J39:J40"/>
    <mergeCell ref="K39:K40"/>
    <mergeCell ref="L39:L40"/>
    <mergeCell ref="M39:M40"/>
    <mergeCell ref="N39:N40"/>
    <mergeCell ref="O39:O40"/>
    <mergeCell ref="A38:A39"/>
    <mergeCell ref="B38:B39"/>
    <mergeCell ref="D38:D39"/>
    <mergeCell ref="E38:E39"/>
    <mergeCell ref="F38:F39"/>
    <mergeCell ref="H38:H39"/>
    <mergeCell ref="M37:M38"/>
    <mergeCell ref="N37:N38"/>
    <mergeCell ref="O37:O38"/>
    <mergeCell ref="P37:P38"/>
    <mergeCell ref="U37:U38"/>
    <mergeCell ref="A36:A37"/>
    <mergeCell ref="B36:B37"/>
    <mergeCell ref="D36:D37"/>
    <mergeCell ref="E36:E37"/>
    <mergeCell ref="F36:F37"/>
    <mergeCell ref="S38:S39"/>
    <mergeCell ref="V37:V38"/>
    <mergeCell ref="Q38:Q39"/>
    <mergeCell ref="R38:R39"/>
    <mergeCell ref="P39:P40"/>
    <mergeCell ref="U39:U40"/>
    <mergeCell ref="H36:H37"/>
    <mergeCell ref="Q36:Q37"/>
    <mergeCell ref="R36:R37"/>
    <mergeCell ref="W36:W37"/>
    <mergeCell ref="AD36:AD37"/>
    <mergeCell ref="G37:G38"/>
    <mergeCell ref="I37:I38"/>
    <mergeCell ref="J37:J38"/>
    <mergeCell ref="K37:K38"/>
    <mergeCell ref="L37:L38"/>
    <mergeCell ref="N35:N36"/>
    <mergeCell ref="O35:O36"/>
    <mergeCell ref="P35:P36"/>
    <mergeCell ref="U35:U36"/>
    <mergeCell ref="V35:V36"/>
    <mergeCell ref="Q34:Q35"/>
    <mergeCell ref="R34:R35"/>
    <mergeCell ref="W34:W35"/>
    <mergeCell ref="AD34:AD35"/>
    <mergeCell ref="G35:G36"/>
    <mergeCell ref="I35:I36"/>
    <mergeCell ref="J35:J36"/>
    <mergeCell ref="K35:K36"/>
    <mergeCell ref="L35:L36"/>
    <mergeCell ref="M35:M36"/>
    <mergeCell ref="O33:O34"/>
    <mergeCell ref="P33:P34"/>
    <mergeCell ref="U33:U34"/>
    <mergeCell ref="V33:V34"/>
    <mergeCell ref="A34:A35"/>
    <mergeCell ref="B34:B35"/>
    <mergeCell ref="D34:D35"/>
    <mergeCell ref="E34:E35"/>
    <mergeCell ref="F34:F35"/>
    <mergeCell ref="H34:H35"/>
    <mergeCell ref="R32:R33"/>
    <mergeCell ref="W32:W33"/>
    <mergeCell ref="AD32:AD33"/>
    <mergeCell ref="G33:G34"/>
    <mergeCell ref="I33:I34"/>
    <mergeCell ref="J33:J34"/>
    <mergeCell ref="K33:K34"/>
    <mergeCell ref="L33:L34"/>
    <mergeCell ref="M33:M34"/>
    <mergeCell ref="N33:N34"/>
    <mergeCell ref="P31:P32"/>
    <mergeCell ref="U31:U32"/>
    <mergeCell ref="V31:V32"/>
    <mergeCell ref="A32:A33"/>
    <mergeCell ref="B32:B33"/>
    <mergeCell ref="D32:D33"/>
    <mergeCell ref="E32:E33"/>
    <mergeCell ref="F32:F33"/>
    <mergeCell ref="H32:H33"/>
    <mergeCell ref="Q32:Q33"/>
    <mergeCell ref="W30:W31"/>
    <mergeCell ref="AD30:AD31"/>
    <mergeCell ref="G31:G32"/>
    <mergeCell ref="I31:I32"/>
    <mergeCell ref="J31:J32"/>
    <mergeCell ref="K31:K32"/>
    <mergeCell ref="L31:L32"/>
    <mergeCell ref="M31:M32"/>
    <mergeCell ref="N31:N32"/>
    <mergeCell ref="O31:O32"/>
    <mergeCell ref="U29:U30"/>
    <mergeCell ref="V29:V30"/>
    <mergeCell ref="A30:A31"/>
    <mergeCell ref="B30:B31"/>
    <mergeCell ref="D30:D31"/>
    <mergeCell ref="E30:E31"/>
    <mergeCell ref="F30:F31"/>
    <mergeCell ref="H30:H31"/>
    <mergeCell ref="Q30:Q31"/>
    <mergeCell ref="R30:R31"/>
    <mergeCell ref="W28:W29"/>
    <mergeCell ref="S28:S29"/>
    <mergeCell ref="AD28:AD29"/>
    <mergeCell ref="G29:G30"/>
    <mergeCell ref="I29:I30"/>
    <mergeCell ref="J29:J30"/>
    <mergeCell ref="K29:K30"/>
    <mergeCell ref="L29:L30"/>
    <mergeCell ref="M29:M30"/>
    <mergeCell ref="N29:N30"/>
    <mergeCell ref="O29:O30"/>
    <mergeCell ref="V27:V28"/>
    <mergeCell ref="A28:A29"/>
    <mergeCell ref="B28:B29"/>
    <mergeCell ref="D28:D29"/>
    <mergeCell ref="E28:E29"/>
    <mergeCell ref="F28:F29"/>
    <mergeCell ref="H28:H29"/>
    <mergeCell ref="Q28:Q29"/>
    <mergeCell ref="R28:R29"/>
    <mergeCell ref="P29:P30"/>
    <mergeCell ref="W26:W27"/>
    <mergeCell ref="AD26:AD27"/>
    <mergeCell ref="G27:G28"/>
    <mergeCell ref="I27:I28"/>
    <mergeCell ref="J27:J28"/>
    <mergeCell ref="K27:K28"/>
    <mergeCell ref="L27:L28"/>
    <mergeCell ref="M27:M28"/>
    <mergeCell ref="N27:N28"/>
    <mergeCell ref="O27:O28"/>
    <mergeCell ref="A26:A27"/>
    <mergeCell ref="B26:B27"/>
    <mergeCell ref="D26:D27"/>
    <mergeCell ref="E26:E27"/>
    <mergeCell ref="F26:F27"/>
    <mergeCell ref="H26:H27"/>
    <mergeCell ref="M25:M26"/>
    <mergeCell ref="N25:N26"/>
    <mergeCell ref="O25:O26"/>
    <mergeCell ref="P25:P26"/>
    <mergeCell ref="U25:U26"/>
    <mergeCell ref="V25:V26"/>
    <mergeCell ref="Q26:Q27"/>
    <mergeCell ref="R26:R27"/>
    <mergeCell ref="P27:P28"/>
    <mergeCell ref="U27:U28"/>
    <mergeCell ref="H24:H25"/>
    <mergeCell ref="Q24:Q25"/>
    <mergeCell ref="R24:R25"/>
    <mergeCell ref="W24:W25"/>
    <mergeCell ref="S24:S25"/>
    <mergeCell ref="S26:S27"/>
    <mergeCell ref="AD24:AD25"/>
    <mergeCell ref="G25:G26"/>
    <mergeCell ref="I25:I26"/>
    <mergeCell ref="J25:J26"/>
    <mergeCell ref="K25:K26"/>
    <mergeCell ref="L25:L26"/>
    <mergeCell ref="N23:N24"/>
    <mergeCell ref="O23:O24"/>
    <mergeCell ref="P23:P24"/>
    <mergeCell ref="U23:U24"/>
    <mergeCell ref="V23:V24"/>
    <mergeCell ref="A24:A25"/>
    <mergeCell ref="B24:B25"/>
    <mergeCell ref="D24:D25"/>
    <mergeCell ref="E24:E25"/>
    <mergeCell ref="F24:F25"/>
    <mergeCell ref="Q22:Q23"/>
    <mergeCell ref="R22:R23"/>
    <mergeCell ref="W22:W23"/>
    <mergeCell ref="AD22:AD23"/>
    <mergeCell ref="G23:G24"/>
    <mergeCell ref="I23:I24"/>
    <mergeCell ref="J23:J24"/>
    <mergeCell ref="K23:K24"/>
    <mergeCell ref="L23:L24"/>
    <mergeCell ref="M23:M24"/>
    <mergeCell ref="O21:O22"/>
    <mergeCell ref="P21:P22"/>
    <mergeCell ref="U21:U22"/>
    <mergeCell ref="V21:V22"/>
    <mergeCell ref="A22:A23"/>
    <mergeCell ref="B22:B23"/>
    <mergeCell ref="D22:D23"/>
    <mergeCell ref="E22:E23"/>
    <mergeCell ref="F22:F23"/>
    <mergeCell ref="H22:H23"/>
    <mergeCell ref="R20:R21"/>
    <mergeCell ref="W20:W21"/>
    <mergeCell ref="AD20:AD21"/>
    <mergeCell ref="G21:G22"/>
    <mergeCell ref="I21:I22"/>
    <mergeCell ref="J21:J22"/>
    <mergeCell ref="K21:K22"/>
    <mergeCell ref="L21:L22"/>
    <mergeCell ref="M21:M22"/>
    <mergeCell ref="N21:N22"/>
    <mergeCell ref="P19:P20"/>
    <mergeCell ref="U19:U20"/>
    <mergeCell ref="V19:V20"/>
    <mergeCell ref="AC18:AC19"/>
    <mergeCell ref="AC20:AC21"/>
    <mergeCell ref="AC22:AC23"/>
    <mergeCell ref="S18:S19"/>
    <mergeCell ref="S20:S21"/>
    <mergeCell ref="S22:S23"/>
    <mergeCell ref="A20:A21"/>
    <mergeCell ref="B20:B21"/>
    <mergeCell ref="D20:D21"/>
    <mergeCell ref="E20:E21"/>
    <mergeCell ref="F20:F21"/>
    <mergeCell ref="H20:H21"/>
    <mergeCell ref="Q20:Q21"/>
    <mergeCell ref="W18:W19"/>
    <mergeCell ref="P17:P18"/>
    <mergeCell ref="AD18:AD19"/>
    <mergeCell ref="G19:G20"/>
    <mergeCell ref="I19:I20"/>
    <mergeCell ref="J19:J20"/>
    <mergeCell ref="K19:K20"/>
    <mergeCell ref="L19:L20"/>
    <mergeCell ref="M19:M20"/>
    <mergeCell ref="N19:N20"/>
    <mergeCell ref="O19:O20"/>
    <mergeCell ref="U17:U18"/>
    <mergeCell ref="V17:V18"/>
    <mergeCell ref="A18:A19"/>
    <mergeCell ref="B18:B19"/>
    <mergeCell ref="D18:D19"/>
    <mergeCell ref="E18:E19"/>
    <mergeCell ref="F18:F19"/>
    <mergeCell ref="H18:H19"/>
    <mergeCell ref="Q18:Q19"/>
    <mergeCell ref="R18:R19"/>
    <mergeCell ref="W16:W17"/>
    <mergeCell ref="AD16:AD17"/>
    <mergeCell ref="G17:G18"/>
    <mergeCell ref="I17:I18"/>
    <mergeCell ref="J17:J18"/>
    <mergeCell ref="A16:A17"/>
    <mergeCell ref="B16:B17"/>
    <mergeCell ref="D16:D17"/>
    <mergeCell ref="E16:E17"/>
    <mergeCell ref="F16:F17"/>
    <mergeCell ref="H16:H17"/>
    <mergeCell ref="Q16:Q17"/>
    <mergeCell ref="R16:R17"/>
    <mergeCell ref="W14:W15"/>
    <mergeCell ref="AD14:AD15"/>
    <mergeCell ref="G15:G16"/>
    <mergeCell ref="I15:I16"/>
    <mergeCell ref="J15:J16"/>
    <mergeCell ref="K15:K16"/>
    <mergeCell ref="L15:L16"/>
    <mergeCell ref="M15:M16"/>
    <mergeCell ref="N15:N16"/>
    <mergeCell ref="O15:O16"/>
    <mergeCell ref="A14:A15"/>
    <mergeCell ref="B14:B15"/>
    <mergeCell ref="D14:D15"/>
    <mergeCell ref="E14:E15"/>
    <mergeCell ref="F14:F15"/>
    <mergeCell ref="H14:H15"/>
    <mergeCell ref="M13:M14"/>
    <mergeCell ref="AC12:AC13"/>
    <mergeCell ref="AC14:AC15"/>
    <mergeCell ref="AC16:AC17"/>
    <mergeCell ref="S12:S13"/>
    <mergeCell ref="S14:S15"/>
    <mergeCell ref="S16:S17"/>
    <mergeCell ref="J13:J14"/>
    <mergeCell ref="K13:K14"/>
    <mergeCell ref="L13:L14"/>
    <mergeCell ref="K17:K18"/>
    <mergeCell ref="L17:L18"/>
    <mergeCell ref="M17:M18"/>
    <mergeCell ref="N17:N18"/>
    <mergeCell ref="O17:O18"/>
    <mergeCell ref="V15:V16"/>
    <mergeCell ref="R8:R11"/>
    <mergeCell ref="U8:U11"/>
    <mergeCell ref="W8:W11"/>
    <mergeCell ref="AB8:AB11"/>
    <mergeCell ref="AD8:AD11"/>
    <mergeCell ref="A12:A13"/>
    <mergeCell ref="B12:B13"/>
    <mergeCell ref="D12:D13"/>
    <mergeCell ref="E12:E13"/>
    <mergeCell ref="F12:F13"/>
    <mergeCell ref="A8:A11"/>
    <mergeCell ref="N8:N11"/>
    <mergeCell ref="O8:O11"/>
    <mergeCell ref="P8:P11"/>
    <mergeCell ref="Q8:Q11"/>
    <mergeCell ref="A1:AD1"/>
    <mergeCell ref="A2:AD2"/>
    <mergeCell ref="N13:N14"/>
    <mergeCell ref="O13:O14"/>
    <mergeCell ref="P13:P14"/>
    <mergeCell ref="V13:V14"/>
    <mergeCell ref="Q14:Q15"/>
    <mergeCell ref="R14:R15"/>
    <mergeCell ref="P15:P16"/>
    <mergeCell ref="U15:U16"/>
    <mergeCell ref="H12:H13"/>
    <mergeCell ref="Q12:Q13"/>
    <mergeCell ref="R12:R13"/>
    <mergeCell ref="W12:W13"/>
    <mergeCell ref="AD12:AD13"/>
    <mergeCell ref="G13:G14"/>
    <mergeCell ref="I13:I14"/>
  </mergeCells>
  <phoneticPr fontId="40" type="noConversion"/>
  <dataValidations count="4">
    <dataValidation type="list" allowBlank="1" showInputMessage="1" showErrorMessage="1" sqref="X12:X51 X59:X98" xr:uid="{439400CF-1EA1-4613-8B85-484CC7896DF5}">
      <formula1>"Visual, Radar, GPS, Visual/Radar, Visual/GPS, Radar/GPS, Radar/Visual/GPS"</formula1>
    </dataValidation>
    <dataValidation type="list" allowBlank="1" showInputMessage="1" showErrorMessage="1" sqref="Y12:Y51 Y59:Y98" xr:uid="{507B5E14-D6EE-40AA-9FBD-A7E16357B0D9}">
      <formula1>"5 mins or less, 10 mins or less, 15 mins, 30 mins, 1 hour, 2 hours, 3 hours, 4 hours "</formula1>
    </dataValidation>
    <dataValidation type="list" allowBlank="1" showInputMessage="1" showErrorMessage="1" sqref="Z12:Z51 AC12:AC51 Z59:Z60 AC59:AC98" xr:uid="{FC0766A4-131F-41E3-9090-1C54E98A5EBE}">
      <formula1>"Y,N"</formula1>
    </dataValidation>
    <dataValidation type="list" allowBlank="1" showInputMessage="1" showErrorMessage="1" sqref="AA12:AA51 AA59:AA98" xr:uid="{37D3F7D7-44FE-4DBE-8A7B-79355804F3F1}">
      <formula1>"1,2,3"</formula1>
    </dataValidation>
  </dataValidations>
  <printOptions horizontalCentered="1" verticalCentered="1"/>
  <pageMargins left="0" right="0" top="0" bottom="0" header="0.3" footer="0.3"/>
  <pageSetup paperSize="10000" scale="60" orientation="landscape" horizontalDpi="4294967293" verticalDpi="360" r:id="rId1"/>
  <rowBreaks count="1" manualBreakCount="1">
    <brk id="54" max="2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0388-340D-4CE9-BC11-61509822594D}">
  <dimension ref="A1:AD135"/>
  <sheetViews>
    <sheetView showGridLines="0" showRowColHeaders="0" showZeros="0" view="pageBreakPreview" zoomScale="70" zoomScaleSheetLayoutView="70" workbookViewId="0">
      <selection activeCell="B12" sqref="B12:B13"/>
    </sheetView>
  </sheetViews>
  <sheetFormatPr defaultColWidth="9" defaultRowHeight="13.5"/>
  <cols>
    <col min="1" max="1" width="5.25" style="104" customWidth="1"/>
    <col min="2" max="2" width="23.25" style="104" customWidth="1"/>
    <col min="3" max="3" width="12.875" style="107" customWidth="1"/>
    <col min="4" max="4" width="9.875" style="157" hidden="1" customWidth="1"/>
    <col min="5" max="5" width="9.375" style="157" hidden="1" customWidth="1"/>
    <col min="6" max="6" width="7.125" style="157" hidden="1" customWidth="1"/>
    <col min="7" max="7" width="16.25" style="157" hidden="1" customWidth="1"/>
    <col min="8" max="9" width="15.375" style="157" hidden="1" customWidth="1"/>
    <col min="10" max="10" width="8.625" style="157" hidden="1" customWidth="1"/>
    <col min="11" max="11" width="7.25" style="157" hidden="1" customWidth="1"/>
    <col min="12" max="12" width="9.375" style="157" hidden="1" customWidth="1"/>
    <col min="13" max="13" width="2.5" style="157" hidden="1" customWidth="1"/>
    <col min="14" max="14" width="7.25" style="158" customWidth="1"/>
    <col min="15" max="15" width="8.375" style="159" customWidth="1"/>
    <col min="16" max="16" width="6.625" style="159" customWidth="1"/>
    <col min="17" max="17" width="8.375" style="160" customWidth="1"/>
    <col min="18" max="18" width="8" style="160" customWidth="1"/>
    <col min="19" max="19" width="13.75" style="107" customWidth="1"/>
    <col min="20" max="20" width="0.25" style="107" hidden="1" customWidth="1"/>
    <col min="21" max="21" width="7.5" style="136" customWidth="1"/>
    <col min="22" max="22" width="0.375" style="161" hidden="1" customWidth="1"/>
    <col min="23" max="23" width="15.5" style="162" customWidth="1"/>
    <col min="24" max="24" width="15.875" style="107" customWidth="1"/>
    <col min="25" max="25" width="13" style="107" customWidth="1"/>
    <col min="26" max="26" width="9.875" style="107" customWidth="1"/>
    <col min="27" max="27" width="8" style="107" customWidth="1"/>
    <col min="28" max="28" width="10.875" style="107" customWidth="1"/>
    <col min="29" max="29" width="8" style="107" customWidth="1"/>
    <col min="30" max="30" width="49.75" style="104" customWidth="1"/>
    <col min="31" max="16384" width="9" style="104"/>
  </cols>
  <sheetData>
    <row r="1" spans="1:30" s="94" customFormat="1" ht="113.25" customHeight="1">
      <c r="A1" s="302" t="s">
        <v>209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</row>
    <row r="2" spans="1:30" s="94" customFormat="1" ht="28.5" customHeight="1">
      <c r="A2" s="304" t="s">
        <v>217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</row>
    <row r="3" spans="1:30" s="304" customFormat="1" ht="9" customHeight="1"/>
    <row r="4" spans="1:30" s="94" customFormat="1" ht="28.5" customHeight="1">
      <c r="A4" s="301" t="s">
        <v>218</v>
      </c>
      <c r="B4" s="301"/>
      <c r="C4" s="305">
        <f>'FRONT PAGE'!C28</f>
        <v>0</v>
      </c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1" t="s">
        <v>220</v>
      </c>
      <c r="R4" s="301"/>
      <c r="S4" s="301"/>
      <c r="T4" s="95"/>
      <c r="U4" s="96">
        <v>1</v>
      </c>
      <c r="V4" s="97"/>
      <c r="W4" s="290">
        <f>'FRONT PAGE'!H28</f>
        <v>0</v>
      </c>
      <c r="X4" s="291"/>
      <c r="Y4" s="291"/>
      <c r="Z4" s="292"/>
      <c r="AA4" s="96">
        <v>3</v>
      </c>
      <c r="AB4" s="293">
        <f>'FRONT PAGE'!M28</f>
        <v>0</v>
      </c>
      <c r="AC4" s="293"/>
      <c r="AD4" s="293"/>
    </row>
    <row r="5" spans="1:30" s="94" customFormat="1" ht="28.5" customHeight="1">
      <c r="A5" s="301" t="s">
        <v>219</v>
      </c>
      <c r="B5" s="301"/>
      <c r="C5" s="306">
        <f>'FRONT PAGE'!C29</f>
        <v>0</v>
      </c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1"/>
      <c r="R5" s="301"/>
      <c r="S5" s="301"/>
      <c r="T5" s="95"/>
      <c r="U5" s="96">
        <v>2</v>
      </c>
      <c r="V5" s="97"/>
      <c r="W5" s="290">
        <f>'FRONT PAGE'!H29</f>
        <v>0</v>
      </c>
      <c r="X5" s="291"/>
      <c r="Y5" s="291"/>
      <c r="Z5" s="292"/>
      <c r="AA5" s="96">
        <v>4</v>
      </c>
      <c r="AB5" s="293">
        <f>'FRONT PAGE'!M29</f>
        <v>0</v>
      </c>
      <c r="AC5" s="293"/>
      <c r="AD5" s="293"/>
    </row>
    <row r="6" spans="1:30" s="94" customFormat="1" ht="28.5" customHeight="1">
      <c r="A6" s="294" t="s">
        <v>229</v>
      </c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</row>
    <row r="7" spans="1:30" s="94" customFormat="1" ht="28.5" customHeight="1">
      <c r="A7" s="295" t="s">
        <v>222</v>
      </c>
      <c r="B7" s="296"/>
      <c r="C7" s="297">
        <f>'FRONT PAGE'!F21</f>
        <v>0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5" t="s">
        <v>227</v>
      </c>
      <c r="Q7" s="296"/>
      <c r="R7" s="297">
        <f>'FRONT PAGE'!C25</f>
        <v>0</v>
      </c>
      <c r="S7" s="297"/>
      <c r="T7" s="98"/>
      <c r="U7" s="296" t="s">
        <v>226</v>
      </c>
      <c r="V7" s="296"/>
      <c r="W7" s="298"/>
      <c r="X7" s="299">
        <f>'FRONT PAGE'!J25</f>
        <v>0</v>
      </c>
      <c r="Y7" s="300"/>
      <c r="Z7" s="301" t="s">
        <v>223</v>
      </c>
      <c r="AA7" s="301"/>
      <c r="AB7" s="321">
        <f>'FRONT PAGE'!H23</f>
        <v>0</v>
      </c>
      <c r="AC7" s="321"/>
      <c r="AD7" s="99"/>
    </row>
    <row r="8" spans="1:30" ht="24.95" customHeight="1">
      <c r="A8" s="322" t="s">
        <v>11</v>
      </c>
      <c r="B8" s="325" t="s">
        <v>216</v>
      </c>
      <c r="C8" s="325" t="s">
        <v>33</v>
      </c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326" t="s">
        <v>210</v>
      </c>
      <c r="O8" s="327" t="s">
        <v>5</v>
      </c>
      <c r="P8" s="327" t="s">
        <v>13</v>
      </c>
      <c r="Q8" s="329" t="s">
        <v>14</v>
      </c>
      <c r="R8" s="329" t="s">
        <v>6</v>
      </c>
      <c r="S8" s="319" t="s">
        <v>211</v>
      </c>
      <c r="T8" s="102" t="s">
        <v>33</v>
      </c>
      <c r="U8" s="314" t="s">
        <v>15</v>
      </c>
      <c r="V8" s="103"/>
      <c r="W8" s="316" t="s">
        <v>224</v>
      </c>
      <c r="X8" s="318" t="s">
        <v>212</v>
      </c>
      <c r="Y8" s="318" t="s">
        <v>213</v>
      </c>
      <c r="Z8" s="318" t="s">
        <v>225</v>
      </c>
      <c r="AA8" s="318" t="s">
        <v>214</v>
      </c>
      <c r="AB8" s="318" t="s">
        <v>37</v>
      </c>
      <c r="AC8" s="318" t="s">
        <v>215</v>
      </c>
      <c r="AD8" s="345" t="s">
        <v>38</v>
      </c>
    </row>
    <row r="9" spans="1:30" ht="24.95" customHeight="1">
      <c r="A9" s="323"/>
      <c r="B9" s="325"/>
      <c r="C9" s="325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326"/>
      <c r="O9" s="328"/>
      <c r="P9" s="328"/>
      <c r="Q9" s="330"/>
      <c r="R9" s="330"/>
      <c r="S9" s="319"/>
      <c r="T9" s="102" t="s">
        <v>39</v>
      </c>
      <c r="U9" s="315"/>
      <c r="V9" s="103"/>
      <c r="W9" s="317"/>
      <c r="X9" s="319"/>
      <c r="Y9" s="319"/>
      <c r="Z9" s="319"/>
      <c r="AA9" s="319"/>
      <c r="AB9" s="319"/>
      <c r="AC9" s="319"/>
      <c r="AD9" s="346"/>
    </row>
    <row r="10" spans="1:30" s="107" customFormat="1" ht="24.95" customHeight="1">
      <c r="A10" s="323"/>
      <c r="B10" s="325"/>
      <c r="C10" s="325"/>
      <c r="D10" s="100" t="s">
        <v>17</v>
      </c>
      <c r="E10" s="100" t="s">
        <v>18</v>
      </c>
      <c r="F10" s="105" t="s">
        <v>0</v>
      </c>
      <c r="G10" s="105" t="s">
        <v>1</v>
      </c>
      <c r="H10" s="105" t="s">
        <v>19</v>
      </c>
      <c r="I10" s="106" t="s">
        <v>2</v>
      </c>
      <c r="J10" s="105" t="s">
        <v>3</v>
      </c>
      <c r="K10" s="105"/>
      <c r="L10" s="105" t="s">
        <v>20</v>
      </c>
      <c r="M10" s="105" t="s">
        <v>21</v>
      </c>
      <c r="N10" s="326"/>
      <c r="O10" s="328"/>
      <c r="P10" s="328"/>
      <c r="Q10" s="330"/>
      <c r="R10" s="330"/>
      <c r="S10" s="319"/>
      <c r="T10" s="102" t="s">
        <v>44</v>
      </c>
      <c r="U10" s="315"/>
      <c r="V10" s="103"/>
      <c r="W10" s="317"/>
      <c r="X10" s="319"/>
      <c r="Y10" s="319"/>
      <c r="Z10" s="319"/>
      <c r="AA10" s="319"/>
      <c r="AB10" s="319"/>
      <c r="AC10" s="319"/>
      <c r="AD10" s="346"/>
    </row>
    <row r="11" spans="1:30" ht="24.95" customHeight="1">
      <c r="A11" s="324"/>
      <c r="B11" s="325"/>
      <c r="C11" s="325"/>
      <c r="D11" s="101"/>
      <c r="E11" s="101"/>
      <c r="F11" s="108"/>
      <c r="G11" s="108"/>
      <c r="H11" s="108"/>
      <c r="I11" s="109"/>
      <c r="J11" s="108"/>
      <c r="K11" s="108"/>
      <c r="L11" s="108"/>
      <c r="M11" s="108"/>
      <c r="N11" s="326"/>
      <c r="O11" s="328"/>
      <c r="P11" s="328"/>
      <c r="Q11" s="330"/>
      <c r="R11" s="330"/>
      <c r="S11" s="320"/>
      <c r="T11" s="110" t="s">
        <v>47</v>
      </c>
      <c r="U11" s="315"/>
      <c r="V11" s="103"/>
      <c r="W11" s="317"/>
      <c r="X11" s="320"/>
      <c r="Y11" s="320"/>
      <c r="Z11" s="320"/>
      <c r="AA11" s="320"/>
      <c r="AB11" s="320"/>
      <c r="AC11" s="320"/>
      <c r="AD11" s="347"/>
    </row>
    <row r="12" spans="1:30" ht="15" customHeight="1">
      <c r="A12" s="307">
        <v>0</v>
      </c>
      <c r="B12" s="308"/>
      <c r="C12" s="71"/>
      <c r="D12" s="310">
        <f>TRUNC(C12)+((C12-TRUNC(C12))/0.6)</f>
        <v>0</v>
      </c>
      <c r="E12" s="310">
        <f>TRUNC(C13)+((C13-TRUNC(C13))/0.6)</f>
        <v>0</v>
      </c>
      <c r="F12" s="311">
        <f>ROUND(((LOG10(TAN(PI()/4+(D12/2*PI()/180)))*7915.7046)-(3437.7468*((0.0816968^2*SIN(D12*PI()/180))+(0.0816968^4/3*((SIN(D12*PI()/180))^3))+(0.0816968^6/5*((SIN(D12*PI()/180))^5))))),2)</f>
        <v>0</v>
      </c>
      <c r="G12" s="112"/>
      <c r="H12" s="312">
        <f>IF(E12&lt;0,E12+360,E12)</f>
        <v>0</v>
      </c>
      <c r="I12" s="113"/>
      <c r="J12" s="112"/>
      <c r="K12" s="112"/>
      <c r="L12" s="112"/>
      <c r="M12" s="112"/>
      <c r="N12" s="114"/>
      <c r="O12" s="115"/>
      <c r="P12" s="116"/>
      <c r="Q12" s="313">
        <v>0</v>
      </c>
      <c r="R12" s="398"/>
      <c r="S12" s="340"/>
      <c r="T12" s="117" t="s">
        <v>7</v>
      </c>
      <c r="U12" s="163"/>
      <c r="V12" s="118"/>
      <c r="W12" s="342">
        <v>45982.208333333336</v>
      </c>
      <c r="X12" s="340"/>
      <c r="Y12" s="343"/>
      <c r="Z12" s="340"/>
      <c r="AA12" s="340"/>
      <c r="AB12" s="57"/>
      <c r="AC12" s="331"/>
      <c r="AD12" s="333"/>
    </row>
    <row r="13" spans="1:30" ht="15" customHeight="1">
      <c r="A13" s="307"/>
      <c r="B13" s="309"/>
      <c r="C13" s="72"/>
      <c r="D13" s="310"/>
      <c r="E13" s="310"/>
      <c r="F13" s="311"/>
      <c r="G13" s="312">
        <f>ABS(D12-D14)*60</f>
        <v>0</v>
      </c>
      <c r="H13" s="312"/>
      <c r="I13" s="334">
        <f>ABS(H12-H14)*60</f>
        <v>0</v>
      </c>
      <c r="J13" s="335">
        <f>ABS(F12-F14)</f>
        <v>0</v>
      </c>
      <c r="K13" s="336" t="e">
        <f>IF(AND(D12&lt;D14,H12=H14),0,IF(AND(D12&gt;D14,H12=H14),180,IF(AND(D12=D14,H12&lt;H14),90,IF(AND(D12=D14,H12&gt;H14),270,(ATAN(I13/J13)*180/PI())))))</f>
        <v>#DIV/0!</v>
      </c>
      <c r="L13" s="310" t="e">
        <f>IF(OR(K13=0,K13=90,K13=180,K13=270),K13,IF(AND(D12&lt;D14,H12&lt;H14),K13,IF(AND(D12&lt;D14,H12&gt;H14),360-K13,IF(AND(D12&gt;D14,H12&lt;H14),180-K13,IF(AND(D12&gt;D14,H12&gt;H14),180+K13)))))</f>
        <v>#DIV/0!</v>
      </c>
      <c r="M13" s="310">
        <f>(IF(I13=0,G13,IF(G13=0,COS(D14*PI()/180)*I13,G13/COS(K13*PI()/180))))</f>
        <v>0</v>
      </c>
      <c r="N13" s="337" t="str">
        <f>IF(C15="","",ROUND(L13,1))</f>
        <v/>
      </c>
      <c r="O13" s="352" t="str">
        <f>IF(C15="","",ROUND(M13,1))</f>
        <v/>
      </c>
      <c r="P13" s="353"/>
      <c r="Q13" s="313"/>
      <c r="R13" s="399"/>
      <c r="S13" s="341"/>
      <c r="T13" s="122" t="s">
        <v>23</v>
      </c>
      <c r="U13" s="354"/>
      <c r="V13" s="356" t="e">
        <f>(O13/P13+U13/60)/24</f>
        <v>#VALUE!</v>
      </c>
      <c r="W13" s="342"/>
      <c r="X13" s="341"/>
      <c r="Y13" s="344"/>
      <c r="Z13" s="341"/>
      <c r="AA13" s="341"/>
      <c r="AB13" s="56"/>
      <c r="AC13" s="332"/>
      <c r="AD13" s="333"/>
    </row>
    <row r="14" spans="1:30" ht="15" customHeight="1">
      <c r="A14" s="307">
        <v>1</v>
      </c>
      <c r="B14" s="357"/>
      <c r="C14" s="54"/>
      <c r="D14" s="310">
        <f>TRUNC(C14)+((C14-TRUNC(C14))/0.6)</f>
        <v>0</v>
      </c>
      <c r="E14" s="310">
        <f>TRUNC(C15)+((C15-TRUNC(C15))/0.6)</f>
        <v>0</v>
      </c>
      <c r="F14" s="311">
        <f>ROUND(((LOG10(TAN(PI()/4+(D14/2*PI()/180)))*7915.7046)-(3437.7468*((0.0816968^2*SIN(D14*PI()/180))+(0.0816968^4/3*((SIN(D14*PI()/180))^3))+(0.0816968^6/5*((SIN(D14*PI()/180))^5))))),2)</f>
        <v>0</v>
      </c>
      <c r="G14" s="312"/>
      <c r="H14" s="312">
        <f>IF(E14&lt;0,E14+360,E14)</f>
        <v>0</v>
      </c>
      <c r="I14" s="334"/>
      <c r="J14" s="335"/>
      <c r="K14" s="336"/>
      <c r="L14" s="310"/>
      <c r="M14" s="310"/>
      <c r="N14" s="337"/>
      <c r="O14" s="352"/>
      <c r="P14" s="353"/>
      <c r="Q14" s="350" t="str">
        <f>IF(O13="","",Q12+O13)</f>
        <v/>
      </c>
      <c r="R14" s="350" t="str">
        <f>IF(O13="","",R12-O13)</f>
        <v/>
      </c>
      <c r="S14" s="340"/>
      <c r="T14" s="117" t="s">
        <v>7</v>
      </c>
      <c r="U14" s="355"/>
      <c r="V14" s="356"/>
      <c r="W14" s="351" t="str">
        <f>IF(P13="","",W12+V13)</f>
        <v/>
      </c>
      <c r="X14" s="340"/>
      <c r="Y14" s="343"/>
      <c r="Z14" s="340"/>
      <c r="AA14" s="340"/>
      <c r="AB14" s="57"/>
      <c r="AC14" s="331"/>
      <c r="AD14" s="333"/>
    </row>
    <row r="15" spans="1:30" ht="15" customHeight="1">
      <c r="A15" s="307"/>
      <c r="B15" s="357"/>
      <c r="C15" s="55"/>
      <c r="D15" s="310"/>
      <c r="E15" s="310"/>
      <c r="F15" s="311"/>
      <c r="G15" s="312">
        <f>ABS(D14-D16)*60</f>
        <v>0</v>
      </c>
      <c r="H15" s="312"/>
      <c r="I15" s="334">
        <f>ABS(H14-H16)*60</f>
        <v>0</v>
      </c>
      <c r="J15" s="335">
        <f>ABS(F14-F16)</f>
        <v>0</v>
      </c>
      <c r="K15" s="336" t="e">
        <f>IF(AND(D14&lt;D16,H14=H16),0,IF(AND(D14&gt;D16,H14=H16),180,IF(AND(D14=D16,H14&lt;H16),90,IF(AND(D14=D16,H14&gt;H16),270,(ATAN(I15/J15)*180/PI())))))</f>
        <v>#DIV/0!</v>
      </c>
      <c r="L15" s="310" t="e">
        <f>IF(OR(K15=0,K15=90,K15=180,K15=270),K15,IF(AND(D14&lt;D16,H14&lt;H16),K15,IF(AND(D14&lt;D16,H14&gt;H16),360-K15,IF(AND(D14&gt;D16,H14&lt;H16),180-K15,IF(AND(D14&gt;D16,H14&gt;H16),180+K15)))))</f>
        <v>#DIV/0!</v>
      </c>
      <c r="M15" s="310">
        <f>(IF(I15=0,G15,IF(G15=0,COS(D16*PI()/180)*I15,G15/COS(K15*PI()/180))))</f>
        <v>0</v>
      </c>
      <c r="N15" s="337" t="str">
        <f>IF(C17="","",ROUND(L15,1))</f>
        <v/>
      </c>
      <c r="O15" s="352" t="str">
        <f>IF(C17="","",ROUND(M15,1))</f>
        <v/>
      </c>
      <c r="P15" s="353"/>
      <c r="Q15" s="350"/>
      <c r="R15" s="350"/>
      <c r="S15" s="341"/>
      <c r="T15" s="122" t="s">
        <v>23</v>
      </c>
      <c r="U15" s="358"/>
      <c r="V15" s="356" t="e">
        <f>(O15/P15+U15/60)/24</f>
        <v>#VALUE!</v>
      </c>
      <c r="W15" s="351"/>
      <c r="X15" s="341"/>
      <c r="Y15" s="344"/>
      <c r="Z15" s="341"/>
      <c r="AA15" s="341"/>
      <c r="AB15" s="56"/>
      <c r="AC15" s="332"/>
      <c r="AD15" s="333"/>
    </row>
    <row r="16" spans="1:30" ht="15" customHeight="1">
      <c r="A16" s="307">
        <v>2</v>
      </c>
      <c r="B16" s="348"/>
      <c r="C16" s="54"/>
      <c r="D16" s="310">
        <f>TRUNC(C16)+((C16-TRUNC(C16))/0.6)</f>
        <v>0</v>
      </c>
      <c r="E16" s="310">
        <f>TRUNC(C17)+((C17-TRUNC(C17))/0.6)</f>
        <v>0</v>
      </c>
      <c r="F16" s="311">
        <f>ROUND(((LOG10(TAN(PI()/4+(D16/2*PI()/180)))*7915.7046)-(3437.7468*((0.0816968^2*SIN(D16*PI()/180))+(0.0816968^4/3*((SIN(D16*PI()/180))^3))+(0.0816968^6/5*((SIN(D16*PI()/180))^5))))),2)</f>
        <v>0</v>
      </c>
      <c r="G16" s="312"/>
      <c r="H16" s="312">
        <f>IF(E16&lt;0,E16+360,E16)</f>
        <v>0</v>
      </c>
      <c r="I16" s="334"/>
      <c r="J16" s="335"/>
      <c r="K16" s="336"/>
      <c r="L16" s="310"/>
      <c r="M16" s="310"/>
      <c r="N16" s="337"/>
      <c r="O16" s="352"/>
      <c r="P16" s="353"/>
      <c r="Q16" s="350" t="str">
        <f>IF(O15="","",Q14+O15)</f>
        <v/>
      </c>
      <c r="R16" s="350" t="str">
        <f>IF(O15="","",R14-O15)</f>
        <v/>
      </c>
      <c r="S16" s="340"/>
      <c r="T16" s="117" t="s">
        <v>7</v>
      </c>
      <c r="U16" s="355"/>
      <c r="V16" s="356"/>
      <c r="W16" s="351" t="str">
        <f t="shared" ref="W16" si="0">IF(P15="","",W14+V15)</f>
        <v/>
      </c>
      <c r="X16" s="340"/>
      <c r="Y16" s="343"/>
      <c r="Z16" s="340"/>
      <c r="AA16" s="340"/>
      <c r="AB16" s="57"/>
      <c r="AC16" s="331"/>
      <c r="AD16" s="333"/>
    </row>
    <row r="17" spans="1:30" ht="15" customHeight="1">
      <c r="A17" s="307"/>
      <c r="B17" s="349"/>
      <c r="C17" s="55"/>
      <c r="D17" s="310"/>
      <c r="E17" s="310"/>
      <c r="F17" s="311"/>
      <c r="G17" s="312">
        <f>ABS(D16-D18)*60</f>
        <v>0</v>
      </c>
      <c r="H17" s="312"/>
      <c r="I17" s="334">
        <f>ABS(H16-H18)*60</f>
        <v>0</v>
      </c>
      <c r="J17" s="335">
        <f>ABS(F16-F18)</f>
        <v>0</v>
      </c>
      <c r="K17" s="336" t="e">
        <f>IF(AND(D16&lt;D18,H16=H18),0,IF(AND(D16&gt;D18,H16=H18),180,IF(AND(D16=D18,H16&lt;H18),90,IF(AND(D16=D18,H16&gt;H18),270,(ATAN(I17/J17)*180/PI())))))</f>
        <v>#DIV/0!</v>
      </c>
      <c r="L17" s="310" t="e">
        <f>IF(OR(K17=0,K17=90,K17=180,K17=270),K17,IF(AND(D16&lt;D18,H16&lt;H18),K17,IF(AND(D16&lt;D18,H16&gt;H18),360-K17,IF(AND(D16&gt;D18,H16&lt;H18),180-K17,IF(AND(D16&gt;D18,H16&gt;H18),180+K17)))))</f>
        <v>#DIV/0!</v>
      </c>
      <c r="M17" s="310">
        <f>(IF(I17=0,G17,IF(G17=0,COS(D18*PI()/180)*I17,G17/COS(K17*PI()/180))))</f>
        <v>0</v>
      </c>
      <c r="N17" s="337" t="str">
        <f>IF(C19="","",ROUND(L17,1))</f>
        <v/>
      </c>
      <c r="O17" s="352" t="str">
        <f>IF(C19="","",ROUND(M17,1))</f>
        <v/>
      </c>
      <c r="P17" s="353"/>
      <c r="Q17" s="350"/>
      <c r="R17" s="350"/>
      <c r="S17" s="341"/>
      <c r="T17" s="122" t="s">
        <v>23</v>
      </c>
      <c r="U17" s="358"/>
      <c r="V17" s="356" t="e">
        <f>(O17/P17+U17/60)/24</f>
        <v>#VALUE!</v>
      </c>
      <c r="W17" s="351"/>
      <c r="X17" s="341"/>
      <c r="Y17" s="344"/>
      <c r="Z17" s="341"/>
      <c r="AA17" s="341"/>
      <c r="AB17" s="56"/>
      <c r="AC17" s="332"/>
      <c r="AD17" s="333"/>
    </row>
    <row r="18" spans="1:30" ht="15" customHeight="1">
      <c r="A18" s="307">
        <v>3</v>
      </c>
      <c r="B18" s="348"/>
      <c r="C18" s="54"/>
      <c r="D18" s="310">
        <f>TRUNC(C18)+((C18-TRUNC(C18))/0.6)</f>
        <v>0</v>
      </c>
      <c r="E18" s="310">
        <f>TRUNC(C19)+((C19-TRUNC(C19))/0.6)</f>
        <v>0</v>
      </c>
      <c r="F18" s="311">
        <f>ROUND(((LOG10(TAN(PI()/4+(D18/2*PI()/180)))*7915.7046)-(3437.7468*((0.0816968^2*SIN(D18*PI()/180))+(0.0816968^4/3*((SIN(D18*PI()/180))^3))+(0.0816968^6/5*((SIN(D18*PI()/180))^5))))),2)</f>
        <v>0</v>
      </c>
      <c r="G18" s="312"/>
      <c r="H18" s="312">
        <f>IF(E18&lt;0,E18+360,E18)</f>
        <v>0</v>
      </c>
      <c r="I18" s="334"/>
      <c r="J18" s="335"/>
      <c r="K18" s="336"/>
      <c r="L18" s="310"/>
      <c r="M18" s="310"/>
      <c r="N18" s="337"/>
      <c r="O18" s="352"/>
      <c r="P18" s="353"/>
      <c r="Q18" s="350" t="str">
        <f>IF(O17="","",Q16+O17)</f>
        <v/>
      </c>
      <c r="R18" s="350" t="str">
        <f>IF(O17="","",R16-O17)</f>
        <v/>
      </c>
      <c r="S18" s="340"/>
      <c r="T18" s="117" t="s">
        <v>7</v>
      </c>
      <c r="U18" s="355"/>
      <c r="V18" s="356"/>
      <c r="W18" s="351" t="str">
        <f t="shared" ref="W18" si="1">IF(P17="","",W16+V17)</f>
        <v/>
      </c>
      <c r="X18" s="340"/>
      <c r="Y18" s="343"/>
      <c r="Z18" s="340"/>
      <c r="AA18" s="340"/>
      <c r="AB18" s="57"/>
      <c r="AC18" s="331"/>
      <c r="AD18" s="333"/>
    </row>
    <row r="19" spans="1:30" ht="15" customHeight="1">
      <c r="A19" s="307"/>
      <c r="B19" s="349"/>
      <c r="C19" s="55"/>
      <c r="D19" s="310"/>
      <c r="E19" s="310"/>
      <c r="F19" s="311"/>
      <c r="G19" s="312">
        <f>ABS(D18-D20)*60</f>
        <v>0</v>
      </c>
      <c r="H19" s="312"/>
      <c r="I19" s="334">
        <f>ABS(H18-H20)*60</f>
        <v>0</v>
      </c>
      <c r="J19" s="335">
        <f>ABS(F18-F20)</f>
        <v>0</v>
      </c>
      <c r="K19" s="336" t="e">
        <f>IF(AND(D18&lt;D20,H18=H20),0,IF(AND(D18&gt;D20,H18=H20),180,IF(AND(D18=D20,H18&lt;H20),90,IF(AND(D18=D20,H18&gt;H20),270,(ATAN(I19/J19)*180/PI())))))</f>
        <v>#DIV/0!</v>
      </c>
      <c r="L19" s="310" t="e">
        <f>IF(OR(K19=0,K19=90,K19=180,K19=270),K19,IF(AND(D18&lt;D20,H18&lt;H20),K19,IF(AND(D18&lt;D20,H18&gt;H20),360-K19,IF(AND(D18&gt;D20,H18&lt;H20),180-K19,IF(AND(D18&gt;D20,H18&gt;H20),180+K19)))))</f>
        <v>#DIV/0!</v>
      </c>
      <c r="M19" s="310">
        <f>(IF(I19=0,G19,IF(G19=0,COS(D20*PI()/180)*I19,G19/COS(K19*PI()/180))))</f>
        <v>0</v>
      </c>
      <c r="N19" s="337" t="str">
        <f>IF(C21="","",ROUND(L19,1))</f>
        <v/>
      </c>
      <c r="O19" s="352" t="str">
        <f>IF(C21="","",ROUND(M19,1))</f>
        <v/>
      </c>
      <c r="P19" s="353"/>
      <c r="Q19" s="350"/>
      <c r="R19" s="350"/>
      <c r="S19" s="341"/>
      <c r="T19" s="122" t="s">
        <v>23</v>
      </c>
      <c r="U19" s="358"/>
      <c r="V19" s="356" t="e">
        <f>(O19/P19+U19/60)/24</f>
        <v>#VALUE!</v>
      </c>
      <c r="W19" s="351"/>
      <c r="X19" s="341"/>
      <c r="Y19" s="344"/>
      <c r="Z19" s="341"/>
      <c r="AA19" s="341"/>
      <c r="AB19" s="56"/>
      <c r="AC19" s="332"/>
      <c r="AD19" s="333"/>
    </row>
    <row r="20" spans="1:30" ht="15" customHeight="1">
      <c r="A20" s="307">
        <v>4</v>
      </c>
      <c r="B20" s="348"/>
      <c r="C20" s="54"/>
      <c r="D20" s="310">
        <f>TRUNC(C20)+((C20-TRUNC(C20))/0.6)</f>
        <v>0</v>
      </c>
      <c r="E20" s="310">
        <f>TRUNC(C21)+((C21-TRUNC(C21))/0.6)</f>
        <v>0</v>
      </c>
      <c r="F20" s="311">
        <f>ROUND(((LOG10(TAN(PI()/4+(D20/2*PI()/180)))*7915.7046)-(3437.7468*((0.0816968^2*SIN(D20*PI()/180))+(0.0816968^4/3*((SIN(D20*PI()/180))^3))+(0.0816968^6/5*((SIN(D20*PI()/180))^5))))),2)</f>
        <v>0</v>
      </c>
      <c r="G20" s="312"/>
      <c r="H20" s="312">
        <f>IF(E20&lt;0,E20+360,E20)</f>
        <v>0</v>
      </c>
      <c r="I20" s="334"/>
      <c r="J20" s="335"/>
      <c r="K20" s="336"/>
      <c r="L20" s="310"/>
      <c r="M20" s="310"/>
      <c r="N20" s="337"/>
      <c r="O20" s="352"/>
      <c r="P20" s="353"/>
      <c r="Q20" s="350" t="str">
        <f>IF(O19="","",Q18+O19)</f>
        <v/>
      </c>
      <c r="R20" s="350" t="str">
        <f>IF(O19="","",R18-O19)</f>
        <v/>
      </c>
      <c r="S20" s="340"/>
      <c r="T20" s="117" t="s">
        <v>7</v>
      </c>
      <c r="U20" s="355"/>
      <c r="V20" s="356"/>
      <c r="W20" s="351" t="str">
        <f t="shared" ref="W20" si="2">IF(P19="","",W18+V19)</f>
        <v/>
      </c>
      <c r="X20" s="340"/>
      <c r="Y20" s="343"/>
      <c r="Z20" s="340"/>
      <c r="AA20" s="340"/>
      <c r="AB20" s="57"/>
      <c r="AC20" s="331"/>
      <c r="AD20" s="333"/>
    </row>
    <row r="21" spans="1:30" ht="15" customHeight="1">
      <c r="A21" s="307"/>
      <c r="B21" s="349"/>
      <c r="C21" s="55"/>
      <c r="D21" s="310"/>
      <c r="E21" s="310"/>
      <c r="F21" s="311"/>
      <c r="G21" s="312">
        <f>ABS(D20-D22)*60</f>
        <v>0</v>
      </c>
      <c r="H21" s="312"/>
      <c r="I21" s="334">
        <f>ABS(H20-H22)*60</f>
        <v>0</v>
      </c>
      <c r="J21" s="335">
        <f>ABS(F20-F22)</f>
        <v>0</v>
      </c>
      <c r="K21" s="336" t="e">
        <f>IF(AND(D20&lt;D22,H20=H22),0,IF(AND(D20&gt;D22,H20=H22),180,IF(AND(D20=D22,H20&lt;H22),90,IF(AND(D20=D22,H20&gt;H22),270,(ATAN(I21/J21)*180/PI())))))</f>
        <v>#DIV/0!</v>
      </c>
      <c r="L21" s="310" t="e">
        <f>IF(OR(K21=0,K21=90,K21=180,K21=270),K21,IF(AND(D20&lt;D22,H20&lt;H22),K21,IF(AND(D20&lt;D22,H20&gt;H22),360-K21,IF(AND(D20&gt;D22,H20&lt;H22),180-K21,IF(AND(D20&gt;D22,H20&gt;H22),180+K21)))))</f>
        <v>#DIV/0!</v>
      </c>
      <c r="M21" s="310">
        <f>(IF(I21=0,G21,IF(G21=0,COS(D22*PI()/180)*I21,G21/COS(K21*PI()/180))))</f>
        <v>0</v>
      </c>
      <c r="N21" s="337" t="str">
        <f>IF(C23="","",ROUND(L21,1))</f>
        <v/>
      </c>
      <c r="O21" s="352" t="str">
        <f>IF(C23="","",ROUND(M21,1))</f>
        <v/>
      </c>
      <c r="P21" s="353"/>
      <c r="Q21" s="350"/>
      <c r="R21" s="350"/>
      <c r="S21" s="341"/>
      <c r="T21" s="122" t="s">
        <v>24</v>
      </c>
      <c r="U21" s="358"/>
      <c r="V21" s="356" t="e">
        <f>(O21/P21+U21/60)/24</f>
        <v>#VALUE!</v>
      </c>
      <c r="W21" s="351"/>
      <c r="X21" s="341"/>
      <c r="Y21" s="344"/>
      <c r="Z21" s="341"/>
      <c r="AA21" s="341"/>
      <c r="AB21" s="56"/>
      <c r="AC21" s="332"/>
      <c r="AD21" s="333"/>
    </row>
    <row r="22" spans="1:30" ht="15" customHeight="1">
      <c r="A22" s="307">
        <v>5</v>
      </c>
      <c r="B22" s="348"/>
      <c r="C22" s="54"/>
      <c r="D22" s="310">
        <f>TRUNC(C22)+((C22-TRUNC(C22))/0.6)</f>
        <v>0</v>
      </c>
      <c r="E22" s="310">
        <f>TRUNC(C23)+((C23-TRUNC(C23))/0.6)</f>
        <v>0</v>
      </c>
      <c r="F22" s="311">
        <f>ROUND(((LOG10(TAN(PI()/4+(D22/2*PI()/180)))*7915.7046)-(3437.7468*((0.0816968^2*SIN(D22*PI()/180))+(0.0816968^4/3*((SIN(D22*PI()/180))^3))+(0.0816968^6/5*((SIN(D22*PI()/180))^5))))),2)</f>
        <v>0</v>
      </c>
      <c r="G22" s="312"/>
      <c r="H22" s="312">
        <f>IF(E22&lt;0,E22+360,E22)</f>
        <v>0</v>
      </c>
      <c r="I22" s="334"/>
      <c r="J22" s="335"/>
      <c r="K22" s="336"/>
      <c r="L22" s="310"/>
      <c r="M22" s="310"/>
      <c r="N22" s="337"/>
      <c r="O22" s="352"/>
      <c r="P22" s="353"/>
      <c r="Q22" s="350" t="str">
        <f>IF(O21="","",Q20+O21)</f>
        <v/>
      </c>
      <c r="R22" s="350" t="str">
        <f>IF(O21="","",R20-O21)</f>
        <v/>
      </c>
      <c r="S22" s="340"/>
      <c r="T22" s="117" t="s">
        <v>7</v>
      </c>
      <c r="U22" s="355"/>
      <c r="V22" s="356"/>
      <c r="W22" s="351" t="str">
        <f t="shared" ref="W22" si="3">IF(P21="","",W20+V21)</f>
        <v/>
      </c>
      <c r="X22" s="340"/>
      <c r="Y22" s="343"/>
      <c r="Z22" s="340"/>
      <c r="AA22" s="340"/>
      <c r="AB22" s="57"/>
      <c r="AC22" s="331"/>
      <c r="AD22" s="333"/>
    </row>
    <row r="23" spans="1:30" ht="15" customHeight="1">
      <c r="A23" s="307"/>
      <c r="B23" s="349"/>
      <c r="C23" s="55"/>
      <c r="D23" s="310"/>
      <c r="E23" s="310"/>
      <c r="F23" s="311"/>
      <c r="G23" s="312">
        <f>ABS(D22-D24)*60</f>
        <v>0</v>
      </c>
      <c r="H23" s="312"/>
      <c r="I23" s="334">
        <f>ABS(H22-H24)*60</f>
        <v>0</v>
      </c>
      <c r="J23" s="335">
        <f>ABS(F22-F24)</f>
        <v>0</v>
      </c>
      <c r="K23" s="336" t="e">
        <f>IF(AND(D22&lt;D24,H22=H24),0,IF(AND(D22&gt;D24,H22=H24),180,IF(AND(D22=D24,H22&lt;H24),90,IF(AND(D22=D24,H22&gt;H24),270,(ATAN(I23/J23)*180/PI())))))</f>
        <v>#DIV/0!</v>
      </c>
      <c r="L23" s="310" t="e">
        <f>IF(OR(K23=0,K23=90,K23=180,K23=270),K23,IF(AND(D22&lt;D24,H22&lt;H24),K23,IF(AND(D22&lt;D24,H22&gt;H24),360-K23,IF(AND(D22&gt;D24,H22&lt;H24),180-K23,IF(AND(D22&gt;D24,H22&gt;H24),180+K23)))))</f>
        <v>#DIV/0!</v>
      </c>
      <c r="M23" s="310">
        <f>(IF(I23=0,G23,IF(G23=0,COS(D24*PI()/180)*I23,G23/COS(K23*PI()/180))))</f>
        <v>0</v>
      </c>
      <c r="N23" s="337" t="str">
        <f>IF(C25="","",ROUND(L23,1))</f>
        <v/>
      </c>
      <c r="O23" s="352" t="str">
        <f>IF(C25="","",ROUND(M23,1))</f>
        <v/>
      </c>
      <c r="P23" s="353"/>
      <c r="Q23" s="350"/>
      <c r="R23" s="350"/>
      <c r="S23" s="341"/>
      <c r="T23" s="122" t="s">
        <v>23</v>
      </c>
      <c r="U23" s="358"/>
      <c r="V23" s="356" t="e">
        <f>(O23/P23+U23/60)/24</f>
        <v>#VALUE!</v>
      </c>
      <c r="W23" s="351"/>
      <c r="X23" s="341"/>
      <c r="Y23" s="344"/>
      <c r="Z23" s="341"/>
      <c r="AA23" s="341"/>
      <c r="AB23" s="56"/>
      <c r="AC23" s="332"/>
      <c r="AD23" s="333"/>
    </row>
    <row r="24" spans="1:30" ht="15" customHeight="1">
      <c r="A24" s="307">
        <v>6</v>
      </c>
      <c r="B24" s="348"/>
      <c r="C24" s="54"/>
      <c r="D24" s="310">
        <f>TRUNC(C24)+((C24-TRUNC(C24))/0.6)</f>
        <v>0</v>
      </c>
      <c r="E24" s="310">
        <f>TRUNC(C25)+((C25-TRUNC(C25))/0.6)</f>
        <v>0</v>
      </c>
      <c r="F24" s="311">
        <f>ROUND(((LOG10(TAN(PI()/4+(D24/2*PI()/180)))*7915.7046)-(3437.7468*((0.0816968^2*SIN(D24*PI()/180))+(0.0816968^4/3*((SIN(D24*PI()/180))^3))+(0.0816968^6/5*((SIN(D24*PI()/180))^5))))),2)</f>
        <v>0</v>
      </c>
      <c r="G24" s="312"/>
      <c r="H24" s="312">
        <f>IF(E24&lt;0,E24+360,E24)</f>
        <v>0</v>
      </c>
      <c r="I24" s="334"/>
      <c r="J24" s="335"/>
      <c r="K24" s="336"/>
      <c r="L24" s="310"/>
      <c r="M24" s="310"/>
      <c r="N24" s="337"/>
      <c r="O24" s="352"/>
      <c r="P24" s="353"/>
      <c r="Q24" s="350" t="str">
        <f>IF(O23="","",Q22+O23)</f>
        <v/>
      </c>
      <c r="R24" s="350" t="str">
        <f>IF(O23="","",R22-O23)</f>
        <v/>
      </c>
      <c r="S24" s="340"/>
      <c r="T24" s="117" t="s">
        <v>25</v>
      </c>
      <c r="U24" s="355"/>
      <c r="V24" s="356"/>
      <c r="W24" s="351" t="str">
        <f t="shared" ref="W24" si="4">IF(P23="","",W22+V23)</f>
        <v/>
      </c>
      <c r="X24" s="340"/>
      <c r="Y24" s="343"/>
      <c r="Z24" s="340"/>
      <c r="AA24" s="340"/>
      <c r="AB24" s="57"/>
      <c r="AC24" s="331"/>
      <c r="AD24" s="333"/>
    </row>
    <row r="25" spans="1:30" ht="15" customHeight="1">
      <c r="A25" s="307"/>
      <c r="B25" s="349"/>
      <c r="C25" s="55"/>
      <c r="D25" s="310"/>
      <c r="E25" s="310"/>
      <c r="F25" s="311"/>
      <c r="G25" s="312">
        <f>ABS(D24-D26)*60</f>
        <v>0</v>
      </c>
      <c r="H25" s="312"/>
      <c r="I25" s="334">
        <f>ABS(H24-H26)*60</f>
        <v>0</v>
      </c>
      <c r="J25" s="335">
        <f>ABS(F24-F26)</f>
        <v>0</v>
      </c>
      <c r="K25" s="336" t="e">
        <f>IF(AND(D24&lt;D26,H24=H26),0,IF(AND(D24&gt;D26,H24=H26),180,IF(AND(D24=D26,H24&lt;H26),90,IF(AND(D24=D26,H24&gt;H26),270,(ATAN(I25/J25)*180/PI())))))</f>
        <v>#DIV/0!</v>
      </c>
      <c r="L25" s="310" t="e">
        <f>IF(OR(K25=0,K25=90,K25=180,K25=270),K25,IF(AND(D24&lt;D26,H24&lt;H26),K25,IF(AND(D24&lt;D26,H24&gt;H26),360-K25,IF(AND(D24&gt;D26,H24&lt;H26),180-K25,IF(AND(D24&gt;D26,H24&gt;H26),180+K25)))))</f>
        <v>#DIV/0!</v>
      </c>
      <c r="M25" s="310">
        <f>(IF(I25=0,G25,IF(G25=0,COS(D26*PI()/180)*I25,G25/COS(K25*PI()/180))))</f>
        <v>0</v>
      </c>
      <c r="N25" s="337" t="str">
        <f>IF(C27="","",ROUND(L25,1))</f>
        <v/>
      </c>
      <c r="O25" s="352" t="str">
        <f>IF(C27="","",ROUND(M25,1))</f>
        <v/>
      </c>
      <c r="P25" s="353"/>
      <c r="Q25" s="350"/>
      <c r="R25" s="350"/>
      <c r="S25" s="341"/>
      <c r="T25" s="122" t="s">
        <v>24</v>
      </c>
      <c r="U25" s="358"/>
      <c r="V25" s="356" t="e">
        <f>(O25/P25+U25/60)/24</f>
        <v>#VALUE!</v>
      </c>
      <c r="W25" s="351"/>
      <c r="X25" s="341"/>
      <c r="Y25" s="344"/>
      <c r="Z25" s="341"/>
      <c r="AA25" s="341"/>
      <c r="AB25" s="56"/>
      <c r="AC25" s="332"/>
      <c r="AD25" s="333"/>
    </row>
    <row r="26" spans="1:30" ht="15" customHeight="1">
      <c r="A26" s="307">
        <v>7</v>
      </c>
      <c r="B26" s="348"/>
      <c r="C26" s="54"/>
      <c r="D26" s="310">
        <f>TRUNC(C26)+((C26-TRUNC(C26))/0.6)</f>
        <v>0</v>
      </c>
      <c r="E26" s="310">
        <f>TRUNC(C27)+((C27-TRUNC(C27))/0.6)</f>
        <v>0</v>
      </c>
      <c r="F26" s="311">
        <f>ROUND(((LOG10(TAN(PI()/4+(D26/2*PI()/180)))*7915.7046)-(3437.7468*((0.0816968^2*SIN(D26*PI()/180))+(0.0816968^4/3*((SIN(D26*PI()/180))^3))+(0.0816968^6/5*((SIN(D26*PI()/180))^5))))),2)</f>
        <v>0</v>
      </c>
      <c r="G26" s="312"/>
      <c r="H26" s="312">
        <f>IF(E26&lt;0,E26+360,E26)</f>
        <v>0</v>
      </c>
      <c r="I26" s="334"/>
      <c r="J26" s="335"/>
      <c r="K26" s="336"/>
      <c r="L26" s="310"/>
      <c r="M26" s="310"/>
      <c r="N26" s="337"/>
      <c r="O26" s="352"/>
      <c r="P26" s="353"/>
      <c r="Q26" s="350" t="str">
        <f>IF(O25="","",Q24+O25)</f>
        <v/>
      </c>
      <c r="R26" s="350" t="str">
        <f>IF(O25="","",R24-O25)</f>
        <v/>
      </c>
      <c r="S26" s="340"/>
      <c r="T26" s="117" t="s">
        <v>25</v>
      </c>
      <c r="U26" s="355"/>
      <c r="V26" s="356"/>
      <c r="W26" s="351" t="str">
        <f t="shared" ref="W26" si="5">IF(P25="","",W24+V25)</f>
        <v/>
      </c>
      <c r="X26" s="340"/>
      <c r="Y26" s="343"/>
      <c r="Z26" s="340"/>
      <c r="AA26" s="340"/>
      <c r="AB26" s="57"/>
      <c r="AC26" s="331"/>
      <c r="AD26" s="333"/>
    </row>
    <row r="27" spans="1:30" ht="15" customHeight="1">
      <c r="A27" s="307"/>
      <c r="B27" s="349"/>
      <c r="C27" s="55"/>
      <c r="D27" s="310"/>
      <c r="E27" s="310"/>
      <c r="F27" s="311"/>
      <c r="G27" s="312">
        <f>ABS(D26-D28)*60</f>
        <v>0</v>
      </c>
      <c r="H27" s="312"/>
      <c r="I27" s="334">
        <f>ABS(H26-H28)*60</f>
        <v>0</v>
      </c>
      <c r="J27" s="335">
        <f>ABS(F26-F28)</f>
        <v>0</v>
      </c>
      <c r="K27" s="336" t="e">
        <f>IF(AND(D26&lt;D28,H26=H28),0,IF(AND(D26&gt;D28,H26=H28),180,IF(AND(D26=D28,H26&lt;H28),90,IF(AND(D26=D28,H26&gt;H28),270,(ATAN(I27/J27)*180/PI())))))</f>
        <v>#DIV/0!</v>
      </c>
      <c r="L27" s="310" t="e">
        <f>IF(OR(K27=0,K27=90,K27=180,K27=270),K27,IF(AND(D26&lt;D28,H26&lt;H28),K27,IF(AND(D26&lt;D28,H26&gt;H28),360-K27,IF(AND(D26&gt;D28,H26&lt;H28),180-K27,IF(AND(D26&gt;D28,H26&gt;H28),180+K27)))))</f>
        <v>#DIV/0!</v>
      </c>
      <c r="M27" s="310">
        <f>(IF(I27=0,G27,IF(G27=0,COS(D28*PI()/180)*I27,G27/COS(K27*PI()/180))))</f>
        <v>0</v>
      </c>
      <c r="N27" s="337" t="str">
        <f>IF(C29="","",ROUND(L27,1))</f>
        <v/>
      </c>
      <c r="O27" s="352" t="str">
        <f>IF(C29="","",ROUND(M27,1))</f>
        <v/>
      </c>
      <c r="P27" s="353"/>
      <c r="Q27" s="350"/>
      <c r="R27" s="350"/>
      <c r="S27" s="341"/>
      <c r="T27" s="122" t="s">
        <v>24</v>
      </c>
      <c r="U27" s="358"/>
      <c r="V27" s="356" t="e">
        <f>(O27/P27+U27/60)/24</f>
        <v>#VALUE!</v>
      </c>
      <c r="W27" s="351"/>
      <c r="X27" s="341"/>
      <c r="Y27" s="344"/>
      <c r="Z27" s="341"/>
      <c r="AA27" s="341"/>
      <c r="AB27" s="56"/>
      <c r="AC27" s="332"/>
      <c r="AD27" s="333"/>
    </row>
    <row r="28" spans="1:30" ht="15" customHeight="1">
      <c r="A28" s="307">
        <v>8</v>
      </c>
      <c r="B28" s="348"/>
      <c r="C28" s="54"/>
      <c r="D28" s="310">
        <f>TRUNC(C28)+((C28-TRUNC(C28))/0.6)</f>
        <v>0</v>
      </c>
      <c r="E28" s="310">
        <f>TRUNC(C29)+((C29-TRUNC(C29))/0.6)</f>
        <v>0</v>
      </c>
      <c r="F28" s="311">
        <f>ROUND(((LOG10(TAN(PI()/4+(D28/2*PI()/180)))*7915.7046)-(3437.7468*((0.0816968^2*SIN(D28*PI()/180))+(0.0816968^4/3*((SIN(D28*PI()/180))^3))+(0.0816968^6/5*((SIN(D28*PI()/180))^5))))),2)</f>
        <v>0</v>
      </c>
      <c r="G28" s="312"/>
      <c r="H28" s="312">
        <f>IF(E28&lt;0,E28+360,E28)</f>
        <v>0</v>
      </c>
      <c r="I28" s="334"/>
      <c r="J28" s="335"/>
      <c r="K28" s="336"/>
      <c r="L28" s="310"/>
      <c r="M28" s="310"/>
      <c r="N28" s="337"/>
      <c r="O28" s="352"/>
      <c r="P28" s="353"/>
      <c r="Q28" s="350" t="str">
        <f>IF(O27="","",Q26+O27)</f>
        <v/>
      </c>
      <c r="R28" s="350" t="str">
        <f>IF(O27="","",R26-O27)</f>
        <v/>
      </c>
      <c r="S28" s="340"/>
      <c r="T28" s="117" t="s">
        <v>30</v>
      </c>
      <c r="U28" s="355"/>
      <c r="V28" s="356"/>
      <c r="W28" s="351" t="str">
        <f t="shared" ref="W28" si="6">IF(P27="","",W26+V27)</f>
        <v/>
      </c>
      <c r="X28" s="340"/>
      <c r="Y28" s="343"/>
      <c r="Z28" s="340"/>
      <c r="AA28" s="340"/>
      <c r="AB28" s="57"/>
      <c r="AC28" s="331"/>
      <c r="AD28" s="333"/>
    </row>
    <row r="29" spans="1:30" ht="15" customHeight="1">
      <c r="A29" s="307"/>
      <c r="B29" s="349"/>
      <c r="C29" s="55"/>
      <c r="D29" s="310"/>
      <c r="E29" s="310"/>
      <c r="F29" s="311"/>
      <c r="G29" s="312">
        <f>ABS(D28-D30)*60</f>
        <v>0</v>
      </c>
      <c r="H29" s="312"/>
      <c r="I29" s="334">
        <f>ABS(H28-H30)*60</f>
        <v>0</v>
      </c>
      <c r="J29" s="335">
        <f>ABS(F28-F30)</f>
        <v>0</v>
      </c>
      <c r="K29" s="336" t="e">
        <f>IF(AND(D28&lt;D30,H28=H30),0,IF(AND(D28&gt;D30,H28=H30),180,IF(AND(D28=D30,H28&lt;H30),90,IF(AND(D28=D30,H28&gt;H30),270,(ATAN(I29/J29)*180/PI())))))</f>
        <v>#DIV/0!</v>
      </c>
      <c r="L29" s="310" t="e">
        <f>IF(OR(K29=0,K29=90,K29=180,K29=270),K29,IF(AND(D28&lt;D30,H28&lt;H30),K29,IF(AND(D28&lt;D30,H28&gt;H30),360-K29,IF(AND(D28&gt;D30,H28&lt;H30),180-K29,IF(AND(D28&gt;D30,H28&gt;H30),180+K29)))))</f>
        <v>#DIV/0!</v>
      </c>
      <c r="M29" s="310">
        <f>(IF(I29=0,G29,IF(G29=0,COS(D30*PI()/180)*I29,G29/COS(K29*PI()/180))))</f>
        <v>0</v>
      </c>
      <c r="N29" s="337" t="str">
        <f>IF(C31="","",ROUND(L29,1))</f>
        <v/>
      </c>
      <c r="O29" s="352" t="str">
        <f>IF(C31="","",ROUND(M29,1))</f>
        <v/>
      </c>
      <c r="P29" s="353"/>
      <c r="Q29" s="350"/>
      <c r="R29" s="350"/>
      <c r="S29" s="341"/>
      <c r="T29" s="122" t="s">
        <v>24</v>
      </c>
      <c r="U29" s="358"/>
      <c r="V29" s="356" t="e">
        <f>(O29/P29+U29/60)/24</f>
        <v>#VALUE!</v>
      </c>
      <c r="W29" s="351"/>
      <c r="X29" s="341"/>
      <c r="Y29" s="344"/>
      <c r="Z29" s="341"/>
      <c r="AA29" s="341"/>
      <c r="AB29" s="53"/>
      <c r="AC29" s="332"/>
      <c r="AD29" s="333"/>
    </row>
    <row r="30" spans="1:30" ht="15" customHeight="1">
      <c r="A30" s="307">
        <v>9</v>
      </c>
      <c r="B30" s="348"/>
      <c r="C30" s="54"/>
      <c r="D30" s="310">
        <f>TRUNC(C30)+((C30-TRUNC(C30))/0.6)</f>
        <v>0</v>
      </c>
      <c r="E30" s="310">
        <f>TRUNC(C31)+((C31-TRUNC(C31))/0.6)</f>
        <v>0</v>
      </c>
      <c r="F30" s="311">
        <f>ROUND(((LOG10(TAN(PI()/4+(D30/2*PI()/180)))*7915.7046)-(3437.7468*((0.0816968^2*SIN(D30*PI()/180))+(0.0816968^4/3*((SIN(D30*PI()/180))^3))+(0.0816968^6/5*((SIN(D30*PI()/180))^5))))),2)</f>
        <v>0</v>
      </c>
      <c r="G30" s="312"/>
      <c r="H30" s="312">
        <f>IF(E30&lt;0,E30+360,E30)</f>
        <v>0</v>
      </c>
      <c r="I30" s="334"/>
      <c r="J30" s="335"/>
      <c r="K30" s="336"/>
      <c r="L30" s="310"/>
      <c r="M30" s="310"/>
      <c r="N30" s="337"/>
      <c r="O30" s="352"/>
      <c r="P30" s="353"/>
      <c r="Q30" s="350" t="str">
        <f>IF(O29="","",Q28+O29)</f>
        <v/>
      </c>
      <c r="R30" s="350" t="str">
        <f>IF(O29="","",R28-O29)</f>
        <v/>
      </c>
      <c r="S30" s="340"/>
      <c r="T30" s="117" t="s">
        <v>25</v>
      </c>
      <c r="U30" s="355"/>
      <c r="V30" s="356"/>
      <c r="W30" s="351" t="str">
        <f t="shared" ref="W30" si="7">IF(P29="","",W28+V29)</f>
        <v/>
      </c>
      <c r="X30" s="340"/>
      <c r="Y30" s="343"/>
      <c r="Z30" s="340"/>
      <c r="AA30" s="340"/>
      <c r="AB30" s="52"/>
      <c r="AC30" s="331"/>
      <c r="AD30" s="333"/>
    </row>
    <row r="31" spans="1:30" ht="15" customHeight="1">
      <c r="A31" s="307"/>
      <c r="B31" s="349"/>
      <c r="C31" s="55"/>
      <c r="D31" s="310"/>
      <c r="E31" s="310"/>
      <c r="F31" s="311"/>
      <c r="G31" s="312">
        <f>ABS(D30-D32)*60</f>
        <v>0</v>
      </c>
      <c r="H31" s="312"/>
      <c r="I31" s="334">
        <f>ABS(H30-H32)*60</f>
        <v>0</v>
      </c>
      <c r="J31" s="335">
        <f>ABS(F30-F32)</f>
        <v>0</v>
      </c>
      <c r="K31" s="336" t="e">
        <f>IF(AND(D30&lt;D32,H30=H32),0,IF(AND(D30&gt;D32,H30=H32),180,IF(AND(D30=D32,H30&lt;H32),90,IF(AND(D30=D32,H30&gt;H32),270,(ATAN(I31/J31)*180/PI())))))</f>
        <v>#DIV/0!</v>
      </c>
      <c r="L31" s="310" t="e">
        <f>IF(OR(K31=0,K31=90,K31=180,K31=270),K31,IF(AND(D30&lt;D32,H30&lt;H32),K31,IF(AND(D30&lt;D32,H30&gt;H32),360-K31,IF(AND(D30&gt;D32,H30&lt;H32),180-K31,IF(AND(D30&gt;D32,H30&gt;H32),180+K31)))))</f>
        <v>#DIV/0!</v>
      </c>
      <c r="M31" s="310">
        <f>(IF(I31=0,G31,IF(G31=0,COS(D32*PI()/180)*I31,G31/COS(K31*PI()/180))))</f>
        <v>0</v>
      </c>
      <c r="N31" s="337" t="str">
        <f>IF(C33="","",ROUND(L31,1))</f>
        <v/>
      </c>
      <c r="O31" s="352" t="str">
        <f>IF(C33="","",ROUND(M31,1))</f>
        <v/>
      </c>
      <c r="P31" s="353"/>
      <c r="Q31" s="350"/>
      <c r="R31" s="350"/>
      <c r="S31" s="341"/>
      <c r="T31" s="122" t="s">
        <v>23</v>
      </c>
      <c r="U31" s="358"/>
      <c r="V31" s="356" t="e">
        <f>(O31/P31+U31/60)/24</f>
        <v>#VALUE!</v>
      </c>
      <c r="W31" s="351"/>
      <c r="X31" s="341"/>
      <c r="Y31" s="344"/>
      <c r="Z31" s="341"/>
      <c r="AA31" s="341"/>
      <c r="AB31" s="53"/>
      <c r="AC31" s="332"/>
      <c r="AD31" s="333"/>
    </row>
    <row r="32" spans="1:30" ht="15" customHeight="1">
      <c r="A32" s="307">
        <v>10</v>
      </c>
      <c r="B32" s="348"/>
      <c r="C32" s="54"/>
      <c r="D32" s="310">
        <f>TRUNC(C32)+((C32-TRUNC(C32))/0.6)</f>
        <v>0</v>
      </c>
      <c r="E32" s="310">
        <f>TRUNC(C33)+((C33-TRUNC(C33))/0.6)</f>
        <v>0</v>
      </c>
      <c r="F32" s="311">
        <f>ROUND(((LOG10(TAN(PI()/4+(D32/2*PI()/180)))*7915.7046)-(3437.7468*((0.0816968^2*SIN(D32*PI()/180))+(0.0816968^4/3*((SIN(D32*PI()/180))^3))+(0.0816968^6/5*((SIN(D32*PI()/180))^5))))),2)</f>
        <v>0</v>
      </c>
      <c r="G32" s="312"/>
      <c r="H32" s="312">
        <f>IF(E32&lt;0,E32+360,E32)</f>
        <v>0</v>
      </c>
      <c r="I32" s="334"/>
      <c r="J32" s="335"/>
      <c r="K32" s="336"/>
      <c r="L32" s="310"/>
      <c r="M32" s="310"/>
      <c r="N32" s="337"/>
      <c r="O32" s="352"/>
      <c r="P32" s="353"/>
      <c r="Q32" s="350" t="str">
        <f>IF(O31="","",Q30+O31)</f>
        <v/>
      </c>
      <c r="R32" s="350" t="str">
        <f>IF(O31="","",R30-O31)</f>
        <v/>
      </c>
      <c r="S32" s="340"/>
      <c r="T32" s="117" t="s">
        <v>25</v>
      </c>
      <c r="U32" s="355"/>
      <c r="V32" s="356"/>
      <c r="W32" s="351" t="str">
        <f t="shared" ref="W32" si="8">IF(P31="","",W30+V31)</f>
        <v/>
      </c>
      <c r="X32" s="340"/>
      <c r="Y32" s="343"/>
      <c r="Z32" s="340"/>
      <c r="AA32" s="340"/>
      <c r="AB32" s="57"/>
      <c r="AC32" s="331"/>
      <c r="AD32" s="333"/>
    </row>
    <row r="33" spans="1:30" ht="15" customHeight="1">
      <c r="A33" s="307"/>
      <c r="B33" s="349"/>
      <c r="C33" s="55"/>
      <c r="D33" s="310"/>
      <c r="E33" s="310"/>
      <c r="F33" s="311"/>
      <c r="G33" s="312">
        <f>ABS(D32-D34)*60</f>
        <v>0</v>
      </c>
      <c r="H33" s="312"/>
      <c r="I33" s="334">
        <f>ABS(H32-H34)*60</f>
        <v>0</v>
      </c>
      <c r="J33" s="335">
        <f>ABS(F32-F34)</f>
        <v>0</v>
      </c>
      <c r="K33" s="336" t="e">
        <f>IF(AND(D32&lt;D34,H32=H34),0,IF(AND(D32&gt;D34,H32=H34),180,IF(AND(D32=D34,H32&lt;H34),90,IF(AND(D32=D34,H32&gt;H34),270,(ATAN(I33/J33)*180/PI())))))</f>
        <v>#DIV/0!</v>
      </c>
      <c r="L33" s="310" t="e">
        <f>IF(OR(K33=0,K33=90,K33=180,K33=270),K33,IF(AND(D32&lt;D34,H32&lt;H34),K33,IF(AND(D32&lt;D34,H32&gt;H34),360-K33,IF(AND(D32&gt;D34,H32&lt;H34),180-K33,IF(AND(D32&gt;D34,H32&gt;H34),180+K33)))))</f>
        <v>#DIV/0!</v>
      </c>
      <c r="M33" s="310">
        <f>(IF(I33=0,G33,IF(G33=0,COS(D34*PI()/180)*I33,G33/COS(K33*PI()/180))))</f>
        <v>0</v>
      </c>
      <c r="N33" s="337" t="str">
        <f>IF(C35="","",ROUND(L33,1))</f>
        <v/>
      </c>
      <c r="O33" s="352" t="str">
        <f>IF(C35="","",ROUND(M33,1))</f>
        <v/>
      </c>
      <c r="P33" s="353"/>
      <c r="Q33" s="350"/>
      <c r="R33" s="350"/>
      <c r="S33" s="341"/>
      <c r="T33" s="122" t="s">
        <v>22</v>
      </c>
      <c r="U33" s="358"/>
      <c r="V33" s="356" t="e">
        <f>(O33/P33+U33/60)/24</f>
        <v>#VALUE!</v>
      </c>
      <c r="W33" s="351"/>
      <c r="X33" s="341"/>
      <c r="Y33" s="344"/>
      <c r="Z33" s="341"/>
      <c r="AA33" s="341"/>
      <c r="AB33" s="56"/>
      <c r="AC33" s="332"/>
      <c r="AD33" s="333"/>
    </row>
    <row r="34" spans="1:30" ht="15" customHeight="1">
      <c r="A34" s="307">
        <v>11</v>
      </c>
      <c r="B34" s="348"/>
      <c r="C34" s="54"/>
      <c r="D34" s="310">
        <f>TRUNC(C34)+((C34-TRUNC(C34))/0.6)</f>
        <v>0</v>
      </c>
      <c r="E34" s="310">
        <f>TRUNC(C35)+((C35-TRUNC(C35))/0.6)</f>
        <v>0</v>
      </c>
      <c r="F34" s="311">
        <f>ROUND(((LOG10(TAN(PI()/4+(D34/2*PI()/180)))*7915.7046)-(3437.7468*((0.0816968^2*SIN(D34*PI()/180))+(0.0816968^4/3*((SIN(D34*PI()/180))^3))+(0.0816968^6/5*((SIN(D34*PI()/180))^5))))),2)</f>
        <v>0</v>
      </c>
      <c r="G34" s="312"/>
      <c r="H34" s="312">
        <f>IF(E34&lt;0,E34+360,E34)</f>
        <v>0</v>
      </c>
      <c r="I34" s="334"/>
      <c r="J34" s="335"/>
      <c r="K34" s="336"/>
      <c r="L34" s="310"/>
      <c r="M34" s="310"/>
      <c r="N34" s="337"/>
      <c r="O34" s="352"/>
      <c r="P34" s="353"/>
      <c r="Q34" s="350" t="str">
        <f>IF(O33="","",Q32+O33)</f>
        <v/>
      </c>
      <c r="R34" s="350" t="str">
        <f>IF(O33="","",R32-O33)</f>
        <v/>
      </c>
      <c r="S34" s="340"/>
      <c r="T34" s="117" t="s">
        <v>25</v>
      </c>
      <c r="U34" s="355"/>
      <c r="V34" s="356"/>
      <c r="W34" s="351" t="str">
        <f t="shared" ref="W34" si="9">IF(P33="","",W32+V33)</f>
        <v/>
      </c>
      <c r="X34" s="340"/>
      <c r="Y34" s="343"/>
      <c r="Z34" s="340"/>
      <c r="AA34" s="340"/>
      <c r="AB34" s="57"/>
      <c r="AC34" s="331"/>
      <c r="AD34" s="333"/>
    </row>
    <row r="35" spans="1:30" ht="15.75" customHeight="1">
      <c r="A35" s="307"/>
      <c r="B35" s="349"/>
      <c r="C35" s="55"/>
      <c r="D35" s="310"/>
      <c r="E35" s="310"/>
      <c r="F35" s="311"/>
      <c r="G35" s="312">
        <f>ABS(D34-D36)*60</f>
        <v>0</v>
      </c>
      <c r="H35" s="312"/>
      <c r="I35" s="334">
        <f>ABS(H34-H36)*60</f>
        <v>0</v>
      </c>
      <c r="J35" s="335">
        <f>ABS(F34-F36)</f>
        <v>0</v>
      </c>
      <c r="K35" s="336" t="e">
        <f>IF(AND(D34&lt;D36,H34=H36),0,IF(AND(D34&gt;D36,H34=H36),180,IF(AND(D34=D36,H34&lt;H36),90,IF(AND(D34=D36,H34&gt;H36),270,(ATAN(I35/J35)*180/PI())))))</f>
        <v>#DIV/0!</v>
      </c>
      <c r="L35" s="310" t="e">
        <f>IF(OR(K35=0,K35=90,K35=180,K35=270),K35,IF(AND(D34&lt;D36,H34&lt;H36),K35,IF(AND(D34&lt;D36,H34&gt;H36),360-K35,IF(AND(D34&gt;D36,H34&lt;H36),180-K35,IF(AND(D34&gt;D36,H34&gt;H36),180+K35)))))</f>
        <v>#DIV/0!</v>
      </c>
      <c r="M35" s="310">
        <f>(IF(I35=0,G35,IF(G35=0,COS(D36*PI()/180)*I35,G35/COS(K35*PI()/180))))</f>
        <v>0</v>
      </c>
      <c r="N35" s="337" t="str">
        <f>IF(C37="","",ROUND(L35,1))</f>
        <v/>
      </c>
      <c r="O35" s="352" t="str">
        <f>IF(C37="","",ROUND(M35,1))</f>
        <v/>
      </c>
      <c r="P35" s="353"/>
      <c r="Q35" s="350"/>
      <c r="R35" s="350"/>
      <c r="S35" s="341"/>
      <c r="T35" s="122" t="s">
        <v>22</v>
      </c>
      <c r="U35" s="358"/>
      <c r="V35" s="356" t="e">
        <f>(O35/P35+U35/60)/24</f>
        <v>#VALUE!</v>
      </c>
      <c r="W35" s="351"/>
      <c r="X35" s="341"/>
      <c r="Y35" s="344"/>
      <c r="Z35" s="341"/>
      <c r="AA35" s="341"/>
      <c r="AB35" s="56"/>
      <c r="AC35" s="332"/>
      <c r="AD35" s="333"/>
    </row>
    <row r="36" spans="1:30" ht="15" customHeight="1">
      <c r="A36" s="307">
        <v>12</v>
      </c>
      <c r="B36" s="348"/>
      <c r="C36" s="54"/>
      <c r="D36" s="310">
        <f>TRUNC(C36)+((C36-TRUNC(C36))/0.6)</f>
        <v>0</v>
      </c>
      <c r="E36" s="310">
        <f>TRUNC(C37)+((C37-TRUNC(C37))/0.6)</f>
        <v>0</v>
      </c>
      <c r="F36" s="311">
        <f>ROUND(((LOG10(TAN(PI()/4+(D36/2*PI()/180)))*7915.7046)-(3437.7468*((0.0816968^2*SIN(D36*PI()/180))+(0.0816968^4/3*((SIN(D36*PI()/180))^3))+(0.0816968^6/5*((SIN(D36*PI()/180))^5))))),2)</f>
        <v>0</v>
      </c>
      <c r="G36" s="312"/>
      <c r="H36" s="312">
        <f>IF(E36&lt;0,E36+360,E36)</f>
        <v>0</v>
      </c>
      <c r="I36" s="334"/>
      <c r="J36" s="335"/>
      <c r="K36" s="336"/>
      <c r="L36" s="310"/>
      <c r="M36" s="310"/>
      <c r="N36" s="337"/>
      <c r="O36" s="352"/>
      <c r="P36" s="353"/>
      <c r="Q36" s="350" t="str">
        <f>IF(O35="","",Q34+O35)</f>
        <v/>
      </c>
      <c r="R36" s="350" t="str">
        <f>IF(O35="","",R34-O35)</f>
        <v/>
      </c>
      <c r="S36" s="340"/>
      <c r="T36" s="117" t="s">
        <v>25</v>
      </c>
      <c r="U36" s="355"/>
      <c r="V36" s="356"/>
      <c r="W36" s="351" t="str">
        <f t="shared" ref="W36" si="10">IF(P35="","",W34+V35)</f>
        <v/>
      </c>
      <c r="X36" s="340"/>
      <c r="Y36" s="343"/>
      <c r="Z36" s="340"/>
      <c r="AA36" s="340"/>
      <c r="AB36" s="57"/>
      <c r="AC36" s="331"/>
      <c r="AD36" s="333"/>
    </row>
    <row r="37" spans="1:30" ht="15" customHeight="1">
      <c r="A37" s="307"/>
      <c r="B37" s="349"/>
      <c r="C37" s="55"/>
      <c r="D37" s="310"/>
      <c r="E37" s="310"/>
      <c r="F37" s="311"/>
      <c r="G37" s="312">
        <f>ABS(D36-D38)*60</f>
        <v>0</v>
      </c>
      <c r="H37" s="312"/>
      <c r="I37" s="334">
        <f>ABS(H36-H38)*60</f>
        <v>0</v>
      </c>
      <c r="J37" s="335">
        <f>ABS(F36-F38)</f>
        <v>0</v>
      </c>
      <c r="K37" s="336" t="e">
        <f>IF(AND(D36&lt;D38,H36=H38),0,IF(AND(D36&gt;D38,H36=H38),180,IF(AND(D36=D38,H36&lt;H38),90,IF(AND(D36=D38,H36&gt;H38),270,(ATAN(I37/J37)*180/PI())))))</f>
        <v>#DIV/0!</v>
      </c>
      <c r="L37" s="310" t="e">
        <f>IF(OR(K37=0,K37=90,K37=180,K37=270),K37,IF(AND(D36&lt;D38,H36&lt;H38),K37,IF(AND(D36&lt;D38,H36&gt;H38),360-K37,IF(AND(D36&gt;D38,H36&lt;H38),180-K37,IF(AND(D36&gt;D38,H36&gt;H38),180+K37)))))</f>
        <v>#DIV/0!</v>
      </c>
      <c r="M37" s="310">
        <f>(IF(I37=0,G37,IF(G37=0,COS(D38*PI()/180)*I37,G37/COS(K37*PI()/180))))</f>
        <v>0</v>
      </c>
      <c r="N37" s="337" t="str">
        <f>IF(C39="","",ROUND(L37,1))</f>
        <v/>
      </c>
      <c r="O37" s="352" t="str">
        <f>IF(C39="","",ROUND(M37,1))</f>
        <v/>
      </c>
      <c r="P37" s="353"/>
      <c r="Q37" s="350"/>
      <c r="R37" s="350"/>
      <c r="S37" s="341"/>
      <c r="T37" s="122" t="s">
        <v>27</v>
      </c>
      <c r="U37" s="358"/>
      <c r="V37" s="356" t="e">
        <f>(O37/P37+U37/60)/24</f>
        <v>#VALUE!</v>
      </c>
      <c r="W37" s="351"/>
      <c r="X37" s="341"/>
      <c r="Y37" s="344"/>
      <c r="Z37" s="341"/>
      <c r="AA37" s="341"/>
      <c r="AB37" s="56"/>
      <c r="AC37" s="332"/>
      <c r="AD37" s="333"/>
    </row>
    <row r="38" spans="1:30" ht="15" customHeight="1">
      <c r="A38" s="307">
        <v>13</v>
      </c>
      <c r="B38" s="348"/>
      <c r="C38" s="54"/>
      <c r="D38" s="310">
        <f>TRUNC(C38)+((C38-TRUNC(C38))/0.6)</f>
        <v>0</v>
      </c>
      <c r="E38" s="310">
        <f>TRUNC(C39)+((C39-TRUNC(C39))/0.6)</f>
        <v>0</v>
      </c>
      <c r="F38" s="311">
        <f>ROUND(((LOG10(TAN(PI()/4+(D38/2*PI()/180)))*7915.7046)-(3437.7468*((0.0816968^2*SIN(D38*PI()/180))+(0.0816968^4/3*((SIN(D38*PI()/180))^3))+(0.0816968^6/5*((SIN(D38*PI()/180))^5))))),2)</f>
        <v>0</v>
      </c>
      <c r="G38" s="312"/>
      <c r="H38" s="312">
        <f>IF(E38&lt;0,E38+360,E38)</f>
        <v>0</v>
      </c>
      <c r="I38" s="334"/>
      <c r="J38" s="335"/>
      <c r="K38" s="336"/>
      <c r="L38" s="310"/>
      <c r="M38" s="310"/>
      <c r="N38" s="337"/>
      <c r="O38" s="352"/>
      <c r="P38" s="353"/>
      <c r="Q38" s="350" t="str">
        <f>IF(O37="","",Q36+O37)</f>
        <v/>
      </c>
      <c r="R38" s="350" t="str">
        <f>IF(O37="","",R36-O37)</f>
        <v/>
      </c>
      <c r="S38" s="340"/>
      <c r="T38" s="117" t="s">
        <v>25</v>
      </c>
      <c r="U38" s="355"/>
      <c r="V38" s="356"/>
      <c r="W38" s="351" t="str">
        <f t="shared" ref="W38" si="11">IF(P37="","",W36+V37)</f>
        <v/>
      </c>
      <c r="X38" s="340"/>
      <c r="Y38" s="343"/>
      <c r="Z38" s="340"/>
      <c r="AA38" s="340"/>
      <c r="AB38" s="57"/>
      <c r="AC38" s="331"/>
      <c r="AD38" s="333"/>
    </row>
    <row r="39" spans="1:30" ht="15" customHeight="1">
      <c r="A39" s="307"/>
      <c r="B39" s="349"/>
      <c r="C39" s="55"/>
      <c r="D39" s="310"/>
      <c r="E39" s="310"/>
      <c r="F39" s="311"/>
      <c r="G39" s="312">
        <f>ABS(D38-D40)*60</f>
        <v>0</v>
      </c>
      <c r="H39" s="312"/>
      <c r="I39" s="334">
        <f>ABS(H38-H40)*60</f>
        <v>0</v>
      </c>
      <c r="J39" s="335">
        <f>ABS(F38-F40)</f>
        <v>0</v>
      </c>
      <c r="K39" s="336" t="e">
        <f>IF(AND(D38&lt;D40,H38=H40),0,IF(AND(D38&gt;D40,H38=H40),180,IF(AND(D38=D40,H38&lt;H40),90,IF(AND(D38=D40,H38&gt;H40),270,(ATAN(I39/J39)*180/PI())))))</f>
        <v>#DIV/0!</v>
      </c>
      <c r="L39" s="310" t="e">
        <f>IF(OR(K39=0,K39=90,K39=180,K39=270),K39,IF(AND(D38&lt;D40,H38&lt;H40),K39,IF(AND(D38&lt;D40,H38&gt;H40),360-K39,IF(AND(D38&gt;D40,H38&lt;H40),180-K39,IF(AND(D38&gt;D40,H38&gt;H40),180+K39)))))</f>
        <v>#DIV/0!</v>
      </c>
      <c r="M39" s="310">
        <f>(IF(I39=0,G39,IF(G39=0,COS(D40*PI()/180)*I39,G39/COS(K39*PI()/180))))</f>
        <v>0</v>
      </c>
      <c r="N39" s="337" t="str">
        <f>IF(C41="","",ROUND(L39,1))</f>
        <v/>
      </c>
      <c r="O39" s="352" t="str">
        <f>IF(C41="","",ROUND(M39,1))</f>
        <v/>
      </c>
      <c r="P39" s="353"/>
      <c r="Q39" s="350"/>
      <c r="R39" s="350"/>
      <c r="S39" s="341"/>
      <c r="T39" s="122" t="s">
        <v>27</v>
      </c>
      <c r="U39" s="358"/>
      <c r="V39" s="356" t="e">
        <f>(O39/P39+U39/60)/24</f>
        <v>#VALUE!</v>
      </c>
      <c r="W39" s="351"/>
      <c r="X39" s="341"/>
      <c r="Y39" s="344"/>
      <c r="Z39" s="341"/>
      <c r="AA39" s="341"/>
      <c r="AB39" s="56"/>
      <c r="AC39" s="332"/>
      <c r="AD39" s="333"/>
    </row>
    <row r="40" spans="1:30" ht="15" customHeight="1">
      <c r="A40" s="307">
        <v>14</v>
      </c>
      <c r="B40" s="348"/>
      <c r="C40" s="54"/>
      <c r="D40" s="310">
        <f>TRUNC(C40)+((C40-TRUNC(C40))/0.6)</f>
        <v>0</v>
      </c>
      <c r="E40" s="310">
        <f>TRUNC(C41)+((C41-TRUNC(C41))/0.6)</f>
        <v>0</v>
      </c>
      <c r="F40" s="311">
        <f>ROUND(((LOG10(TAN(PI()/4+(D40/2*PI()/180)))*7915.7046)-(3437.7468*((0.0816968^2*SIN(D40*PI()/180))+(0.0816968^4/3*((SIN(D40*PI()/180))^3))+(0.0816968^6/5*((SIN(D40*PI()/180))^5))))),2)</f>
        <v>0</v>
      </c>
      <c r="G40" s="312"/>
      <c r="H40" s="312">
        <f>IF(E40&lt;0,E40+360,E40)</f>
        <v>0</v>
      </c>
      <c r="I40" s="334"/>
      <c r="J40" s="335"/>
      <c r="K40" s="336"/>
      <c r="L40" s="310"/>
      <c r="M40" s="310"/>
      <c r="N40" s="337"/>
      <c r="O40" s="352"/>
      <c r="P40" s="353"/>
      <c r="Q40" s="350" t="str">
        <f>IF(O39="","",Q38+O39)</f>
        <v/>
      </c>
      <c r="R40" s="350" t="str">
        <f>IF(O39="","",R38-O39)</f>
        <v/>
      </c>
      <c r="S40" s="340"/>
      <c r="T40" s="117" t="s">
        <v>26</v>
      </c>
      <c r="U40" s="355"/>
      <c r="V40" s="356"/>
      <c r="W40" s="351" t="str">
        <f t="shared" ref="W40" si="12">IF(P39="","",W38+V39)</f>
        <v/>
      </c>
      <c r="X40" s="340"/>
      <c r="Y40" s="343"/>
      <c r="Z40" s="340"/>
      <c r="AA40" s="340"/>
      <c r="AB40" s="57"/>
      <c r="AC40" s="331"/>
      <c r="AD40" s="333"/>
    </row>
    <row r="41" spans="1:30" ht="15" customHeight="1">
      <c r="A41" s="307"/>
      <c r="B41" s="349"/>
      <c r="C41" s="55"/>
      <c r="D41" s="310"/>
      <c r="E41" s="310"/>
      <c r="F41" s="311"/>
      <c r="G41" s="312">
        <f>ABS(D40-D42)*60</f>
        <v>0</v>
      </c>
      <c r="H41" s="312"/>
      <c r="I41" s="334">
        <f>ABS(H40-H42)*60</f>
        <v>0</v>
      </c>
      <c r="J41" s="335">
        <f>ABS(F40-F42)</f>
        <v>0</v>
      </c>
      <c r="K41" s="336" t="e">
        <f>IF(AND(D40&lt;D42,H40=H42),0,IF(AND(D40&gt;D42,H40=H42),180,IF(AND(D40=D42,H40&lt;H42),90,IF(AND(D40=D42,H40&gt;H42),270,(ATAN(I41/J41)*180/PI())))))</f>
        <v>#DIV/0!</v>
      </c>
      <c r="L41" s="310" t="e">
        <f>IF(OR(K41=0,K41=90,K41=180,K41=270),K41,IF(AND(D40&lt;D42,H40&lt;H42),K41,IF(AND(D40&lt;D42,H40&gt;H42),360-K41,IF(AND(D40&gt;D42,H40&lt;H42),180-K41,IF(AND(D40&gt;D42,H40&gt;H42),180+K41)))))</f>
        <v>#DIV/0!</v>
      </c>
      <c r="M41" s="310">
        <f>(IF(I41=0,G41,IF(G41=0,COS(D42*PI()/180)*I41,G41/COS(K41*PI()/180))))</f>
        <v>0</v>
      </c>
      <c r="N41" s="337" t="str">
        <f>IF(C43="","",ROUND(L41,1))</f>
        <v/>
      </c>
      <c r="O41" s="352" t="str">
        <f>IF(C43="","",ROUND(M41,1))</f>
        <v/>
      </c>
      <c r="P41" s="353"/>
      <c r="Q41" s="350"/>
      <c r="R41" s="350"/>
      <c r="S41" s="341"/>
      <c r="T41" s="122" t="s">
        <v>29</v>
      </c>
      <c r="U41" s="358"/>
      <c r="V41" s="356" t="e">
        <f>(O41/P41+U41/60)/24</f>
        <v>#VALUE!</v>
      </c>
      <c r="W41" s="351"/>
      <c r="X41" s="341"/>
      <c r="Y41" s="344"/>
      <c r="Z41" s="341"/>
      <c r="AA41" s="341"/>
      <c r="AB41" s="56"/>
      <c r="AC41" s="332"/>
      <c r="AD41" s="333"/>
    </row>
    <row r="42" spans="1:30" ht="15" customHeight="1">
      <c r="A42" s="307">
        <v>15</v>
      </c>
      <c r="B42" s="348"/>
      <c r="C42" s="54"/>
      <c r="D42" s="310">
        <f>TRUNC(C42)+((C42-TRUNC(C42))/0.6)</f>
        <v>0</v>
      </c>
      <c r="E42" s="310">
        <f>TRUNC(C43)+((C43-TRUNC(C43))/0.6)</f>
        <v>0</v>
      </c>
      <c r="F42" s="311">
        <f>ROUND(((LOG10(TAN(PI()/4+(D42/2*PI()/180)))*7915.7046)-(3437.7468*((0.0816968^2*SIN(D42*PI()/180))+(0.0816968^4/3*((SIN(D42*PI()/180))^3))+(0.0816968^6/5*((SIN(D42*PI()/180))^5))))),2)</f>
        <v>0</v>
      </c>
      <c r="G42" s="312"/>
      <c r="H42" s="312">
        <f>IF(E42&lt;0,E42+360,E42)</f>
        <v>0</v>
      </c>
      <c r="I42" s="334"/>
      <c r="J42" s="335"/>
      <c r="K42" s="336"/>
      <c r="L42" s="310"/>
      <c r="M42" s="310"/>
      <c r="N42" s="337"/>
      <c r="O42" s="352"/>
      <c r="P42" s="353"/>
      <c r="Q42" s="350" t="str">
        <f>IF(O41="","",Q40+O41)</f>
        <v/>
      </c>
      <c r="R42" s="350" t="str">
        <f>IF(O41="","",R40-O41)</f>
        <v/>
      </c>
      <c r="S42" s="340"/>
      <c r="T42" s="117" t="s">
        <v>26</v>
      </c>
      <c r="U42" s="355"/>
      <c r="V42" s="356"/>
      <c r="W42" s="351" t="str">
        <f t="shared" ref="W42" si="13">IF(P41="","",W40+V41)</f>
        <v/>
      </c>
      <c r="X42" s="340"/>
      <c r="Y42" s="343"/>
      <c r="Z42" s="340"/>
      <c r="AA42" s="340"/>
      <c r="AB42" s="57"/>
      <c r="AC42" s="331"/>
      <c r="AD42" s="333"/>
    </row>
    <row r="43" spans="1:30" ht="15" customHeight="1">
      <c r="A43" s="307"/>
      <c r="B43" s="349"/>
      <c r="C43" s="55"/>
      <c r="D43" s="310"/>
      <c r="E43" s="310"/>
      <c r="F43" s="311"/>
      <c r="G43" s="312">
        <f>ABS(D42-D44)*60</f>
        <v>0</v>
      </c>
      <c r="H43" s="312"/>
      <c r="I43" s="334">
        <f>ABS(H42-H44)*60</f>
        <v>0</v>
      </c>
      <c r="J43" s="335">
        <f>ABS(F42-F44)</f>
        <v>0</v>
      </c>
      <c r="K43" s="336" t="e">
        <f>IF(AND(D42&lt;D44,H42=H44),0,IF(AND(D42&gt;D44,H42=H44),180,IF(AND(D42=D44,H42&lt;H44),90,IF(AND(D42=D44,H42&gt;H44),270,(ATAN(I43/J43)*180/PI())))))</f>
        <v>#DIV/0!</v>
      </c>
      <c r="L43" s="310" t="e">
        <f>IF(OR(K43=0,K43=90,K43=180,K43=270),K43,IF(AND(D42&lt;D44,H42&lt;H44),K43,IF(AND(D42&lt;D44,H42&gt;H44),360-K43,IF(AND(D42&gt;D44,H42&lt;H44),180-K43,IF(AND(D42&gt;D44,H42&gt;H44),180+K43)))))</f>
        <v>#DIV/0!</v>
      </c>
      <c r="M43" s="310">
        <f>(IF(I43=0,G43,IF(G43=0,COS(D44*PI()/180)*I43,G43/COS(K43*PI()/180))))</f>
        <v>0</v>
      </c>
      <c r="N43" s="337" t="str">
        <f>IF(C45="","",ROUND(L43,1))</f>
        <v/>
      </c>
      <c r="O43" s="352" t="str">
        <f>IF(C45="","",ROUND(M43,1))</f>
        <v/>
      </c>
      <c r="P43" s="353"/>
      <c r="Q43" s="350"/>
      <c r="R43" s="350"/>
      <c r="S43" s="341"/>
      <c r="T43" s="122" t="s">
        <v>29</v>
      </c>
      <c r="U43" s="358"/>
      <c r="V43" s="356" t="e">
        <f>(O43/P43+U43/60)/24</f>
        <v>#VALUE!</v>
      </c>
      <c r="W43" s="351"/>
      <c r="X43" s="341"/>
      <c r="Y43" s="344"/>
      <c r="Z43" s="341"/>
      <c r="AA43" s="341"/>
      <c r="AB43" s="56"/>
      <c r="AC43" s="332"/>
      <c r="AD43" s="333"/>
    </row>
    <row r="44" spans="1:30" ht="15" customHeight="1">
      <c r="A44" s="307">
        <v>16</v>
      </c>
      <c r="B44" s="348"/>
      <c r="C44" s="54"/>
      <c r="D44" s="310">
        <f>TRUNC(C44)+((C44-TRUNC(C44))/0.6)</f>
        <v>0</v>
      </c>
      <c r="E44" s="310">
        <f>TRUNC(C45)+((C45-TRUNC(C45))/0.6)</f>
        <v>0</v>
      </c>
      <c r="F44" s="311">
        <f>ROUND(((LOG10(TAN(PI()/4+(D44/2*PI()/180)))*7915.7046)-(3437.7468*((0.0816968^2*SIN(D44*PI()/180))+(0.0816968^4/3*((SIN(D44*PI()/180))^3))+(0.0816968^6/5*((SIN(D44*PI()/180))^5))))),2)</f>
        <v>0</v>
      </c>
      <c r="G44" s="312"/>
      <c r="H44" s="312">
        <f>IF(E44&lt;0,E44+360,E44)</f>
        <v>0</v>
      </c>
      <c r="I44" s="334"/>
      <c r="J44" s="335"/>
      <c r="K44" s="336"/>
      <c r="L44" s="310"/>
      <c r="M44" s="310"/>
      <c r="N44" s="337"/>
      <c r="O44" s="352"/>
      <c r="P44" s="353"/>
      <c r="Q44" s="350" t="str">
        <f>IF(O43="","",Q42+O43)</f>
        <v/>
      </c>
      <c r="R44" s="350" t="str">
        <f>IF(O43="","",R42-O43)</f>
        <v/>
      </c>
      <c r="S44" s="340"/>
      <c r="T44" s="117" t="s">
        <v>25</v>
      </c>
      <c r="U44" s="355"/>
      <c r="V44" s="356"/>
      <c r="W44" s="351" t="str">
        <f t="shared" ref="W44" si="14">IF(P43="","",W42+V43)</f>
        <v/>
      </c>
      <c r="X44" s="340"/>
      <c r="Y44" s="343"/>
      <c r="Z44" s="340"/>
      <c r="AA44" s="340"/>
      <c r="AB44" s="57"/>
      <c r="AC44" s="331"/>
      <c r="AD44" s="333"/>
    </row>
    <row r="45" spans="1:30" ht="15" customHeight="1">
      <c r="A45" s="307"/>
      <c r="B45" s="349"/>
      <c r="C45" s="55"/>
      <c r="D45" s="310"/>
      <c r="E45" s="310"/>
      <c r="F45" s="311"/>
      <c r="G45" s="312">
        <f>ABS(D44-D46)*60</f>
        <v>0</v>
      </c>
      <c r="H45" s="312"/>
      <c r="I45" s="334">
        <f>ABS(H44-H46)*60</f>
        <v>0</v>
      </c>
      <c r="J45" s="335">
        <f>ABS(F44-F46)</f>
        <v>0</v>
      </c>
      <c r="K45" s="336" t="e">
        <f>IF(AND(D44&lt;D46,H44=H46),0,IF(AND(D44&gt;D46,H44=H46),180,IF(AND(D44=D46,H44&lt;H46),90,IF(AND(D44=D46,H44&gt;H46),270,(ATAN(I45/J45)*180/PI())))))</f>
        <v>#DIV/0!</v>
      </c>
      <c r="L45" s="310" t="e">
        <f>IF(OR(K45=0,K45=90,K45=180,K45=270),K45,IF(AND(D44&lt;D46,H44&lt;H46),K45,IF(AND(D44&lt;D46,H44&gt;H46),360-K45,IF(AND(D44&gt;D46,H44&lt;H46),180-K45,IF(AND(D44&gt;D46,H44&gt;H46),180+K45)))))</f>
        <v>#DIV/0!</v>
      </c>
      <c r="M45" s="310">
        <f>(IF(I45=0,G45,IF(G45=0,COS(D46*PI()/180)*I45,G45/COS(K45*PI()/180))))</f>
        <v>0</v>
      </c>
      <c r="N45" s="337" t="str">
        <f>IF(C47="","",ROUND(L45,1))</f>
        <v/>
      </c>
      <c r="O45" s="352" t="str">
        <f>IF(C47="","",ROUND(M45,1))</f>
        <v/>
      </c>
      <c r="P45" s="353"/>
      <c r="Q45" s="350"/>
      <c r="R45" s="350"/>
      <c r="S45" s="341"/>
      <c r="T45" s="122" t="s">
        <v>27</v>
      </c>
      <c r="U45" s="358"/>
      <c r="V45" s="356" t="e">
        <f>(O45/P45+U45/60)/24</f>
        <v>#VALUE!</v>
      </c>
      <c r="W45" s="351"/>
      <c r="X45" s="341"/>
      <c r="Y45" s="344"/>
      <c r="Z45" s="341"/>
      <c r="AA45" s="341"/>
      <c r="AB45" s="56"/>
      <c r="AC45" s="332"/>
      <c r="AD45" s="333"/>
    </row>
    <row r="46" spans="1:30" ht="15" customHeight="1">
      <c r="A46" s="307">
        <v>17</v>
      </c>
      <c r="B46" s="348"/>
      <c r="C46" s="54"/>
      <c r="D46" s="310">
        <f>TRUNC(C46)+((C46-TRUNC(C46))/0.6)</f>
        <v>0</v>
      </c>
      <c r="E46" s="310">
        <f>TRUNC(C47)+((C47-TRUNC(C47))/0.6)</f>
        <v>0</v>
      </c>
      <c r="F46" s="311">
        <f>ROUND(((LOG10(TAN(PI()/4+(D46/2*PI()/180)))*7915.7046)-(3437.7468*((0.0816968^2*SIN(D46*PI()/180))+(0.0816968^4/3*((SIN(D46*PI()/180))^3))+(0.0816968^6/5*((SIN(D46*PI()/180))^5))))),2)</f>
        <v>0</v>
      </c>
      <c r="G46" s="312"/>
      <c r="H46" s="312">
        <f>IF(E46&lt;0,E46+360,E46)</f>
        <v>0</v>
      </c>
      <c r="I46" s="334"/>
      <c r="J46" s="335"/>
      <c r="K46" s="336"/>
      <c r="L46" s="310"/>
      <c r="M46" s="310"/>
      <c r="N46" s="337"/>
      <c r="O46" s="352"/>
      <c r="P46" s="353"/>
      <c r="Q46" s="350" t="str">
        <f>IF(O45="","",Q44+O45)</f>
        <v/>
      </c>
      <c r="R46" s="350" t="str">
        <f>IF(O45="","",R44-O45)</f>
        <v/>
      </c>
      <c r="S46" s="340"/>
      <c r="T46" s="117" t="s">
        <v>25</v>
      </c>
      <c r="U46" s="355"/>
      <c r="V46" s="356"/>
      <c r="W46" s="351" t="str">
        <f t="shared" ref="W46" si="15">IF(P45="","",W44+V45)</f>
        <v/>
      </c>
      <c r="X46" s="340"/>
      <c r="Y46" s="343"/>
      <c r="Z46" s="340"/>
      <c r="AA46" s="340"/>
      <c r="AB46" s="57"/>
      <c r="AC46" s="331"/>
      <c r="AD46" s="333"/>
    </row>
    <row r="47" spans="1:30" ht="15" customHeight="1">
      <c r="A47" s="307"/>
      <c r="B47" s="349"/>
      <c r="C47" s="55"/>
      <c r="D47" s="310"/>
      <c r="E47" s="310"/>
      <c r="F47" s="311"/>
      <c r="G47" s="312">
        <f>ABS(D46-D48)*60</f>
        <v>0</v>
      </c>
      <c r="H47" s="312"/>
      <c r="I47" s="334">
        <f>ABS(H46-H48)*60</f>
        <v>0</v>
      </c>
      <c r="J47" s="335">
        <f>ABS(F46-F48)</f>
        <v>0</v>
      </c>
      <c r="K47" s="336" t="e">
        <f>IF(AND(D46&lt;D48,H46=H48),0,IF(AND(D46&gt;D48,H46=H48),180,IF(AND(D46=D48,H46&lt;H48),90,IF(AND(D46=D48,H46&gt;H48),270,(ATAN(I47/J47)*180/PI())))))</f>
        <v>#DIV/0!</v>
      </c>
      <c r="L47" s="310" t="e">
        <f>IF(OR(K47=0,K47=90,K47=180,K47=270),K47,IF(AND(D46&lt;D48,H46&lt;H48),K47,IF(AND(D46&lt;D48,H46&gt;H48),360-K47,IF(AND(D46&gt;D48,H46&lt;H48),180-K47,IF(AND(D46&gt;D48,H46&gt;H48),180+K47)))))</f>
        <v>#DIV/0!</v>
      </c>
      <c r="M47" s="310">
        <f>(IF(I47=0,G47,IF(G47=0,COS(D48*PI()/180)*I47,G47/COS(K47*PI()/180))))</f>
        <v>0</v>
      </c>
      <c r="N47" s="337" t="str">
        <f>IF(C49="","",ROUND(L47,1))</f>
        <v/>
      </c>
      <c r="O47" s="352" t="str">
        <f>IF(C49="","",ROUND(M47,1))</f>
        <v/>
      </c>
      <c r="P47" s="353"/>
      <c r="Q47" s="350"/>
      <c r="R47" s="350"/>
      <c r="S47" s="341"/>
      <c r="T47" s="122" t="s">
        <v>22</v>
      </c>
      <c r="U47" s="358"/>
      <c r="V47" s="356" t="e">
        <f>(O47/P47+U47/60)/24</f>
        <v>#VALUE!</v>
      </c>
      <c r="W47" s="351"/>
      <c r="X47" s="341"/>
      <c r="Y47" s="344"/>
      <c r="Z47" s="341"/>
      <c r="AA47" s="341"/>
      <c r="AB47" s="93"/>
      <c r="AC47" s="332"/>
      <c r="AD47" s="333"/>
    </row>
    <row r="48" spans="1:30" ht="15" customHeight="1">
      <c r="A48" s="307">
        <v>18</v>
      </c>
      <c r="B48" s="348"/>
      <c r="C48" s="54"/>
      <c r="D48" s="310">
        <f>TRUNC(C48)+((C48-TRUNC(C48))/0.6)</f>
        <v>0</v>
      </c>
      <c r="E48" s="310">
        <f>TRUNC(C49)+((C49-TRUNC(C49))/0.6)</f>
        <v>0</v>
      </c>
      <c r="F48" s="311">
        <f>ROUND(((LOG10(TAN(PI()/4+(D48/2*PI()/180)))*7915.7046)-(3437.7468*((0.0816968^2*SIN(D48*PI()/180))+(0.0816968^4/3*((SIN(D48*PI()/180))^3))+(0.0816968^6/5*((SIN(D48*PI()/180))^5))))),2)</f>
        <v>0</v>
      </c>
      <c r="G48" s="312"/>
      <c r="H48" s="312">
        <f>IF(E48&lt;0,E48+360,E48)</f>
        <v>0</v>
      </c>
      <c r="I48" s="334"/>
      <c r="J48" s="335"/>
      <c r="K48" s="336"/>
      <c r="L48" s="310"/>
      <c r="M48" s="310"/>
      <c r="N48" s="337"/>
      <c r="O48" s="352"/>
      <c r="P48" s="353"/>
      <c r="Q48" s="350" t="str">
        <f>IF(O47="","",Q46+O47)</f>
        <v/>
      </c>
      <c r="R48" s="350" t="str">
        <f>IF(O47="","",R46-O47)</f>
        <v/>
      </c>
      <c r="S48" s="340"/>
      <c r="T48" s="117" t="s">
        <v>25</v>
      </c>
      <c r="U48" s="355"/>
      <c r="V48" s="356"/>
      <c r="W48" s="351" t="str">
        <f>IF(P47="","",W46+V47)</f>
        <v/>
      </c>
      <c r="X48" s="340"/>
      <c r="Y48" s="343"/>
      <c r="Z48" s="340"/>
      <c r="AA48" s="340"/>
      <c r="AB48" s="57"/>
      <c r="AC48" s="331"/>
      <c r="AD48" s="333"/>
    </row>
    <row r="49" spans="1:30" ht="15" customHeight="1">
      <c r="A49" s="307"/>
      <c r="B49" s="349"/>
      <c r="C49" s="55"/>
      <c r="D49" s="310"/>
      <c r="E49" s="310"/>
      <c r="F49" s="311"/>
      <c r="G49" s="364">
        <f>ABS(D48-D50)*60</f>
        <v>0</v>
      </c>
      <c r="H49" s="312"/>
      <c r="I49" s="368">
        <f>ABS(H48-H50)*60</f>
        <v>0</v>
      </c>
      <c r="J49" s="370">
        <f>ABS(F48-F50)</f>
        <v>0</v>
      </c>
      <c r="K49" s="372" t="e">
        <f>IF(AND(D48&lt;D50,H48=H50),0,IF(AND(D48&gt;D50,H48=H50),180,IF(AND(D48=D50,H48&lt;H50),90,IF(AND(D48=D50,H48&gt;H50),270,(ATAN(I49/J49)*180/PI())))))</f>
        <v>#DIV/0!</v>
      </c>
      <c r="L49" s="360" t="e">
        <f>IF(OR(K49=0,K49=90,K49=180,K49=270),K49,IF(AND(D48&lt;D50,H48&lt;H50),K49,IF(AND(D48&lt;D50,H48&gt;H50),360-K49,IF(AND(D48&gt;D50,H48&lt;H50),180-K49,IF(AND(D48&gt;D50,H48&gt;H50),180+K49)))))</f>
        <v>#DIV/0!</v>
      </c>
      <c r="M49" s="360">
        <f>(IF(I49=0,G49,IF(G49=0,COS(D50*PI()/180)*I49,G49/COS(K49*PI()/180))))</f>
        <v>0</v>
      </c>
      <c r="N49" s="374" t="str">
        <f>IF(C51="","",ROUND(L49,1))</f>
        <v/>
      </c>
      <c r="O49" s="376" t="str">
        <f>IF(C51="","",ROUND(M49,1))</f>
        <v/>
      </c>
      <c r="P49" s="378"/>
      <c r="Q49" s="350"/>
      <c r="R49" s="350"/>
      <c r="S49" s="341"/>
      <c r="T49" s="122" t="s">
        <v>23</v>
      </c>
      <c r="U49" s="358"/>
      <c r="V49" s="359" t="e">
        <f>(O49/P49+U49/60)/24</f>
        <v>#VALUE!</v>
      </c>
      <c r="W49" s="351"/>
      <c r="X49" s="341"/>
      <c r="Y49" s="344"/>
      <c r="Z49" s="341"/>
      <c r="AA49" s="341"/>
      <c r="AB49" s="93"/>
      <c r="AC49" s="332"/>
      <c r="AD49" s="333"/>
    </row>
    <row r="50" spans="1:30" ht="15" customHeight="1">
      <c r="A50" s="307">
        <v>19</v>
      </c>
      <c r="B50" s="348"/>
      <c r="C50" s="54"/>
      <c r="D50" s="360">
        <f>TRUNC(C50)+((C50-TRUNC(C50))/0.6)</f>
        <v>0</v>
      </c>
      <c r="E50" s="360">
        <f>TRUNC(C51)+((C51-TRUNC(C51))/0.6)</f>
        <v>0</v>
      </c>
      <c r="F50" s="362">
        <f>ROUND(((LOG10(TAN(PI()/4+(D50/2*PI()/180)))*7915.7046)-(3437.7468*((0.0816968^2*SIN(D50*PI()/180))+(0.0816968^4/3*((SIN(D50*PI()/180))^3))+(0.0816968^6/5*((SIN(D50*PI()/180))^5))))),2)</f>
        <v>0</v>
      </c>
      <c r="G50" s="364"/>
      <c r="H50" s="364">
        <f>IF(E50&lt;0,E50+360,E50)</f>
        <v>0</v>
      </c>
      <c r="I50" s="369"/>
      <c r="J50" s="371"/>
      <c r="K50" s="373"/>
      <c r="L50" s="361"/>
      <c r="M50" s="361"/>
      <c r="N50" s="375"/>
      <c r="O50" s="377"/>
      <c r="P50" s="379"/>
      <c r="Q50" s="366" t="str">
        <f>IF(O49="","",Q48+O49)</f>
        <v/>
      </c>
      <c r="R50" s="366" t="str">
        <f>IF(O49="","",R48-O49)</f>
        <v/>
      </c>
      <c r="S50" s="340"/>
      <c r="T50" s="117"/>
      <c r="U50" s="355"/>
      <c r="V50" s="359"/>
      <c r="W50" s="351" t="str">
        <f t="shared" ref="W50" si="16">IF(P49="","",W48+V49)</f>
        <v/>
      </c>
      <c r="X50" s="340"/>
      <c r="Y50" s="340"/>
      <c r="Z50" s="340"/>
      <c r="AA50" s="340"/>
      <c r="AB50" s="57"/>
      <c r="AC50" s="331"/>
      <c r="AD50" s="333"/>
    </row>
    <row r="51" spans="1:30" ht="15" customHeight="1">
      <c r="A51" s="307"/>
      <c r="B51" s="349"/>
      <c r="C51" s="55"/>
      <c r="D51" s="361"/>
      <c r="E51" s="361"/>
      <c r="F51" s="363"/>
      <c r="G51" s="128"/>
      <c r="H51" s="365"/>
      <c r="I51" s="128"/>
      <c r="J51" s="128"/>
      <c r="K51" s="128"/>
      <c r="L51" s="128"/>
      <c r="M51" s="128"/>
      <c r="N51" s="114"/>
      <c r="O51" s="115"/>
      <c r="P51" s="116"/>
      <c r="Q51" s="367"/>
      <c r="R51" s="367"/>
      <c r="S51" s="340"/>
      <c r="T51" s="122"/>
      <c r="U51" s="129"/>
      <c r="V51" s="118"/>
      <c r="W51" s="351"/>
      <c r="X51" s="341"/>
      <c r="Y51" s="340"/>
      <c r="Z51" s="341"/>
      <c r="AA51" s="341"/>
      <c r="AB51" s="56"/>
      <c r="AC51" s="332"/>
      <c r="AD51" s="333"/>
    </row>
    <row r="52" spans="1:30" s="94" customFormat="1" ht="0.75" hidden="1" customHeight="1">
      <c r="A52" s="130" t="s">
        <v>8</v>
      </c>
      <c r="B52" s="387" t="s">
        <v>62</v>
      </c>
      <c r="C52" s="131">
        <v>35.03</v>
      </c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3" t="s">
        <v>9</v>
      </c>
      <c r="Q52" s="134">
        <f>Q1</f>
        <v>0</v>
      </c>
      <c r="R52" s="135"/>
      <c r="S52" s="135"/>
      <c r="T52" s="133">
        <f>T1</f>
        <v>0</v>
      </c>
      <c r="U52" s="136"/>
      <c r="V52" s="132"/>
      <c r="W52" s="137"/>
      <c r="X52" s="164"/>
      <c r="Y52" s="164"/>
      <c r="Z52" s="164"/>
      <c r="AA52" s="164"/>
      <c r="AB52" s="164"/>
      <c r="AC52" s="51"/>
      <c r="AD52" s="18"/>
    </row>
    <row r="53" spans="1:30" s="94" customFormat="1" ht="7.5" hidden="1" customHeight="1">
      <c r="B53" s="388"/>
      <c r="C53" s="140">
        <v>136.51</v>
      </c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2"/>
      <c r="O53" s="142"/>
      <c r="P53" s="143" t="s">
        <v>10</v>
      </c>
      <c r="Q53" s="144">
        <f>Q2</f>
        <v>0</v>
      </c>
      <c r="R53" s="145"/>
      <c r="S53" s="146"/>
      <c r="T53" s="133">
        <f>T2</f>
        <v>0</v>
      </c>
      <c r="U53" s="147"/>
      <c r="V53" s="148"/>
      <c r="W53" s="149"/>
      <c r="X53" s="165"/>
      <c r="Y53" s="165"/>
      <c r="Z53" s="165"/>
      <c r="AA53" s="165"/>
      <c r="AB53" s="165"/>
      <c r="AC53" s="165"/>
      <c r="AD53" s="166"/>
    </row>
    <row r="54" spans="1:30" s="94" customFormat="1" ht="5.25" hidden="1" customHeight="1">
      <c r="A54" s="151" t="e">
        <f>#REF!</f>
        <v>#REF!</v>
      </c>
      <c r="B54" s="151"/>
      <c r="C54" s="15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52"/>
      <c r="O54" s="153"/>
      <c r="P54" s="153"/>
      <c r="Q54" s="154"/>
      <c r="R54" s="154"/>
      <c r="S54" s="132"/>
      <c r="T54" s="132"/>
      <c r="U54" s="136"/>
      <c r="V54" s="155"/>
      <c r="W54" s="137"/>
      <c r="X54" s="164"/>
      <c r="Y54" s="164"/>
      <c r="Z54" s="164"/>
      <c r="AA54" s="164"/>
      <c r="AB54" s="164"/>
      <c r="AC54" s="164"/>
      <c r="AD54" s="167" t="e">
        <f>#REF!</f>
        <v>#REF!</v>
      </c>
    </row>
    <row r="55" spans="1:30" ht="24.95" customHeight="1">
      <c r="A55" s="322" t="s">
        <v>11</v>
      </c>
      <c r="B55" s="325" t="s">
        <v>216</v>
      </c>
      <c r="C55" s="325" t="s">
        <v>33</v>
      </c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326" t="s">
        <v>210</v>
      </c>
      <c r="O55" s="327" t="s">
        <v>5</v>
      </c>
      <c r="P55" s="327" t="s">
        <v>13</v>
      </c>
      <c r="Q55" s="329" t="s">
        <v>14</v>
      </c>
      <c r="R55" s="329" t="s">
        <v>6</v>
      </c>
      <c r="S55" s="319" t="s">
        <v>211</v>
      </c>
      <c r="T55" s="102" t="s">
        <v>33</v>
      </c>
      <c r="U55" s="314" t="s">
        <v>15</v>
      </c>
      <c r="V55" s="103"/>
      <c r="W55" s="316" t="s">
        <v>224</v>
      </c>
      <c r="X55" s="380" t="s">
        <v>212</v>
      </c>
      <c r="Y55" s="380" t="s">
        <v>213</v>
      </c>
      <c r="Z55" s="380" t="s">
        <v>225</v>
      </c>
      <c r="AA55" s="380" t="s">
        <v>214</v>
      </c>
      <c r="AB55" s="380" t="s">
        <v>37</v>
      </c>
      <c r="AC55" s="380" t="s">
        <v>215</v>
      </c>
      <c r="AD55" s="383" t="s">
        <v>38</v>
      </c>
    </row>
    <row r="56" spans="1:30" s="107" customFormat="1" ht="24.95" customHeight="1">
      <c r="A56" s="323"/>
      <c r="B56" s="325"/>
      <c r="C56" s="325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326"/>
      <c r="O56" s="328"/>
      <c r="P56" s="328"/>
      <c r="Q56" s="330"/>
      <c r="R56" s="330"/>
      <c r="S56" s="319"/>
      <c r="T56" s="102" t="s">
        <v>39</v>
      </c>
      <c r="U56" s="315"/>
      <c r="V56" s="103"/>
      <c r="W56" s="317"/>
      <c r="X56" s="381"/>
      <c r="Y56" s="381"/>
      <c r="Z56" s="381"/>
      <c r="AA56" s="381"/>
      <c r="AB56" s="381"/>
      <c r="AC56" s="381"/>
      <c r="AD56" s="384"/>
    </row>
    <row r="57" spans="1:30" ht="24.95" customHeight="1">
      <c r="A57" s="323"/>
      <c r="B57" s="325"/>
      <c r="C57" s="325"/>
      <c r="D57" s="100" t="s">
        <v>17</v>
      </c>
      <c r="E57" s="100" t="s">
        <v>18</v>
      </c>
      <c r="F57" s="105" t="s">
        <v>0</v>
      </c>
      <c r="G57" s="105" t="s">
        <v>1</v>
      </c>
      <c r="H57" s="105" t="s">
        <v>19</v>
      </c>
      <c r="I57" s="106" t="s">
        <v>2</v>
      </c>
      <c r="J57" s="105" t="s">
        <v>3</v>
      </c>
      <c r="K57" s="105"/>
      <c r="L57" s="105" t="s">
        <v>20</v>
      </c>
      <c r="M57" s="105" t="s">
        <v>21</v>
      </c>
      <c r="N57" s="326"/>
      <c r="O57" s="328"/>
      <c r="P57" s="328"/>
      <c r="Q57" s="330"/>
      <c r="R57" s="330"/>
      <c r="S57" s="319"/>
      <c r="T57" s="102" t="s">
        <v>44</v>
      </c>
      <c r="U57" s="315"/>
      <c r="V57" s="103"/>
      <c r="W57" s="317"/>
      <c r="X57" s="381"/>
      <c r="Y57" s="381"/>
      <c r="Z57" s="381"/>
      <c r="AA57" s="381"/>
      <c r="AB57" s="381"/>
      <c r="AC57" s="381"/>
      <c r="AD57" s="384"/>
    </row>
    <row r="58" spans="1:30" ht="24.75" customHeight="1">
      <c r="A58" s="324"/>
      <c r="B58" s="325"/>
      <c r="C58" s="325"/>
      <c r="D58" s="101"/>
      <c r="E58" s="101"/>
      <c r="F58" s="108"/>
      <c r="G58" s="108"/>
      <c r="H58" s="108"/>
      <c r="I58" s="109"/>
      <c r="J58" s="108"/>
      <c r="K58" s="108"/>
      <c r="L58" s="108"/>
      <c r="M58" s="108"/>
      <c r="N58" s="326"/>
      <c r="O58" s="328"/>
      <c r="P58" s="328"/>
      <c r="Q58" s="330"/>
      <c r="R58" s="330"/>
      <c r="S58" s="320"/>
      <c r="T58" s="110" t="s">
        <v>47</v>
      </c>
      <c r="U58" s="315"/>
      <c r="V58" s="103"/>
      <c r="W58" s="317"/>
      <c r="X58" s="382"/>
      <c r="Y58" s="382"/>
      <c r="Z58" s="382"/>
      <c r="AA58" s="382"/>
      <c r="AB58" s="382"/>
      <c r="AC58" s="382"/>
      <c r="AD58" s="385"/>
    </row>
    <row r="59" spans="1:30" ht="22.5" customHeight="1">
      <c r="A59" s="386">
        <v>19</v>
      </c>
      <c r="B59" s="400">
        <f>B50</f>
        <v>0</v>
      </c>
      <c r="C59" s="124">
        <f>C50</f>
        <v>0</v>
      </c>
      <c r="D59" s="310">
        <f>TRUNC(C59)+((C59-TRUNC(C59))/0.6)</f>
        <v>0</v>
      </c>
      <c r="E59" s="310">
        <f>TRUNC(C60)+((C60-TRUNC(C60))/0.6)</f>
        <v>0</v>
      </c>
      <c r="F59" s="311">
        <f>ROUND(((LOG10(TAN(PI()/4+(D59/2*PI()/180)))*7915.7046)-(3437.7468*((0.0816968^2*SIN(D59*PI()/180))+(0.0816968^4/3*((SIN(D59*PI()/180))^3))+(0.0816968^6/5*((SIN(D59*PI()/180))^5))))),2)</f>
        <v>0</v>
      </c>
      <c r="G59" s="112"/>
      <c r="H59" s="312">
        <f>IF(E59&lt;0,E59+360,E59)</f>
        <v>0</v>
      </c>
      <c r="I59" s="113"/>
      <c r="J59" s="112"/>
      <c r="K59" s="112"/>
      <c r="L59" s="112"/>
      <c r="M59" s="112"/>
      <c r="N59" s="121" t="str">
        <f>N49</f>
        <v/>
      </c>
      <c r="O59" s="121" t="str">
        <f>O49</f>
        <v/>
      </c>
      <c r="P59" s="156">
        <f>P49</f>
        <v>0</v>
      </c>
      <c r="Q59" s="350" t="str">
        <f>Q50</f>
        <v/>
      </c>
      <c r="R59" s="350" t="str">
        <f>R50</f>
        <v/>
      </c>
      <c r="S59" s="340"/>
      <c r="T59" s="117" t="s">
        <v>7</v>
      </c>
      <c r="U59" s="129"/>
      <c r="V59" s="118"/>
      <c r="W59" s="390" t="str">
        <f>W50</f>
        <v/>
      </c>
      <c r="X59" s="340"/>
      <c r="Y59" s="340"/>
      <c r="Z59" s="340"/>
      <c r="AA59" s="340"/>
      <c r="AB59" s="57"/>
      <c r="AC59" s="331"/>
      <c r="AD59" s="389"/>
    </row>
    <row r="60" spans="1:30" ht="15" customHeight="1">
      <c r="A60" s="386"/>
      <c r="B60" s="401"/>
      <c r="C60" s="125">
        <f>C51</f>
        <v>0</v>
      </c>
      <c r="D60" s="310"/>
      <c r="E60" s="310"/>
      <c r="F60" s="311"/>
      <c r="G60" s="312">
        <f>ABS(D59-D61)*60</f>
        <v>0</v>
      </c>
      <c r="H60" s="312"/>
      <c r="I60" s="334">
        <f>ABS(H59-H61)*60</f>
        <v>0</v>
      </c>
      <c r="J60" s="335">
        <f>ABS(F59-F61)</f>
        <v>0</v>
      </c>
      <c r="K60" s="336" t="e">
        <f>IF(AND(D59&lt;D61,H59=H61),0,IF(AND(D59&gt;D61,H59=H61),180,IF(AND(D59=D61,H59&lt;H61),90,IF(AND(D59=D61,H59&gt;H61),270,(ATAN(I60/J60)*180/PI())))))</f>
        <v>#DIV/0!</v>
      </c>
      <c r="L60" s="310" t="e">
        <f>IF(OR(K60=0,K60=90,K60=180,K60=270),K60,IF(AND(D59&lt;D61,H59&lt;H61),K60,IF(AND(D59&lt;D61,H59&gt;H61),360-K60,IF(AND(D59&gt;D61,H59&lt;H61),180-K60,IF(AND(D59&gt;D61,H59&gt;H61),180+K60)))))</f>
        <v>#DIV/0!</v>
      </c>
      <c r="M60" s="310">
        <f>(IF(I60=0,G60,IF(G60=0,COS(D61*PI()/180)*I60,G60/COS(K60*PI()/180))))</f>
        <v>0</v>
      </c>
      <c r="N60" s="337" t="str">
        <f>IF(C62="","",ROUND(L60,1))</f>
        <v/>
      </c>
      <c r="O60" s="352" t="str">
        <f>IF(C62="","",ROUND(M60,1))</f>
        <v/>
      </c>
      <c r="P60" s="353"/>
      <c r="Q60" s="350"/>
      <c r="R60" s="350"/>
      <c r="S60" s="341"/>
      <c r="T60" s="122" t="s">
        <v>23</v>
      </c>
      <c r="U60" s="358"/>
      <c r="V60" s="356" t="e">
        <f>(O60/P60+U60/60)/24</f>
        <v>#VALUE!</v>
      </c>
      <c r="W60" s="391"/>
      <c r="X60" s="341"/>
      <c r="Y60" s="340"/>
      <c r="Z60" s="341"/>
      <c r="AA60" s="341"/>
      <c r="AB60" s="56"/>
      <c r="AC60" s="332"/>
      <c r="AD60" s="389"/>
    </row>
    <row r="61" spans="1:30" ht="15" customHeight="1">
      <c r="A61" s="386">
        <v>20</v>
      </c>
      <c r="B61" s="392"/>
      <c r="C61" s="54"/>
      <c r="D61" s="310">
        <f>TRUNC(C61)+((C61-TRUNC(C61))/0.6)</f>
        <v>0</v>
      </c>
      <c r="E61" s="310">
        <f>TRUNC(C62)+((C62-TRUNC(C62))/0.6)</f>
        <v>0</v>
      </c>
      <c r="F61" s="311">
        <f>ROUND(((LOG10(TAN(PI()/4+(D61/2*PI()/180)))*7915.7046)-(3437.7468*((0.0816968^2*SIN(D61*PI()/180))+(0.0816968^4/3*((SIN(D61*PI()/180))^3))+(0.0816968^6/5*((SIN(D61*PI()/180))^5))))),2)</f>
        <v>0</v>
      </c>
      <c r="G61" s="312"/>
      <c r="H61" s="312">
        <f>IF(E61&lt;0,E61+360,E61)</f>
        <v>0</v>
      </c>
      <c r="I61" s="334"/>
      <c r="J61" s="335"/>
      <c r="K61" s="336"/>
      <c r="L61" s="310"/>
      <c r="M61" s="310"/>
      <c r="N61" s="337"/>
      <c r="O61" s="352"/>
      <c r="P61" s="353"/>
      <c r="Q61" s="350" t="str">
        <f>IF(O60="","",Q59+O60)</f>
        <v/>
      </c>
      <c r="R61" s="350" t="str">
        <f>IF(O60="","",R59-O60)</f>
        <v/>
      </c>
      <c r="S61" s="340"/>
      <c r="T61" s="117" t="s">
        <v>7</v>
      </c>
      <c r="U61" s="355"/>
      <c r="V61" s="356"/>
      <c r="W61" s="351" t="str">
        <f>IF(P60="","",W59+V60)</f>
        <v/>
      </c>
      <c r="X61" s="340"/>
      <c r="Y61" s="340"/>
      <c r="Z61" s="340"/>
      <c r="AA61" s="340"/>
      <c r="AB61" s="57"/>
      <c r="AC61" s="331"/>
      <c r="AD61" s="389"/>
    </row>
    <row r="62" spans="1:30" ht="15" customHeight="1">
      <c r="A62" s="386"/>
      <c r="B62" s="392"/>
      <c r="C62" s="55"/>
      <c r="D62" s="310"/>
      <c r="E62" s="310"/>
      <c r="F62" s="311"/>
      <c r="G62" s="312">
        <f>ABS(D61-D63)*60</f>
        <v>0</v>
      </c>
      <c r="H62" s="312"/>
      <c r="I62" s="334">
        <f>ABS(H61-H63)*60</f>
        <v>0</v>
      </c>
      <c r="J62" s="335">
        <f>ABS(F61-F63)</f>
        <v>0</v>
      </c>
      <c r="K62" s="336" t="e">
        <f>IF(AND(D61&lt;D63,H61=H63),0,IF(AND(D61&gt;D63,H61=H63),180,IF(AND(D61=D63,H61&lt;H63),90,IF(AND(D61=D63,H61&gt;H63),270,(ATAN(I62/J62)*180/PI())))))</f>
        <v>#DIV/0!</v>
      </c>
      <c r="L62" s="310" t="e">
        <f>IF(OR(K62=0,K62=90,K62=180,K62=270),K62,IF(AND(D61&lt;D63,H61&lt;H63),K62,IF(AND(D61&lt;D63,H61&gt;H63),360-K62,IF(AND(D61&gt;D63,H61&lt;H63),180-K62,IF(AND(D61&gt;D63,H61&gt;H63),180+K62)))))</f>
        <v>#DIV/0!</v>
      </c>
      <c r="M62" s="310">
        <f>(IF(I62=0,G62,IF(G62=0,COS(D63*PI()/180)*I62,G62/COS(K62*PI()/180))))</f>
        <v>0</v>
      </c>
      <c r="N62" s="337" t="str">
        <f>IF(C64="","",ROUND(L62,1))</f>
        <v/>
      </c>
      <c r="O62" s="352" t="str">
        <f>IF(C64="","",ROUND(M62,1))</f>
        <v/>
      </c>
      <c r="P62" s="353"/>
      <c r="Q62" s="350"/>
      <c r="R62" s="350"/>
      <c r="S62" s="341"/>
      <c r="T62" s="122" t="s">
        <v>23</v>
      </c>
      <c r="U62" s="358"/>
      <c r="V62" s="356" t="e">
        <f>(O62/P62+U62/60)/24</f>
        <v>#VALUE!</v>
      </c>
      <c r="W62" s="351"/>
      <c r="X62" s="341"/>
      <c r="Y62" s="340"/>
      <c r="Z62" s="341"/>
      <c r="AA62" s="341"/>
      <c r="AB62" s="56"/>
      <c r="AC62" s="332"/>
      <c r="AD62" s="389"/>
    </row>
    <row r="63" spans="1:30" ht="15" customHeight="1">
      <c r="A63" s="386">
        <v>21</v>
      </c>
      <c r="B63" s="392"/>
      <c r="C63" s="54"/>
      <c r="D63" s="310">
        <f>TRUNC(C63)+((C63-TRUNC(C63))/0.6)</f>
        <v>0</v>
      </c>
      <c r="E63" s="310">
        <f>TRUNC(C64)+((C64-TRUNC(C64))/0.6)</f>
        <v>0</v>
      </c>
      <c r="F63" s="311">
        <f>ROUND(((LOG10(TAN(PI()/4+(D63/2*PI()/180)))*7915.7046)-(3437.7468*((0.0816968^2*SIN(D63*PI()/180))+(0.0816968^4/3*((SIN(D63*PI()/180))^3))+(0.0816968^6/5*((SIN(D63*PI()/180))^5))))),2)</f>
        <v>0</v>
      </c>
      <c r="G63" s="312"/>
      <c r="H63" s="312">
        <f>IF(E63&lt;0,E63+360,E63)</f>
        <v>0</v>
      </c>
      <c r="I63" s="334"/>
      <c r="J63" s="335"/>
      <c r="K63" s="336"/>
      <c r="L63" s="310"/>
      <c r="M63" s="310"/>
      <c r="N63" s="337"/>
      <c r="O63" s="352"/>
      <c r="P63" s="353"/>
      <c r="Q63" s="350" t="str">
        <f>IF(O62="","",Q61+O62)</f>
        <v/>
      </c>
      <c r="R63" s="350" t="str">
        <f>IF(O62="","",R61-O62)</f>
        <v/>
      </c>
      <c r="S63" s="340"/>
      <c r="T63" s="117" t="s">
        <v>7</v>
      </c>
      <c r="U63" s="355"/>
      <c r="V63" s="356"/>
      <c r="W63" s="351" t="str">
        <f>IF(P62="","",W61+V62)</f>
        <v/>
      </c>
      <c r="X63" s="340"/>
      <c r="Y63" s="340"/>
      <c r="Z63" s="340"/>
      <c r="AA63" s="340"/>
      <c r="AB63" s="57"/>
      <c r="AC63" s="331"/>
      <c r="AD63" s="389"/>
    </row>
    <row r="64" spans="1:30" ht="15" customHeight="1">
      <c r="A64" s="386"/>
      <c r="B64" s="392"/>
      <c r="C64" s="55"/>
      <c r="D64" s="310"/>
      <c r="E64" s="310"/>
      <c r="F64" s="311"/>
      <c r="G64" s="312">
        <f>ABS(D63-D65)*60</f>
        <v>0</v>
      </c>
      <c r="H64" s="312"/>
      <c r="I64" s="334">
        <f>ABS(H63-H65)*60</f>
        <v>0</v>
      </c>
      <c r="J64" s="335">
        <f>ABS(F63-F65)</f>
        <v>0</v>
      </c>
      <c r="K64" s="336" t="e">
        <f>IF(AND(D63&lt;D65,H63=H65),0,IF(AND(D63&gt;D65,H63=H65),180,IF(AND(D63=D65,H63&lt;H65),90,IF(AND(D63=D65,H63&gt;H65),270,(ATAN(I64/J64)*180/PI())))))</f>
        <v>#DIV/0!</v>
      </c>
      <c r="L64" s="310" t="e">
        <f>IF(OR(K64=0,K64=90,K64=180,K64=270),K64,IF(AND(D63&lt;D65,H63&lt;H65),K64,IF(AND(D63&lt;D65,H63&gt;H65),360-K64,IF(AND(D63&gt;D65,H63&lt;H65),180-K64,IF(AND(D63&gt;D65,H63&gt;H65),180+K64)))))</f>
        <v>#DIV/0!</v>
      </c>
      <c r="M64" s="310">
        <f>(IF(I64=0,G64,IF(G64=0,COS(D65*PI()/180)*I64,G64/COS(K64*PI()/180))))</f>
        <v>0</v>
      </c>
      <c r="N64" s="337" t="str">
        <f>IF(C66="","",ROUND(L64,1))</f>
        <v/>
      </c>
      <c r="O64" s="352" t="str">
        <f>IF(C66="","",ROUND(M64,1))</f>
        <v/>
      </c>
      <c r="P64" s="353"/>
      <c r="Q64" s="350"/>
      <c r="R64" s="350"/>
      <c r="S64" s="341"/>
      <c r="T64" s="122" t="s">
        <v>23</v>
      </c>
      <c r="U64" s="358"/>
      <c r="V64" s="356" t="e">
        <f>(O64/P64+U64/60)/24</f>
        <v>#VALUE!</v>
      </c>
      <c r="W64" s="351"/>
      <c r="X64" s="341"/>
      <c r="Y64" s="340"/>
      <c r="Z64" s="341"/>
      <c r="AA64" s="341"/>
      <c r="AB64" s="56"/>
      <c r="AC64" s="332"/>
      <c r="AD64" s="389"/>
    </row>
    <row r="65" spans="1:30" ht="15" customHeight="1">
      <c r="A65" s="386">
        <v>22</v>
      </c>
      <c r="B65" s="348"/>
      <c r="C65" s="54"/>
      <c r="D65" s="310">
        <f>TRUNC(C65)+((C65-TRUNC(C65))/0.6)</f>
        <v>0</v>
      </c>
      <c r="E65" s="310">
        <f>TRUNC(C66)+((C66-TRUNC(C66))/0.6)</f>
        <v>0</v>
      </c>
      <c r="F65" s="311">
        <f>ROUND(((LOG10(TAN(PI()/4+(D65/2*PI()/180)))*7915.7046)-(3437.7468*((0.0816968^2*SIN(D65*PI()/180))+(0.0816968^4/3*((SIN(D65*PI()/180))^3))+(0.0816968^6/5*((SIN(D65*PI()/180))^5))))),2)</f>
        <v>0</v>
      </c>
      <c r="G65" s="312"/>
      <c r="H65" s="312">
        <f>IF(E65&lt;0,E65+360,E65)</f>
        <v>0</v>
      </c>
      <c r="I65" s="334"/>
      <c r="J65" s="335"/>
      <c r="K65" s="336"/>
      <c r="L65" s="310"/>
      <c r="M65" s="310"/>
      <c r="N65" s="337"/>
      <c r="O65" s="352"/>
      <c r="P65" s="353"/>
      <c r="Q65" s="350" t="str">
        <f>IF(O64="","",Q63+O64)</f>
        <v/>
      </c>
      <c r="R65" s="350" t="str">
        <f>IF(O64="","",R63-O64)</f>
        <v/>
      </c>
      <c r="S65" s="340"/>
      <c r="T65" s="117" t="s">
        <v>7</v>
      </c>
      <c r="U65" s="355"/>
      <c r="V65" s="356"/>
      <c r="W65" s="351" t="str">
        <f>IF(P64="","",W63+V64)</f>
        <v/>
      </c>
      <c r="X65" s="340"/>
      <c r="Y65" s="340"/>
      <c r="Z65" s="340"/>
      <c r="AA65" s="340"/>
      <c r="AB65" s="57"/>
      <c r="AC65" s="331"/>
      <c r="AD65" s="389"/>
    </row>
    <row r="66" spans="1:30" ht="15" customHeight="1">
      <c r="A66" s="386"/>
      <c r="B66" s="349"/>
      <c r="C66" s="55"/>
      <c r="D66" s="310"/>
      <c r="E66" s="310"/>
      <c r="F66" s="311"/>
      <c r="G66" s="312">
        <f>ABS(D65-D67)*60</f>
        <v>0</v>
      </c>
      <c r="H66" s="312"/>
      <c r="I66" s="334">
        <f>ABS(H65-H67)*60</f>
        <v>0</v>
      </c>
      <c r="J66" s="335">
        <f>ABS(F65-F67)</f>
        <v>0</v>
      </c>
      <c r="K66" s="336" t="e">
        <f>IF(AND(D65&lt;D67,H65=H67),0,IF(AND(D65&gt;D67,H65=H67),180,IF(AND(D65=D67,H65&lt;H67),90,IF(AND(D65=D67,H65&gt;H67),270,(ATAN(I66/J66)*180/PI())))))</f>
        <v>#DIV/0!</v>
      </c>
      <c r="L66" s="310" t="e">
        <f>IF(OR(K66=0,K66=90,K66=180,K66=270),K66,IF(AND(D65&lt;D67,H65&lt;H67),K66,IF(AND(D65&lt;D67,H65&gt;H67),360-K66,IF(AND(D65&gt;D67,H65&lt;H67),180-K66,IF(AND(D65&gt;D67,H65&gt;H67),180+K66)))))</f>
        <v>#DIV/0!</v>
      </c>
      <c r="M66" s="310">
        <f>(IF(I66=0,G66,IF(G66=0,COS(D67*PI()/180)*I66,G66/COS(K66*PI()/180))))</f>
        <v>0</v>
      </c>
      <c r="N66" s="337" t="str">
        <f>IF(C68="","",ROUND(L66,1))</f>
        <v/>
      </c>
      <c r="O66" s="352" t="str">
        <f>IF(C68="","",ROUND(M66,1))</f>
        <v/>
      </c>
      <c r="P66" s="353"/>
      <c r="Q66" s="350"/>
      <c r="R66" s="350"/>
      <c r="S66" s="341"/>
      <c r="T66" s="122" t="s">
        <v>23</v>
      </c>
      <c r="U66" s="358"/>
      <c r="V66" s="356" t="e">
        <f>(O66/P66+U66/60)/24</f>
        <v>#VALUE!</v>
      </c>
      <c r="W66" s="351"/>
      <c r="X66" s="341"/>
      <c r="Y66" s="340"/>
      <c r="Z66" s="341"/>
      <c r="AA66" s="341"/>
      <c r="AB66" s="56"/>
      <c r="AC66" s="332"/>
      <c r="AD66" s="389"/>
    </row>
    <row r="67" spans="1:30" ht="15" customHeight="1">
      <c r="A67" s="386">
        <v>23</v>
      </c>
      <c r="B67" s="348"/>
      <c r="C67" s="54"/>
      <c r="D67" s="310">
        <f>TRUNC(C67)+((C67-TRUNC(C67))/0.6)</f>
        <v>0</v>
      </c>
      <c r="E67" s="310">
        <f>TRUNC(C68)+((C68-TRUNC(C68))/0.6)</f>
        <v>0</v>
      </c>
      <c r="F67" s="311">
        <f>ROUND(((LOG10(TAN(PI()/4+(D67/2*PI()/180)))*7915.7046)-(3437.7468*((0.0816968^2*SIN(D67*PI()/180))+(0.0816968^4/3*((SIN(D67*PI()/180))^3))+(0.0816968^6/5*((SIN(D67*PI()/180))^5))))),2)</f>
        <v>0</v>
      </c>
      <c r="G67" s="312"/>
      <c r="H67" s="312">
        <f>IF(E67&lt;0,E67+360,E67)</f>
        <v>0</v>
      </c>
      <c r="I67" s="334"/>
      <c r="J67" s="335"/>
      <c r="K67" s="336"/>
      <c r="L67" s="310"/>
      <c r="M67" s="310"/>
      <c r="N67" s="337"/>
      <c r="O67" s="352"/>
      <c r="P67" s="353"/>
      <c r="Q67" s="350" t="str">
        <f>IF(O66="","",Q65+O66)</f>
        <v/>
      </c>
      <c r="R67" s="350" t="str">
        <f>IF(O66="","",R65-O66)</f>
        <v/>
      </c>
      <c r="S67" s="340"/>
      <c r="T67" s="117" t="s">
        <v>7</v>
      </c>
      <c r="U67" s="355"/>
      <c r="V67" s="356"/>
      <c r="W67" s="351" t="str">
        <f>IF(P66="","",W65+V66)</f>
        <v/>
      </c>
      <c r="X67" s="340"/>
      <c r="Y67" s="340"/>
      <c r="Z67" s="340"/>
      <c r="AA67" s="340"/>
      <c r="AB67" s="57"/>
      <c r="AC67" s="331"/>
      <c r="AD67" s="389"/>
    </row>
    <row r="68" spans="1:30" ht="15" customHeight="1">
      <c r="A68" s="386"/>
      <c r="B68" s="349"/>
      <c r="C68" s="55"/>
      <c r="D68" s="310"/>
      <c r="E68" s="310"/>
      <c r="F68" s="311"/>
      <c r="G68" s="312">
        <f>ABS(D67-D69)*60</f>
        <v>0</v>
      </c>
      <c r="H68" s="312"/>
      <c r="I68" s="334">
        <f>ABS(H67-H69)*60</f>
        <v>0</v>
      </c>
      <c r="J68" s="335">
        <f>ABS(F67-F69)</f>
        <v>0</v>
      </c>
      <c r="K68" s="336" t="e">
        <f>IF(AND(D67&lt;D69,H67=H69),0,IF(AND(D67&gt;D69,H67=H69),180,IF(AND(D67=D69,H67&lt;H69),90,IF(AND(D67=D69,H67&gt;H69),270,(ATAN(I68/J68)*180/PI())))))</f>
        <v>#DIV/0!</v>
      </c>
      <c r="L68" s="310" t="e">
        <f>IF(OR(K68=0,K68=90,K68=180,K68=270),K68,IF(AND(D67&lt;D69,H67&lt;H69),K68,IF(AND(D67&lt;D69,H67&gt;H69),360-K68,IF(AND(D67&gt;D69,H67&lt;H69),180-K68,IF(AND(D67&gt;D69,H67&gt;H69),180+K68)))))</f>
        <v>#DIV/0!</v>
      </c>
      <c r="M68" s="310">
        <f>(IF(I68=0,G68,IF(G68=0,COS(D69*PI()/180)*I68,G68/COS(K68*PI()/180))))</f>
        <v>0</v>
      </c>
      <c r="N68" s="337" t="str">
        <f>IF(C70="","",ROUND(L68,1))</f>
        <v/>
      </c>
      <c r="O68" s="352" t="str">
        <f>IF(C70="","",ROUND(M68,1))</f>
        <v/>
      </c>
      <c r="P68" s="353"/>
      <c r="Q68" s="350"/>
      <c r="R68" s="350"/>
      <c r="S68" s="341"/>
      <c r="T68" s="122" t="s">
        <v>24</v>
      </c>
      <c r="U68" s="358"/>
      <c r="V68" s="356" t="e">
        <f>(O68/P68+U68/60)/24</f>
        <v>#VALUE!</v>
      </c>
      <c r="W68" s="351"/>
      <c r="X68" s="341"/>
      <c r="Y68" s="340"/>
      <c r="Z68" s="341"/>
      <c r="AA68" s="341"/>
      <c r="AB68" s="56"/>
      <c r="AC68" s="332"/>
      <c r="AD68" s="389"/>
    </row>
    <row r="69" spans="1:30" ht="15" customHeight="1">
      <c r="A69" s="386">
        <v>24</v>
      </c>
      <c r="B69" s="348"/>
      <c r="C69" s="54"/>
      <c r="D69" s="310">
        <f>TRUNC(C69)+((C69-TRUNC(C69))/0.6)</f>
        <v>0</v>
      </c>
      <c r="E69" s="310">
        <f>TRUNC(C70)+((C70-TRUNC(C70))/0.6)</f>
        <v>0</v>
      </c>
      <c r="F69" s="311">
        <f>ROUND(((LOG10(TAN(PI()/4+(D69/2*PI()/180)))*7915.7046)-(3437.7468*((0.0816968^2*SIN(D69*PI()/180))+(0.0816968^4/3*((SIN(D69*PI()/180))^3))+(0.0816968^6/5*((SIN(D69*PI()/180))^5))))),2)</f>
        <v>0</v>
      </c>
      <c r="G69" s="312"/>
      <c r="H69" s="312">
        <f>IF(E69&lt;0,E69+360,E69)</f>
        <v>0</v>
      </c>
      <c r="I69" s="334"/>
      <c r="J69" s="335"/>
      <c r="K69" s="336"/>
      <c r="L69" s="310"/>
      <c r="M69" s="310"/>
      <c r="N69" s="337"/>
      <c r="O69" s="352"/>
      <c r="P69" s="353"/>
      <c r="Q69" s="350" t="str">
        <f>IF(O68="","",Q67+O68)</f>
        <v/>
      </c>
      <c r="R69" s="350" t="str">
        <f>IF(O68="","",R67-O68)</f>
        <v/>
      </c>
      <c r="S69" s="340"/>
      <c r="T69" s="117" t="s">
        <v>7</v>
      </c>
      <c r="U69" s="355"/>
      <c r="V69" s="356"/>
      <c r="W69" s="351" t="str">
        <f>IF(P68="","",W67+V68)</f>
        <v/>
      </c>
      <c r="X69" s="340"/>
      <c r="Y69" s="340"/>
      <c r="Z69" s="340"/>
      <c r="AA69" s="340"/>
      <c r="AB69" s="57"/>
      <c r="AC69" s="331"/>
      <c r="AD69" s="389"/>
    </row>
    <row r="70" spans="1:30" ht="15" customHeight="1">
      <c r="A70" s="386"/>
      <c r="B70" s="349"/>
      <c r="C70" s="55"/>
      <c r="D70" s="310"/>
      <c r="E70" s="310"/>
      <c r="F70" s="311"/>
      <c r="G70" s="312">
        <f>ABS(D69-D71)*60</f>
        <v>0</v>
      </c>
      <c r="H70" s="312"/>
      <c r="I70" s="334">
        <f>ABS(H69-H71)*60</f>
        <v>0</v>
      </c>
      <c r="J70" s="335">
        <f>ABS(F69-F71)</f>
        <v>0</v>
      </c>
      <c r="K70" s="336" t="e">
        <f>IF(AND(D69&lt;D71,H69=H71),0,IF(AND(D69&gt;D71,H69=H71),180,IF(AND(D69=D71,H69&lt;H71),90,IF(AND(D69=D71,H69&gt;H71),270,(ATAN(I70/J70)*180/PI())))))</f>
        <v>#DIV/0!</v>
      </c>
      <c r="L70" s="310" t="e">
        <f>IF(OR(K70=0,K70=90,K70=180,K70=270),K70,IF(AND(D69&lt;D71,H69&lt;H71),K70,IF(AND(D69&lt;D71,H69&gt;H71),360-K70,IF(AND(D69&gt;D71,H69&lt;H71),180-K70,IF(AND(D69&gt;D71,H69&gt;H71),180+K70)))))</f>
        <v>#DIV/0!</v>
      </c>
      <c r="M70" s="310">
        <f>(IF(I70=0,G70,IF(G70=0,COS(D71*PI()/180)*I70,G70/COS(K70*PI()/180))))</f>
        <v>0</v>
      </c>
      <c r="N70" s="337" t="str">
        <f>IF(C72="","",ROUND(L70,1))</f>
        <v/>
      </c>
      <c r="O70" s="352" t="str">
        <f>IF(C72="","",ROUND(M70,1))</f>
        <v/>
      </c>
      <c r="P70" s="353"/>
      <c r="Q70" s="350"/>
      <c r="R70" s="350"/>
      <c r="S70" s="341"/>
      <c r="T70" s="122" t="s">
        <v>23</v>
      </c>
      <c r="U70" s="358"/>
      <c r="V70" s="356" t="e">
        <f>(O70/P70+U70/60)/24</f>
        <v>#VALUE!</v>
      </c>
      <c r="W70" s="351"/>
      <c r="X70" s="341"/>
      <c r="Y70" s="340"/>
      <c r="Z70" s="341"/>
      <c r="AA70" s="341"/>
      <c r="AB70" s="56"/>
      <c r="AC70" s="332"/>
      <c r="AD70" s="389"/>
    </row>
    <row r="71" spans="1:30" ht="15" customHeight="1">
      <c r="A71" s="386">
        <v>25</v>
      </c>
      <c r="B71" s="393"/>
      <c r="C71" s="54"/>
      <c r="D71" s="310">
        <f>TRUNC(C71)+((C71-TRUNC(C71))/0.6)</f>
        <v>0</v>
      </c>
      <c r="E71" s="310">
        <f>TRUNC(C72)+((C72-TRUNC(C72))/0.6)</f>
        <v>0</v>
      </c>
      <c r="F71" s="311">
        <f>ROUND(((LOG10(TAN(PI()/4+(D71/2*PI()/180)))*7915.7046)-(3437.7468*((0.0816968^2*SIN(D71*PI()/180))+(0.0816968^4/3*((SIN(D71*PI()/180))^3))+(0.0816968^6/5*((SIN(D71*PI()/180))^5))))),2)</f>
        <v>0</v>
      </c>
      <c r="G71" s="312"/>
      <c r="H71" s="312">
        <f>IF(E71&lt;0,E71+360,E71)</f>
        <v>0</v>
      </c>
      <c r="I71" s="334"/>
      <c r="J71" s="335"/>
      <c r="K71" s="336"/>
      <c r="L71" s="310"/>
      <c r="M71" s="310"/>
      <c r="N71" s="337"/>
      <c r="O71" s="352"/>
      <c r="P71" s="353"/>
      <c r="Q71" s="350" t="str">
        <f>IF(O70="","",Q69+O70)</f>
        <v/>
      </c>
      <c r="R71" s="350" t="str">
        <f>IF(O70="","",R69-O70)</f>
        <v/>
      </c>
      <c r="S71" s="340"/>
      <c r="T71" s="117" t="s">
        <v>25</v>
      </c>
      <c r="U71" s="355"/>
      <c r="V71" s="356"/>
      <c r="W71" s="351" t="str">
        <f>IF(P70="","",W69+V70)</f>
        <v/>
      </c>
      <c r="X71" s="340"/>
      <c r="Y71" s="340"/>
      <c r="Z71" s="340"/>
      <c r="AA71" s="340"/>
      <c r="AB71" s="52"/>
      <c r="AC71" s="331"/>
      <c r="AD71" s="389"/>
    </row>
    <row r="72" spans="1:30" ht="15" customHeight="1">
      <c r="A72" s="386"/>
      <c r="B72" s="393"/>
      <c r="C72" s="55"/>
      <c r="D72" s="310"/>
      <c r="E72" s="310"/>
      <c r="F72" s="311"/>
      <c r="G72" s="312">
        <f>ABS(D71-D73)*60</f>
        <v>0</v>
      </c>
      <c r="H72" s="312"/>
      <c r="I72" s="334">
        <f>ABS(H71-H73)*60</f>
        <v>0</v>
      </c>
      <c r="J72" s="335">
        <f>ABS(F71-F73)</f>
        <v>0</v>
      </c>
      <c r="K72" s="336" t="e">
        <f>IF(AND(D71&lt;D73,H71=H73),0,IF(AND(D71&gt;D73,H71=H73),180,IF(AND(D71=D73,H71&lt;H73),90,IF(AND(D71=D73,H71&gt;H73),270,(ATAN(I72/J72)*180/PI())))))</f>
        <v>#DIV/0!</v>
      </c>
      <c r="L72" s="310" t="e">
        <f>IF(OR(K72=0,K72=90,K72=180,K72=270),K72,IF(AND(D71&lt;D73,H71&lt;H73),K72,IF(AND(D71&lt;D73,H71&gt;H73),360-K72,IF(AND(D71&gt;D73,H71&lt;H73),180-K72,IF(AND(D71&gt;D73,H71&gt;H73),180+K72)))))</f>
        <v>#DIV/0!</v>
      </c>
      <c r="M72" s="310">
        <f>(IF(I72=0,G72,IF(G72=0,COS(D73*PI()/180)*I72,G72/COS(K72*PI()/180))))</f>
        <v>0</v>
      </c>
      <c r="N72" s="337" t="str">
        <f>IF(C74="","",ROUND(L72,1))</f>
        <v/>
      </c>
      <c r="O72" s="352" t="str">
        <f>IF(C74="","",ROUND(M72,1))</f>
        <v/>
      </c>
      <c r="P72" s="353"/>
      <c r="Q72" s="350"/>
      <c r="R72" s="350"/>
      <c r="S72" s="341"/>
      <c r="T72" s="122" t="s">
        <v>24</v>
      </c>
      <c r="U72" s="358"/>
      <c r="V72" s="356" t="e">
        <f>(O72/P72+U72/60)/24</f>
        <v>#VALUE!</v>
      </c>
      <c r="W72" s="351"/>
      <c r="X72" s="341"/>
      <c r="Y72" s="340"/>
      <c r="Z72" s="341"/>
      <c r="AA72" s="341"/>
      <c r="AB72" s="53"/>
      <c r="AC72" s="332"/>
      <c r="AD72" s="389"/>
    </row>
    <row r="73" spans="1:30" ht="15" customHeight="1">
      <c r="A73" s="386">
        <v>26</v>
      </c>
      <c r="B73" s="392"/>
      <c r="C73" s="54"/>
      <c r="D73" s="310">
        <f>TRUNC(C73)+((C73-TRUNC(C73))/0.6)</f>
        <v>0</v>
      </c>
      <c r="E73" s="310">
        <f>TRUNC(C74)+((C74-TRUNC(C74))/0.6)</f>
        <v>0</v>
      </c>
      <c r="F73" s="311">
        <f>ROUND(((LOG10(TAN(PI()/4+(D73/2*PI()/180)))*7915.7046)-(3437.7468*((0.0816968^2*SIN(D73*PI()/180))+(0.0816968^4/3*((SIN(D73*PI()/180))^3))+(0.0816968^6/5*((SIN(D73*PI()/180))^5))))),2)</f>
        <v>0</v>
      </c>
      <c r="G73" s="312"/>
      <c r="H73" s="312">
        <f>IF(E73&lt;0,E73+360,E73)</f>
        <v>0</v>
      </c>
      <c r="I73" s="334"/>
      <c r="J73" s="335"/>
      <c r="K73" s="336"/>
      <c r="L73" s="310"/>
      <c r="M73" s="310"/>
      <c r="N73" s="337"/>
      <c r="O73" s="352"/>
      <c r="P73" s="353"/>
      <c r="Q73" s="350" t="str">
        <f>IF(O72="","",Q71+O72)</f>
        <v/>
      </c>
      <c r="R73" s="350" t="str">
        <f>IF(O72="","",R71-O72)</f>
        <v/>
      </c>
      <c r="S73" s="340"/>
      <c r="T73" s="117" t="s">
        <v>25</v>
      </c>
      <c r="U73" s="355"/>
      <c r="V73" s="356"/>
      <c r="W73" s="351" t="str">
        <f>IF(P72="","",W71+V72)</f>
        <v/>
      </c>
      <c r="X73" s="340"/>
      <c r="Y73" s="340"/>
      <c r="Z73" s="340"/>
      <c r="AA73" s="340"/>
      <c r="AB73" s="52"/>
      <c r="AC73" s="331"/>
      <c r="AD73" s="389"/>
    </row>
    <row r="74" spans="1:30" ht="15" customHeight="1">
      <c r="A74" s="386"/>
      <c r="B74" s="392"/>
      <c r="C74" s="55"/>
      <c r="D74" s="310"/>
      <c r="E74" s="310"/>
      <c r="F74" s="311"/>
      <c r="G74" s="312">
        <f>ABS(D73-D75)*60</f>
        <v>0</v>
      </c>
      <c r="H74" s="312"/>
      <c r="I74" s="334">
        <f>ABS(H73-H75)*60</f>
        <v>0</v>
      </c>
      <c r="J74" s="335">
        <f>ABS(F73-F75)</f>
        <v>0</v>
      </c>
      <c r="K74" s="336" t="e">
        <f>IF(AND(D73&lt;D75,H73=H75),0,IF(AND(D73&gt;D75,H73=H75),180,IF(AND(D73=D75,H73&lt;H75),90,IF(AND(D73=D75,H73&gt;H75),270,(ATAN(I74/J74)*180/PI())))))</f>
        <v>#DIV/0!</v>
      </c>
      <c r="L74" s="310" t="e">
        <f>IF(OR(K74=0,K74=90,K74=180,K74=270),K74,IF(AND(D73&lt;D75,H73&lt;H75),K74,IF(AND(D73&lt;D75,H73&gt;H75),360-K74,IF(AND(D73&gt;D75,H73&lt;H75),180-K74,IF(AND(D73&gt;D75,H73&gt;H75),180+K74)))))</f>
        <v>#DIV/0!</v>
      </c>
      <c r="M74" s="310">
        <f>(IF(I74=0,G74,IF(G74=0,COS(D75*PI()/180)*I74,G74/COS(K74*PI()/180))))</f>
        <v>0</v>
      </c>
      <c r="N74" s="337" t="str">
        <f>IF(C76="","",ROUND(L74,1))</f>
        <v/>
      </c>
      <c r="O74" s="352" t="str">
        <f>IF(C76="","",ROUND(M74,1))</f>
        <v/>
      </c>
      <c r="P74" s="353"/>
      <c r="Q74" s="350"/>
      <c r="R74" s="350"/>
      <c r="S74" s="341"/>
      <c r="T74" s="122" t="s">
        <v>24</v>
      </c>
      <c r="U74" s="358"/>
      <c r="V74" s="356" t="e">
        <f>(O74/P74+U74/60)/24</f>
        <v>#VALUE!</v>
      </c>
      <c r="W74" s="351"/>
      <c r="X74" s="341"/>
      <c r="Y74" s="340"/>
      <c r="Z74" s="341"/>
      <c r="AA74" s="341"/>
      <c r="AB74" s="53"/>
      <c r="AC74" s="332"/>
      <c r="AD74" s="389"/>
    </row>
    <row r="75" spans="1:30" ht="15" customHeight="1">
      <c r="A75" s="386">
        <v>27</v>
      </c>
      <c r="B75" s="392"/>
      <c r="C75" s="54"/>
      <c r="D75" s="310">
        <f>TRUNC(C75)+((C75-TRUNC(C75))/0.6)</f>
        <v>0</v>
      </c>
      <c r="E75" s="310">
        <f>TRUNC(C76)+((C76-TRUNC(C76))/0.6)</f>
        <v>0</v>
      </c>
      <c r="F75" s="311">
        <f>ROUND(((LOG10(TAN(PI()/4+(D75/2*PI()/180)))*7915.7046)-(3437.7468*((0.0816968^2*SIN(D75*PI()/180))+(0.0816968^4/3*((SIN(D75*PI()/180))^3))+(0.0816968^6/5*((SIN(D75*PI()/180))^5))))),2)</f>
        <v>0</v>
      </c>
      <c r="G75" s="312"/>
      <c r="H75" s="312">
        <f>IF(E75&lt;0,E75+360,E75)</f>
        <v>0</v>
      </c>
      <c r="I75" s="334"/>
      <c r="J75" s="335"/>
      <c r="K75" s="336"/>
      <c r="L75" s="310"/>
      <c r="M75" s="310"/>
      <c r="N75" s="337"/>
      <c r="O75" s="352"/>
      <c r="P75" s="353"/>
      <c r="Q75" s="350" t="str">
        <f>IF(O74="","",Q73+O74)</f>
        <v/>
      </c>
      <c r="R75" s="350" t="str">
        <f>IF(O74="","",R73-O74)</f>
        <v/>
      </c>
      <c r="S75" s="340"/>
      <c r="T75" s="117" t="s">
        <v>30</v>
      </c>
      <c r="U75" s="355"/>
      <c r="V75" s="356"/>
      <c r="W75" s="351" t="str">
        <f>IF(P74="","",W73+V74)</f>
        <v/>
      </c>
      <c r="X75" s="340"/>
      <c r="Y75" s="340"/>
      <c r="Z75" s="340"/>
      <c r="AA75" s="340"/>
      <c r="AB75" s="52"/>
      <c r="AC75" s="331"/>
      <c r="AD75" s="389"/>
    </row>
    <row r="76" spans="1:30" ht="15" customHeight="1">
      <c r="A76" s="386"/>
      <c r="B76" s="392"/>
      <c r="C76" s="55"/>
      <c r="D76" s="310"/>
      <c r="E76" s="310"/>
      <c r="F76" s="311"/>
      <c r="G76" s="312">
        <f>ABS(D75-D77)*60</f>
        <v>0</v>
      </c>
      <c r="H76" s="312"/>
      <c r="I76" s="334">
        <f>ABS(H75-H77)*60</f>
        <v>0</v>
      </c>
      <c r="J76" s="335">
        <f>ABS(F75-F77)</f>
        <v>0</v>
      </c>
      <c r="K76" s="336" t="e">
        <f>IF(AND(D75&lt;D77,H75=H77),0,IF(AND(D75&gt;D77,H75=H77),180,IF(AND(D75=D77,H75&lt;H77),90,IF(AND(D75=D77,H75&gt;H77),270,(ATAN(I76/J76)*180/PI())))))</f>
        <v>#DIV/0!</v>
      </c>
      <c r="L76" s="310" t="e">
        <f>IF(OR(K76=0,K76=90,K76=180,K76=270),K76,IF(AND(D75&lt;D77,H75&lt;H77),K76,IF(AND(D75&lt;D77,H75&gt;H77),360-K76,IF(AND(D75&gt;D77,H75&lt;H77),180-K76,IF(AND(D75&gt;D77,H75&gt;H77),180+K76)))))</f>
        <v>#DIV/0!</v>
      </c>
      <c r="M76" s="310">
        <f>(IF(I76=0,G76,IF(G76=0,COS(D77*PI()/180)*I76,G76/COS(K76*PI()/180))))</f>
        <v>0</v>
      </c>
      <c r="N76" s="337" t="str">
        <f>IF(C78="","",ROUND(L76,1))</f>
        <v/>
      </c>
      <c r="O76" s="352" t="str">
        <f>IF(C78="","",ROUND(M76,1))</f>
        <v/>
      </c>
      <c r="P76" s="353"/>
      <c r="Q76" s="350"/>
      <c r="R76" s="350"/>
      <c r="S76" s="341"/>
      <c r="T76" s="122" t="s">
        <v>24</v>
      </c>
      <c r="U76" s="358"/>
      <c r="V76" s="356" t="e">
        <f>(O76/P76+U76/60)/24</f>
        <v>#VALUE!</v>
      </c>
      <c r="W76" s="351"/>
      <c r="X76" s="341"/>
      <c r="Y76" s="340"/>
      <c r="Z76" s="341"/>
      <c r="AA76" s="341"/>
      <c r="AB76" s="53"/>
      <c r="AC76" s="332"/>
      <c r="AD76" s="389"/>
    </row>
    <row r="77" spans="1:30" ht="15" customHeight="1">
      <c r="A77" s="386">
        <v>28</v>
      </c>
      <c r="B77" s="392"/>
      <c r="C77" s="54"/>
      <c r="D77" s="310">
        <f>TRUNC(C77)+((C77-TRUNC(C77))/0.6)</f>
        <v>0</v>
      </c>
      <c r="E77" s="310">
        <f>TRUNC(C78)+((C78-TRUNC(C78))/0.6)</f>
        <v>0</v>
      </c>
      <c r="F77" s="311">
        <f>ROUND(((LOG10(TAN(PI()/4+(D77/2*PI()/180)))*7915.7046)-(3437.7468*((0.0816968^2*SIN(D77*PI()/180))+(0.0816968^4/3*((SIN(D77*PI()/180))^3))+(0.0816968^6/5*((SIN(D77*PI()/180))^5))))),2)</f>
        <v>0</v>
      </c>
      <c r="G77" s="312"/>
      <c r="H77" s="312">
        <f>IF(E77&lt;0,E77+360,E77)</f>
        <v>0</v>
      </c>
      <c r="I77" s="334"/>
      <c r="J77" s="335"/>
      <c r="K77" s="336"/>
      <c r="L77" s="310"/>
      <c r="M77" s="310"/>
      <c r="N77" s="337"/>
      <c r="O77" s="352"/>
      <c r="P77" s="353"/>
      <c r="Q77" s="350" t="str">
        <f>IF(O76="","",Q75+O76)</f>
        <v/>
      </c>
      <c r="R77" s="350" t="str">
        <f>IF(O76="","",R75-O76)</f>
        <v/>
      </c>
      <c r="S77" s="340"/>
      <c r="T77" s="117" t="s">
        <v>25</v>
      </c>
      <c r="U77" s="355"/>
      <c r="V77" s="356"/>
      <c r="W77" s="351" t="str">
        <f>IF(P76="","",W75+V76)</f>
        <v/>
      </c>
      <c r="X77" s="340"/>
      <c r="Y77" s="340"/>
      <c r="Z77" s="340"/>
      <c r="AA77" s="340"/>
      <c r="AB77" s="52"/>
      <c r="AC77" s="331"/>
      <c r="AD77" s="389"/>
    </row>
    <row r="78" spans="1:30" ht="15" customHeight="1">
      <c r="A78" s="386"/>
      <c r="B78" s="392"/>
      <c r="C78" s="55"/>
      <c r="D78" s="310"/>
      <c r="E78" s="310"/>
      <c r="F78" s="311"/>
      <c r="G78" s="312">
        <f>ABS(D77-D79)*60</f>
        <v>0</v>
      </c>
      <c r="H78" s="312"/>
      <c r="I78" s="334">
        <f>ABS(H77-H79)*60</f>
        <v>0</v>
      </c>
      <c r="J78" s="335">
        <f>ABS(F77-F79)</f>
        <v>0</v>
      </c>
      <c r="K78" s="336" t="e">
        <f>IF(AND(D77&lt;D79,H77=H79),0,IF(AND(D77&gt;D79,H77=H79),180,IF(AND(D77=D79,H77&lt;H79),90,IF(AND(D77=D79,H77&gt;H79),270,(ATAN(I78/J78)*180/PI())))))</f>
        <v>#DIV/0!</v>
      </c>
      <c r="L78" s="310" t="e">
        <f>IF(OR(K78=0,K78=90,K78=180,K78=270),K78,IF(AND(D77&lt;D79,H77&lt;H79),K78,IF(AND(D77&lt;D79,H77&gt;H79),360-K78,IF(AND(D77&gt;D79,H77&lt;H79),180-K78,IF(AND(D77&gt;D79,H77&gt;H79),180+K78)))))</f>
        <v>#DIV/0!</v>
      </c>
      <c r="M78" s="310">
        <f>(IF(I78=0,G78,IF(G78=0,COS(D79*PI()/180)*I78,G78/COS(K78*PI()/180))))</f>
        <v>0</v>
      </c>
      <c r="N78" s="337" t="str">
        <f>IF(C80="","",ROUND(L78,1))</f>
        <v/>
      </c>
      <c r="O78" s="352" t="str">
        <f>IF(C80="","",ROUND(M78,1))</f>
        <v/>
      </c>
      <c r="P78" s="353"/>
      <c r="Q78" s="350"/>
      <c r="R78" s="350"/>
      <c r="S78" s="341"/>
      <c r="T78" s="122" t="s">
        <v>23</v>
      </c>
      <c r="U78" s="358"/>
      <c r="V78" s="356" t="e">
        <f>(O78/P78+U78/60)/24</f>
        <v>#VALUE!</v>
      </c>
      <c r="W78" s="351"/>
      <c r="X78" s="341"/>
      <c r="Y78" s="340"/>
      <c r="Z78" s="341"/>
      <c r="AA78" s="341"/>
      <c r="AB78" s="53"/>
      <c r="AC78" s="332"/>
      <c r="AD78" s="389"/>
    </row>
    <row r="79" spans="1:30" ht="15" customHeight="1">
      <c r="A79" s="386">
        <v>29</v>
      </c>
      <c r="B79" s="392"/>
      <c r="C79" s="54"/>
      <c r="D79" s="310">
        <f>TRUNC(C79)+((C79-TRUNC(C79))/0.6)</f>
        <v>0</v>
      </c>
      <c r="E79" s="310">
        <f>TRUNC(C80)+((C80-TRUNC(C80))/0.6)</f>
        <v>0</v>
      </c>
      <c r="F79" s="311">
        <f>ROUND(((LOG10(TAN(PI()/4+(D79/2*PI()/180)))*7915.7046)-(3437.7468*((0.0816968^2*SIN(D79*PI()/180))+(0.0816968^4/3*((SIN(D79*PI()/180))^3))+(0.0816968^6/5*((SIN(D79*PI()/180))^5))))),2)</f>
        <v>0</v>
      </c>
      <c r="G79" s="312"/>
      <c r="H79" s="312">
        <f>IF(E79&lt;0,E79+360,E79)</f>
        <v>0</v>
      </c>
      <c r="I79" s="334"/>
      <c r="J79" s="335"/>
      <c r="K79" s="336"/>
      <c r="L79" s="310"/>
      <c r="M79" s="310"/>
      <c r="N79" s="337"/>
      <c r="O79" s="352"/>
      <c r="P79" s="353"/>
      <c r="Q79" s="350" t="str">
        <f>IF(O78="","",Q77+O78)</f>
        <v/>
      </c>
      <c r="R79" s="350" t="str">
        <f>IF(O78="","",R77-O78)</f>
        <v/>
      </c>
      <c r="S79" s="340"/>
      <c r="T79" s="117" t="s">
        <v>25</v>
      </c>
      <c r="U79" s="355"/>
      <c r="V79" s="356"/>
      <c r="W79" s="351" t="str">
        <f>IF(P78="","",W77+V78)</f>
        <v/>
      </c>
      <c r="X79" s="340"/>
      <c r="Y79" s="340"/>
      <c r="Z79" s="340"/>
      <c r="AA79" s="340"/>
      <c r="AB79" s="52"/>
      <c r="AC79" s="331"/>
      <c r="AD79" s="389"/>
    </row>
    <row r="80" spans="1:30" ht="15" customHeight="1">
      <c r="A80" s="386"/>
      <c r="B80" s="392"/>
      <c r="C80" s="55"/>
      <c r="D80" s="310"/>
      <c r="E80" s="310"/>
      <c r="F80" s="311"/>
      <c r="G80" s="312">
        <f>ABS(D79-D81)*60</f>
        <v>0</v>
      </c>
      <c r="H80" s="312"/>
      <c r="I80" s="334">
        <f>ABS(H79-H81)*60</f>
        <v>0</v>
      </c>
      <c r="J80" s="335">
        <f>ABS(F79-F81)</f>
        <v>0</v>
      </c>
      <c r="K80" s="336" t="e">
        <f>IF(AND(D79&lt;D81,H79=H81),0,IF(AND(D79&gt;D81,H79=H81),180,IF(AND(D79=D81,H79&lt;H81),90,IF(AND(D79=D81,H79&gt;H81),270,(ATAN(I80/J80)*180/PI())))))</f>
        <v>#DIV/0!</v>
      </c>
      <c r="L80" s="310" t="e">
        <f>IF(OR(K80=0,K80=90,K80=180,K80=270),K80,IF(AND(D79&lt;D81,H79&lt;H81),K80,IF(AND(D79&lt;D81,H79&gt;H81),360-K80,IF(AND(D79&gt;D81,H79&lt;H81),180-K80,IF(AND(D79&gt;D81,H79&gt;H81),180+K80)))))</f>
        <v>#DIV/0!</v>
      </c>
      <c r="M80" s="310">
        <f>(IF(I80=0,G80,IF(G80=0,COS(D81*PI()/180)*I80,G80/COS(K80*PI()/180))))</f>
        <v>0</v>
      </c>
      <c r="N80" s="337" t="str">
        <f>IF(C82="","",ROUND(L80,1))</f>
        <v/>
      </c>
      <c r="O80" s="352" t="str">
        <f>IF(C82="","",ROUND(M80,1))</f>
        <v/>
      </c>
      <c r="P80" s="353"/>
      <c r="Q80" s="350"/>
      <c r="R80" s="350"/>
      <c r="S80" s="341"/>
      <c r="T80" s="122" t="s">
        <v>22</v>
      </c>
      <c r="U80" s="358"/>
      <c r="V80" s="356" t="e">
        <f>(O80/P80+U80/60)/24</f>
        <v>#VALUE!</v>
      </c>
      <c r="W80" s="351"/>
      <c r="X80" s="341"/>
      <c r="Y80" s="340"/>
      <c r="Z80" s="341"/>
      <c r="AA80" s="341"/>
      <c r="AB80" s="53"/>
      <c r="AC80" s="332"/>
      <c r="AD80" s="389"/>
    </row>
    <row r="81" spans="1:30" ht="15" customHeight="1">
      <c r="A81" s="386">
        <v>30</v>
      </c>
      <c r="B81" s="392"/>
      <c r="C81" s="54"/>
      <c r="D81" s="310">
        <f>TRUNC(C81)+((C81-TRUNC(C81))/0.6)</f>
        <v>0</v>
      </c>
      <c r="E81" s="310">
        <f>TRUNC(C82)+((C82-TRUNC(C82))/0.6)</f>
        <v>0</v>
      </c>
      <c r="F81" s="311">
        <f>ROUND(((LOG10(TAN(PI()/4+(D81/2*PI()/180)))*7915.7046)-(3437.7468*((0.0816968^2*SIN(D81*PI()/180))+(0.0816968^4/3*((SIN(D81*PI()/180))^3))+(0.0816968^6/5*((SIN(D81*PI()/180))^5))))),2)</f>
        <v>0</v>
      </c>
      <c r="G81" s="312"/>
      <c r="H81" s="312">
        <f>IF(E81&lt;0,E81+360,E81)</f>
        <v>0</v>
      </c>
      <c r="I81" s="334"/>
      <c r="J81" s="335"/>
      <c r="K81" s="336"/>
      <c r="L81" s="310"/>
      <c r="M81" s="310"/>
      <c r="N81" s="337"/>
      <c r="O81" s="352"/>
      <c r="P81" s="353"/>
      <c r="Q81" s="350" t="str">
        <f>IF(O80="","",Q79+O80)</f>
        <v/>
      </c>
      <c r="R81" s="350" t="str">
        <f>IF(O80="","",R79-O80)</f>
        <v/>
      </c>
      <c r="S81" s="340"/>
      <c r="T81" s="117" t="s">
        <v>25</v>
      </c>
      <c r="U81" s="355"/>
      <c r="V81" s="356"/>
      <c r="W81" s="351" t="str">
        <f>IF(P80="","",W79+V80)</f>
        <v/>
      </c>
      <c r="X81" s="340"/>
      <c r="Y81" s="340"/>
      <c r="Z81" s="340"/>
      <c r="AA81" s="340"/>
      <c r="AB81" s="52"/>
      <c r="AC81" s="331"/>
      <c r="AD81" s="389"/>
    </row>
    <row r="82" spans="1:30" ht="15" customHeight="1">
      <c r="A82" s="386"/>
      <c r="B82" s="392"/>
      <c r="C82" s="55"/>
      <c r="D82" s="310"/>
      <c r="E82" s="310"/>
      <c r="F82" s="311"/>
      <c r="G82" s="312">
        <f>ABS(D81-D83)*60</f>
        <v>0</v>
      </c>
      <c r="H82" s="312"/>
      <c r="I82" s="334">
        <f>ABS(H81-H83)*60</f>
        <v>0</v>
      </c>
      <c r="J82" s="335">
        <f>ABS(F81-F83)</f>
        <v>0</v>
      </c>
      <c r="K82" s="336" t="e">
        <f>IF(AND(D81&lt;D83,H81=H83),0,IF(AND(D81&gt;D83,H81=H83),180,IF(AND(D81=D83,H81&lt;H83),90,IF(AND(D81=D83,H81&gt;H83),270,(ATAN(I82/J82)*180/PI())))))</f>
        <v>#DIV/0!</v>
      </c>
      <c r="L82" s="310" t="e">
        <f>IF(OR(K82=0,K82=90,K82=180,K82=270),K82,IF(AND(D81&lt;D83,H81&lt;H83),K82,IF(AND(D81&lt;D83,H81&gt;H83),360-K82,IF(AND(D81&gt;D83,H81&lt;H83),180-K82,IF(AND(D81&gt;D83,H81&gt;H83),180+K82)))))</f>
        <v>#DIV/0!</v>
      </c>
      <c r="M82" s="310">
        <f>(IF(I82=0,G82,IF(G82=0,COS(D83*PI()/180)*I82,G82/COS(K82*PI()/180))))</f>
        <v>0</v>
      </c>
      <c r="N82" s="337" t="str">
        <f>IF(C84="","",ROUND(L82,1))</f>
        <v/>
      </c>
      <c r="O82" s="352" t="str">
        <f>IF(C84="","",ROUND(M82,1))</f>
        <v/>
      </c>
      <c r="P82" s="353"/>
      <c r="Q82" s="350"/>
      <c r="R82" s="350"/>
      <c r="S82" s="341"/>
      <c r="T82" s="122" t="s">
        <v>22</v>
      </c>
      <c r="U82" s="358"/>
      <c r="V82" s="356" t="e">
        <f>(O82/P82+U82/60)/24</f>
        <v>#VALUE!</v>
      </c>
      <c r="W82" s="351"/>
      <c r="X82" s="341"/>
      <c r="Y82" s="340"/>
      <c r="Z82" s="341"/>
      <c r="AA82" s="341"/>
      <c r="AB82" s="53"/>
      <c r="AC82" s="332"/>
      <c r="AD82" s="389"/>
    </row>
    <row r="83" spans="1:30" ht="15" customHeight="1">
      <c r="A83" s="386">
        <v>31</v>
      </c>
      <c r="B83" s="392"/>
      <c r="C83" s="54"/>
      <c r="D83" s="310">
        <f>TRUNC(C83)+((C83-TRUNC(C83))/0.6)</f>
        <v>0</v>
      </c>
      <c r="E83" s="310">
        <f>TRUNC(C84)+((C84-TRUNC(C84))/0.6)</f>
        <v>0</v>
      </c>
      <c r="F83" s="311">
        <f>ROUND(((LOG10(TAN(PI()/4+(D83/2*PI()/180)))*7915.7046)-(3437.7468*((0.0816968^2*SIN(D83*PI()/180))+(0.0816968^4/3*((SIN(D83*PI()/180))^3))+(0.0816968^6/5*((SIN(D83*PI()/180))^5))))),2)</f>
        <v>0</v>
      </c>
      <c r="G83" s="312"/>
      <c r="H83" s="312">
        <f>IF(E83&lt;0,E83+360,E83)</f>
        <v>0</v>
      </c>
      <c r="I83" s="334"/>
      <c r="J83" s="335"/>
      <c r="K83" s="336"/>
      <c r="L83" s="310"/>
      <c r="M83" s="310"/>
      <c r="N83" s="337"/>
      <c r="O83" s="352"/>
      <c r="P83" s="353"/>
      <c r="Q83" s="350" t="str">
        <f>IF(O82="","",Q81+O82)</f>
        <v/>
      </c>
      <c r="R83" s="350" t="str">
        <f>IF(O82="","",R81-O82)</f>
        <v/>
      </c>
      <c r="S83" s="340"/>
      <c r="T83" s="117" t="s">
        <v>25</v>
      </c>
      <c r="U83" s="355"/>
      <c r="V83" s="356"/>
      <c r="W83" s="351" t="str">
        <f>IF(P82="","",W81+V82)</f>
        <v/>
      </c>
      <c r="X83" s="340"/>
      <c r="Y83" s="340"/>
      <c r="Z83" s="340"/>
      <c r="AA83" s="340"/>
      <c r="AB83" s="52"/>
      <c r="AC83" s="331"/>
      <c r="AD83" s="389"/>
    </row>
    <row r="84" spans="1:30" ht="15" customHeight="1">
      <c r="A84" s="386"/>
      <c r="B84" s="392"/>
      <c r="C84" s="55"/>
      <c r="D84" s="310"/>
      <c r="E84" s="310"/>
      <c r="F84" s="311"/>
      <c r="G84" s="312">
        <f>ABS(D83-D85)*60</f>
        <v>0</v>
      </c>
      <c r="H84" s="312"/>
      <c r="I84" s="334">
        <f>ABS(H83-H85)*60</f>
        <v>0</v>
      </c>
      <c r="J84" s="335">
        <f>ABS(F83-F85)</f>
        <v>0</v>
      </c>
      <c r="K84" s="336" t="e">
        <f>IF(AND(D83&lt;D85,H83=H85),0,IF(AND(D83&gt;D85,H83=H85),180,IF(AND(D83=D85,H83&lt;H85),90,IF(AND(D83=D85,H83&gt;H85),270,(ATAN(I84/J84)*180/PI())))))</f>
        <v>#DIV/0!</v>
      </c>
      <c r="L84" s="310" t="e">
        <f>IF(OR(K84=0,K84=90,K84=180,K84=270),K84,IF(AND(D83&lt;D85,H83&lt;H85),K84,IF(AND(D83&lt;D85,H83&gt;H85),360-K84,IF(AND(D83&gt;D85,H83&lt;H85),180-K84,IF(AND(D83&gt;D85,H83&gt;H85),180+K84)))))</f>
        <v>#DIV/0!</v>
      </c>
      <c r="M84" s="310">
        <f>(IF(I84=0,G84,IF(G84=0,COS(D85*PI()/180)*I84,G84/COS(K84*PI()/180))))</f>
        <v>0</v>
      </c>
      <c r="N84" s="337" t="str">
        <f>IF(C86="","",ROUND(L84,1))</f>
        <v/>
      </c>
      <c r="O84" s="352" t="str">
        <f>IF(C86="","",ROUND(M84,1))</f>
        <v/>
      </c>
      <c r="P84" s="353"/>
      <c r="Q84" s="350"/>
      <c r="R84" s="350"/>
      <c r="S84" s="341"/>
      <c r="T84" s="122" t="s">
        <v>27</v>
      </c>
      <c r="U84" s="358"/>
      <c r="V84" s="356" t="e">
        <f>(O84/P84+U84/60)/24</f>
        <v>#VALUE!</v>
      </c>
      <c r="W84" s="351"/>
      <c r="X84" s="341"/>
      <c r="Y84" s="340"/>
      <c r="Z84" s="341"/>
      <c r="AA84" s="341"/>
      <c r="AB84" s="53"/>
      <c r="AC84" s="332"/>
      <c r="AD84" s="389"/>
    </row>
    <row r="85" spans="1:30" ht="15" customHeight="1">
      <c r="A85" s="386">
        <v>32</v>
      </c>
      <c r="B85" s="392"/>
      <c r="C85" s="54"/>
      <c r="D85" s="310">
        <f>TRUNC(C85)+((C85-TRUNC(C85))/0.6)</f>
        <v>0</v>
      </c>
      <c r="E85" s="310">
        <f>TRUNC(C86)+((C86-TRUNC(C86))/0.6)</f>
        <v>0</v>
      </c>
      <c r="F85" s="311">
        <f>ROUND(((LOG10(TAN(PI()/4+(D85/2*PI()/180)))*7915.7046)-(3437.7468*((0.0816968^2*SIN(D85*PI()/180))+(0.0816968^4/3*((SIN(D85*PI()/180))^3))+(0.0816968^6/5*((SIN(D85*PI()/180))^5))))),2)</f>
        <v>0</v>
      </c>
      <c r="G85" s="312"/>
      <c r="H85" s="312">
        <f>IF(E85&lt;0,E85+360,E85)</f>
        <v>0</v>
      </c>
      <c r="I85" s="334"/>
      <c r="J85" s="335"/>
      <c r="K85" s="336"/>
      <c r="L85" s="310"/>
      <c r="M85" s="310"/>
      <c r="N85" s="337"/>
      <c r="O85" s="352"/>
      <c r="P85" s="353"/>
      <c r="Q85" s="350" t="str">
        <f>IF(O84="","",Q83+O84)</f>
        <v/>
      </c>
      <c r="R85" s="350" t="str">
        <f>IF(O84="","",R83-O84)</f>
        <v/>
      </c>
      <c r="S85" s="340"/>
      <c r="T85" s="117" t="s">
        <v>25</v>
      </c>
      <c r="U85" s="355"/>
      <c r="V85" s="356"/>
      <c r="W85" s="351" t="str">
        <f>IF(P84="","",W83+V84)</f>
        <v/>
      </c>
      <c r="X85" s="340"/>
      <c r="Y85" s="340"/>
      <c r="Z85" s="340"/>
      <c r="AA85" s="340"/>
      <c r="AB85" s="52"/>
      <c r="AC85" s="331"/>
      <c r="AD85" s="389"/>
    </row>
    <row r="86" spans="1:30" ht="15" customHeight="1">
      <c r="A86" s="386"/>
      <c r="B86" s="392"/>
      <c r="C86" s="55"/>
      <c r="D86" s="310"/>
      <c r="E86" s="310"/>
      <c r="F86" s="311"/>
      <c r="G86" s="312">
        <f>ABS(D85-D87)*60</f>
        <v>0</v>
      </c>
      <c r="H86" s="312"/>
      <c r="I86" s="334">
        <f>ABS(H85-H87)*60</f>
        <v>0</v>
      </c>
      <c r="J86" s="335">
        <f>ABS(F85-F87)</f>
        <v>0</v>
      </c>
      <c r="K86" s="336" t="e">
        <f>IF(AND(D85&lt;D87,H85=H87),0,IF(AND(D85&gt;D87,H85=H87),180,IF(AND(D85=D87,H85&lt;H87),90,IF(AND(D85=D87,H85&gt;H87),270,(ATAN(I86/J86)*180/PI())))))</f>
        <v>#DIV/0!</v>
      </c>
      <c r="L86" s="310" t="e">
        <f>IF(OR(K86=0,K86=90,K86=180,K86=270),K86,IF(AND(D85&lt;D87,H85&lt;H87),K86,IF(AND(D85&lt;D87,H85&gt;H87),360-K86,IF(AND(D85&gt;D87,H85&lt;H87),180-K86,IF(AND(D85&gt;D87,H85&gt;H87),180+K86)))))</f>
        <v>#DIV/0!</v>
      </c>
      <c r="M86" s="310">
        <f>(IF(I86=0,G86,IF(G86=0,COS(D87*PI()/180)*I86,G86/COS(K86*PI()/180))))</f>
        <v>0</v>
      </c>
      <c r="N86" s="337" t="str">
        <f>IF(C88="","",ROUND(L86,1))</f>
        <v/>
      </c>
      <c r="O86" s="352" t="str">
        <f>IF(C88="","",ROUND(M86,1))</f>
        <v/>
      </c>
      <c r="P86" s="353"/>
      <c r="Q86" s="350"/>
      <c r="R86" s="350"/>
      <c r="S86" s="341"/>
      <c r="T86" s="122" t="s">
        <v>27</v>
      </c>
      <c r="U86" s="358"/>
      <c r="V86" s="356" t="e">
        <f>(O86/P86+U86/60)/24</f>
        <v>#VALUE!</v>
      </c>
      <c r="W86" s="351"/>
      <c r="X86" s="341"/>
      <c r="Y86" s="340"/>
      <c r="Z86" s="341"/>
      <c r="AA86" s="341"/>
      <c r="AB86" s="53"/>
      <c r="AC86" s="332"/>
      <c r="AD86" s="389"/>
    </row>
    <row r="87" spans="1:30" ht="15" customHeight="1">
      <c r="A87" s="386">
        <v>33</v>
      </c>
      <c r="B87" s="392"/>
      <c r="C87" s="54"/>
      <c r="D87" s="310">
        <f>TRUNC(C87)+((C87-TRUNC(C87))/0.6)</f>
        <v>0</v>
      </c>
      <c r="E87" s="310">
        <f>TRUNC(C88)+((C88-TRUNC(C88))/0.6)</f>
        <v>0</v>
      </c>
      <c r="F87" s="311">
        <f>ROUND(((LOG10(TAN(PI()/4+(D87/2*PI()/180)))*7915.7046)-(3437.7468*((0.0816968^2*SIN(D87*PI()/180))+(0.0816968^4/3*((SIN(D87*PI()/180))^3))+(0.0816968^6/5*((SIN(D87*PI()/180))^5))))),2)</f>
        <v>0</v>
      </c>
      <c r="G87" s="312"/>
      <c r="H87" s="312">
        <f>IF(E87&lt;0,E87+360,E87)</f>
        <v>0</v>
      </c>
      <c r="I87" s="334"/>
      <c r="J87" s="335"/>
      <c r="K87" s="336"/>
      <c r="L87" s="310"/>
      <c r="M87" s="310"/>
      <c r="N87" s="337"/>
      <c r="O87" s="352"/>
      <c r="P87" s="353"/>
      <c r="Q87" s="350" t="str">
        <f>IF(O86="","",Q85+O86)</f>
        <v/>
      </c>
      <c r="R87" s="350" t="str">
        <f>IF(O86="","",R85-O86)</f>
        <v/>
      </c>
      <c r="S87" s="340"/>
      <c r="T87" s="117" t="s">
        <v>26</v>
      </c>
      <c r="U87" s="355"/>
      <c r="V87" s="356"/>
      <c r="W87" s="351" t="str">
        <f>IF(P86="","",W85+V86)</f>
        <v/>
      </c>
      <c r="X87" s="340"/>
      <c r="Y87" s="340"/>
      <c r="Z87" s="340"/>
      <c r="AA87" s="340"/>
      <c r="AB87" s="52"/>
      <c r="AC87" s="331"/>
      <c r="AD87" s="389"/>
    </row>
    <row r="88" spans="1:30" ht="15" customHeight="1">
      <c r="A88" s="386"/>
      <c r="B88" s="392"/>
      <c r="C88" s="55"/>
      <c r="D88" s="310"/>
      <c r="E88" s="310"/>
      <c r="F88" s="311"/>
      <c r="G88" s="312">
        <f>ABS(D87-D89)*60</f>
        <v>0</v>
      </c>
      <c r="H88" s="312"/>
      <c r="I88" s="334">
        <f>ABS(H87-H89)*60</f>
        <v>0</v>
      </c>
      <c r="J88" s="335">
        <f>ABS(F87-F89)</f>
        <v>0</v>
      </c>
      <c r="K88" s="336" t="e">
        <f>IF(AND(D87&lt;D89,H87=H89),0,IF(AND(D87&gt;D89,H87=H89),180,IF(AND(D87=D89,H87&lt;H89),90,IF(AND(D87=D89,H87&gt;H89),270,(ATAN(I88/J88)*180/PI())))))</f>
        <v>#DIV/0!</v>
      </c>
      <c r="L88" s="310" t="e">
        <f>IF(OR(K88=0,K88=90,K88=180,K88=270),K88,IF(AND(D87&lt;D89,H87&lt;H89),K88,IF(AND(D87&lt;D89,H87&gt;H89),360-K88,IF(AND(D87&gt;D89,H87&lt;H89),180-K88,IF(AND(D87&gt;D89,H87&gt;H89),180+K88)))))</f>
        <v>#DIV/0!</v>
      </c>
      <c r="M88" s="310">
        <f>(IF(I88=0,G88,IF(G88=0,COS(D89*PI()/180)*I88,G88/COS(K88*PI()/180))))</f>
        <v>0</v>
      </c>
      <c r="N88" s="337" t="str">
        <f>IF(C90="","",ROUND(L88,1))</f>
        <v/>
      </c>
      <c r="O88" s="352" t="str">
        <f>IF(C90="","",ROUND(M88,1))</f>
        <v/>
      </c>
      <c r="P88" s="353"/>
      <c r="Q88" s="350"/>
      <c r="R88" s="350"/>
      <c r="S88" s="341"/>
      <c r="T88" s="122" t="s">
        <v>29</v>
      </c>
      <c r="U88" s="358"/>
      <c r="V88" s="356" t="e">
        <f>(O88/P88+U88/60)/24</f>
        <v>#VALUE!</v>
      </c>
      <c r="W88" s="351"/>
      <c r="X88" s="341"/>
      <c r="Y88" s="340"/>
      <c r="Z88" s="341"/>
      <c r="AA88" s="341"/>
      <c r="AB88" s="53"/>
      <c r="AC88" s="332"/>
      <c r="AD88" s="389"/>
    </row>
    <row r="89" spans="1:30" ht="15" customHeight="1">
      <c r="A89" s="386">
        <v>34</v>
      </c>
      <c r="B89" s="394"/>
      <c r="C89" s="54"/>
      <c r="D89" s="310">
        <f>TRUNC(C89)+((C89-TRUNC(C89))/0.6)</f>
        <v>0</v>
      </c>
      <c r="E89" s="310">
        <f>TRUNC(C90)+((C90-TRUNC(C90))/0.6)</f>
        <v>0</v>
      </c>
      <c r="F89" s="311">
        <f>ROUND(((LOG10(TAN(PI()/4+(D89/2*PI()/180)))*7915.7046)-(3437.7468*((0.0816968^2*SIN(D89*PI()/180))+(0.0816968^4/3*((SIN(D89*PI()/180))^3))+(0.0816968^6/5*((SIN(D89*PI()/180))^5))))),2)</f>
        <v>0</v>
      </c>
      <c r="G89" s="312"/>
      <c r="H89" s="312">
        <f>IF(E89&lt;0,E89+360,E89)</f>
        <v>0</v>
      </c>
      <c r="I89" s="334"/>
      <c r="J89" s="335"/>
      <c r="K89" s="336"/>
      <c r="L89" s="310"/>
      <c r="M89" s="310"/>
      <c r="N89" s="337"/>
      <c r="O89" s="352"/>
      <c r="P89" s="353"/>
      <c r="Q89" s="350" t="str">
        <f>IF(O88="","",Q87+O88)</f>
        <v/>
      </c>
      <c r="R89" s="350" t="str">
        <f>IF(O88="","",R87-O88)</f>
        <v/>
      </c>
      <c r="S89" s="340"/>
      <c r="T89" s="117" t="s">
        <v>26</v>
      </c>
      <c r="U89" s="355"/>
      <c r="V89" s="356"/>
      <c r="W89" s="351" t="str">
        <f>IF(P88="","",W87+V88)</f>
        <v/>
      </c>
      <c r="X89" s="340"/>
      <c r="Y89" s="340"/>
      <c r="Z89" s="340"/>
      <c r="AA89" s="340"/>
      <c r="AB89" s="52"/>
      <c r="AC89" s="331"/>
      <c r="AD89" s="389"/>
    </row>
    <row r="90" spans="1:30" ht="15" customHeight="1">
      <c r="A90" s="386"/>
      <c r="B90" s="395"/>
      <c r="C90" s="55"/>
      <c r="D90" s="310"/>
      <c r="E90" s="310"/>
      <c r="F90" s="311"/>
      <c r="G90" s="312">
        <f>ABS(D89-D91)*60</f>
        <v>0</v>
      </c>
      <c r="H90" s="312"/>
      <c r="I90" s="334">
        <f>ABS(H89-H91)*60</f>
        <v>0</v>
      </c>
      <c r="J90" s="335">
        <f>ABS(F89-F91)</f>
        <v>0</v>
      </c>
      <c r="K90" s="336" t="e">
        <f>IF(AND(D89&lt;D91,H89=H91),0,IF(AND(D89&gt;D91,H89=H91),180,IF(AND(D89=D91,H89&lt;H91),90,IF(AND(D89=D91,H89&gt;H91),270,(ATAN(I90/J90)*180/PI())))))</f>
        <v>#DIV/0!</v>
      </c>
      <c r="L90" s="310" t="e">
        <f>IF(OR(K90=0,K90=90,K90=180,K90=270),K90,IF(AND(D89&lt;D91,H89&lt;H91),K90,IF(AND(D89&lt;D91,H89&gt;H91),360-K90,IF(AND(D89&gt;D91,H89&lt;H91),180-K90,IF(AND(D89&gt;D91,H89&gt;H91),180+K90)))))</f>
        <v>#DIV/0!</v>
      </c>
      <c r="M90" s="310">
        <f>(IF(I90=0,G90,IF(G90=0,COS(D91*PI()/180)*I90,G90/COS(K90*PI()/180))))</f>
        <v>0</v>
      </c>
      <c r="N90" s="337" t="str">
        <f>IF(C92="","",ROUND(L90,1))</f>
        <v/>
      </c>
      <c r="O90" s="352" t="str">
        <f>IF(C92="","",ROUND(M90,1))</f>
        <v/>
      </c>
      <c r="P90" s="353"/>
      <c r="Q90" s="350"/>
      <c r="R90" s="350"/>
      <c r="S90" s="341"/>
      <c r="T90" s="122" t="s">
        <v>29</v>
      </c>
      <c r="U90" s="358"/>
      <c r="V90" s="356" t="e">
        <f>(O90/P90+U90/60)/24</f>
        <v>#VALUE!</v>
      </c>
      <c r="W90" s="351"/>
      <c r="X90" s="341"/>
      <c r="Y90" s="340"/>
      <c r="Z90" s="341"/>
      <c r="AA90" s="341"/>
      <c r="AB90" s="53"/>
      <c r="AC90" s="332"/>
      <c r="AD90" s="389"/>
    </row>
    <row r="91" spans="1:30" ht="15" customHeight="1">
      <c r="A91" s="386">
        <v>35</v>
      </c>
      <c r="B91" s="394"/>
      <c r="C91" s="54"/>
      <c r="D91" s="310">
        <f>TRUNC(C91)+((C91-TRUNC(C91))/0.6)</f>
        <v>0</v>
      </c>
      <c r="E91" s="310">
        <f>TRUNC(C92)+((C92-TRUNC(C92))/0.6)</f>
        <v>0</v>
      </c>
      <c r="F91" s="311">
        <f>ROUND(((LOG10(TAN(PI()/4+(D91/2*PI()/180)))*7915.7046)-(3437.7468*((0.0816968^2*SIN(D91*PI()/180))+(0.0816968^4/3*((SIN(D91*PI()/180))^3))+(0.0816968^6/5*((SIN(D91*PI()/180))^5))))),2)</f>
        <v>0</v>
      </c>
      <c r="G91" s="312"/>
      <c r="H91" s="312">
        <f>IF(E91&lt;0,E91+360,E91)</f>
        <v>0</v>
      </c>
      <c r="I91" s="334"/>
      <c r="J91" s="335"/>
      <c r="K91" s="336"/>
      <c r="L91" s="310"/>
      <c r="M91" s="310"/>
      <c r="N91" s="337"/>
      <c r="O91" s="352"/>
      <c r="P91" s="353"/>
      <c r="Q91" s="350" t="str">
        <f>IF(O90="","",Q89+O90)</f>
        <v/>
      </c>
      <c r="R91" s="350" t="str">
        <f>IF(O90="","",R89-O90)</f>
        <v/>
      </c>
      <c r="S91" s="340"/>
      <c r="T91" s="117" t="s">
        <v>25</v>
      </c>
      <c r="U91" s="355"/>
      <c r="V91" s="356"/>
      <c r="W91" s="351" t="str">
        <f>IF(P90="","",W89+V90)</f>
        <v/>
      </c>
      <c r="X91" s="340"/>
      <c r="Y91" s="340"/>
      <c r="Z91" s="340"/>
      <c r="AA91" s="340"/>
      <c r="AB91" s="52"/>
      <c r="AC91" s="331"/>
      <c r="AD91" s="389"/>
    </row>
    <row r="92" spans="1:30" ht="15" customHeight="1">
      <c r="A92" s="386"/>
      <c r="B92" s="395"/>
      <c r="C92" s="55"/>
      <c r="D92" s="310"/>
      <c r="E92" s="310"/>
      <c r="F92" s="311"/>
      <c r="G92" s="312">
        <f>ABS(D91-D93)*60</f>
        <v>0</v>
      </c>
      <c r="H92" s="312"/>
      <c r="I92" s="334">
        <f>ABS(H91-H93)*60</f>
        <v>0</v>
      </c>
      <c r="J92" s="335">
        <f>ABS(F91-F93)</f>
        <v>0</v>
      </c>
      <c r="K92" s="336" t="e">
        <f>IF(AND(D91&lt;D93,H91=H93),0,IF(AND(D91&gt;D93,H91=H93),180,IF(AND(D91=D93,H91&lt;H93),90,IF(AND(D91=D93,H91&gt;H93),270,(ATAN(I92/J92)*180/PI())))))</f>
        <v>#DIV/0!</v>
      </c>
      <c r="L92" s="310" t="e">
        <f>IF(OR(K92=0,K92=90,K92=180,K92=270),K92,IF(AND(D91&lt;D93,H91&lt;H93),K92,IF(AND(D91&lt;D93,H91&gt;H93),360-K92,IF(AND(D91&gt;D93,H91&lt;H93),180-K92,IF(AND(D91&gt;D93,H91&gt;H93),180+K92)))))</f>
        <v>#DIV/0!</v>
      </c>
      <c r="M92" s="310">
        <f>(IF(I92=0,G92,IF(G92=0,COS(D93*PI()/180)*I92,G92/COS(K92*PI()/180))))</f>
        <v>0</v>
      </c>
      <c r="N92" s="337" t="str">
        <f>IF(C94="","",ROUND(L92,1))</f>
        <v/>
      </c>
      <c r="O92" s="352" t="str">
        <f>IF(C94="","",ROUND(M92,1))</f>
        <v/>
      </c>
      <c r="P92" s="353"/>
      <c r="Q92" s="350"/>
      <c r="R92" s="350"/>
      <c r="S92" s="341"/>
      <c r="T92" s="122" t="s">
        <v>27</v>
      </c>
      <c r="U92" s="358"/>
      <c r="V92" s="356" t="e">
        <f>(O92/P92+U92/60)/24</f>
        <v>#VALUE!</v>
      </c>
      <c r="W92" s="351"/>
      <c r="X92" s="341"/>
      <c r="Y92" s="340"/>
      <c r="Z92" s="341"/>
      <c r="AA92" s="341"/>
      <c r="AB92" s="53"/>
      <c r="AC92" s="332"/>
      <c r="AD92" s="389"/>
    </row>
    <row r="93" spans="1:30" ht="15" customHeight="1">
      <c r="A93" s="386">
        <v>36</v>
      </c>
      <c r="B93" s="394"/>
      <c r="C93" s="54"/>
      <c r="D93" s="310">
        <f>TRUNC(C93)+((C93-TRUNC(C93))/0.6)</f>
        <v>0</v>
      </c>
      <c r="E93" s="310">
        <f>TRUNC(C94)+((C94-TRUNC(C94))/0.6)</f>
        <v>0</v>
      </c>
      <c r="F93" s="311">
        <f>ROUND(((LOG10(TAN(PI()/4+(D93/2*PI()/180)))*7915.7046)-(3437.7468*((0.0816968^2*SIN(D93*PI()/180))+(0.0816968^4/3*((SIN(D93*PI()/180))^3))+(0.0816968^6/5*((SIN(D93*PI()/180))^5))))),2)</f>
        <v>0</v>
      </c>
      <c r="G93" s="312"/>
      <c r="H93" s="312">
        <f>IF(E93&lt;0,E93+360,E93)</f>
        <v>0</v>
      </c>
      <c r="I93" s="334"/>
      <c r="J93" s="335"/>
      <c r="K93" s="336"/>
      <c r="L93" s="310"/>
      <c r="M93" s="310"/>
      <c r="N93" s="337"/>
      <c r="O93" s="352"/>
      <c r="P93" s="353"/>
      <c r="Q93" s="350" t="str">
        <f>IF(O92="","",Q91+O92)</f>
        <v/>
      </c>
      <c r="R93" s="350" t="str">
        <f>IF(O92="","",R91-O92)</f>
        <v/>
      </c>
      <c r="S93" s="340"/>
      <c r="T93" s="117" t="s">
        <v>25</v>
      </c>
      <c r="U93" s="355"/>
      <c r="V93" s="356"/>
      <c r="W93" s="351" t="str">
        <f>IF(P92="","",W91+V92)</f>
        <v/>
      </c>
      <c r="X93" s="340"/>
      <c r="Y93" s="340"/>
      <c r="Z93" s="340"/>
      <c r="AA93" s="340"/>
      <c r="AB93" s="52"/>
      <c r="AC93" s="331"/>
      <c r="AD93" s="389"/>
    </row>
    <row r="94" spans="1:30" ht="15" customHeight="1">
      <c r="A94" s="386"/>
      <c r="B94" s="395"/>
      <c r="C94" s="55"/>
      <c r="D94" s="310"/>
      <c r="E94" s="310"/>
      <c r="F94" s="311"/>
      <c r="G94" s="312">
        <f>ABS(D93-D95)*60</f>
        <v>0</v>
      </c>
      <c r="H94" s="312"/>
      <c r="I94" s="334">
        <f>ABS(H93-H95)*60</f>
        <v>0</v>
      </c>
      <c r="J94" s="335">
        <f>ABS(F93-F95)</f>
        <v>0</v>
      </c>
      <c r="K94" s="336" t="e">
        <f>IF(AND(D93&lt;D95,H93=H95),0,IF(AND(D93&gt;D95,H93=H95),180,IF(AND(D93=D95,H93&lt;H95),90,IF(AND(D93=D95,H93&gt;H95),270,(ATAN(I94/J94)*180/PI())))))</f>
        <v>#DIV/0!</v>
      </c>
      <c r="L94" s="310" t="e">
        <f>IF(OR(K94=0,K94=90,K94=180,K94=270),K94,IF(AND(D93&lt;D95,H93&lt;H95),K94,IF(AND(D93&lt;D95,H93&gt;H95),360-K94,IF(AND(D93&gt;D95,H93&lt;H95),180-K94,IF(AND(D93&gt;D95,H93&gt;H95),180+K94)))))</f>
        <v>#DIV/0!</v>
      </c>
      <c r="M94" s="310">
        <f>(IF(I94=0,G94,IF(G94=0,COS(D95*PI()/180)*I94,G94/COS(K94*PI()/180))))</f>
        <v>0</v>
      </c>
      <c r="N94" s="337" t="str">
        <f>IF(C96="","",ROUND(L94,1))</f>
        <v/>
      </c>
      <c r="O94" s="352" t="str">
        <f>IF(C96="","",ROUND(M94,1))</f>
        <v/>
      </c>
      <c r="P94" s="353"/>
      <c r="Q94" s="350"/>
      <c r="R94" s="350"/>
      <c r="S94" s="341"/>
      <c r="T94" s="122" t="s">
        <v>22</v>
      </c>
      <c r="U94" s="358"/>
      <c r="V94" s="356" t="e">
        <f>(O94/P94+U94/60)/24</f>
        <v>#VALUE!</v>
      </c>
      <c r="W94" s="351"/>
      <c r="X94" s="341"/>
      <c r="Y94" s="340"/>
      <c r="Z94" s="341"/>
      <c r="AA94" s="341"/>
      <c r="AB94" s="53"/>
      <c r="AC94" s="332"/>
      <c r="AD94" s="389"/>
    </row>
    <row r="95" spans="1:30" ht="15" customHeight="1">
      <c r="A95" s="386">
        <v>37</v>
      </c>
      <c r="B95" s="348"/>
      <c r="C95" s="54"/>
      <c r="D95" s="310">
        <f>TRUNC(C95)+((C95-TRUNC(C95))/0.6)</f>
        <v>0</v>
      </c>
      <c r="E95" s="310">
        <f>TRUNC(C96)+((C96-TRUNC(C96))/0.6)</f>
        <v>0</v>
      </c>
      <c r="F95" s="311">
        <f>ROUND(((LOG10(TAN(PI()/4+(D95/2*PI()/180)))*7915.7046)-(3437.7468*((0.0816968^2*SIN(D95*PI()/180))+(0.0816968^4/3*((SIN(D95*PI()/180))^3))+(0.0816968^6/5*((SIN(D95*PI()/180))^5))))),2)</f>
        <v>0</v>
      </c>
      <c r="G95" s="312"/>
      <c r="H95" s="312">
        <f>IF(E95&lt;0,E95+360,E95)</f>
        <v>0</v>
      </c>
      <c r="I95" s="334"/>
      <c r="J95" s="335"/>
      <c r="K95" s="336"/>
      <c r="L95" s="310"/>
      <c r="M95" s="310"/>
      <c r="N95" s="337"/>
      <c r="O95" s="352"/>
      <c r="P95" s="353"/>
      <c r="Q95" s="350" t="str">
        <f>IF(O94="","",Q93+O94)</f>
        <v/>
      </c>
      <c r="R95" s="350" t="str">
        <f>IF(O94="","",R93-O94)</f>
        <v/>
      </c>
      <c r="S95" s="340"/>
      <c r="T95" s="117" t="s">
        <v>25</v>
      </c>
      <c r="U95" s="355"/>
      <c r="V95" s="356"/>
      <c r="W95" s="351" t="str">
        <f>IF(P94="","",W93+V94)</f>
        <v/>
      </c>
      <c r="X95" s="340"/>
      <c r="Y95" s="340"/>
      <c r="Z95" s="340"/>
      <c r="AA95" s="340"/>
      <c r="AB95" s="52"/>
      <c r="AC95" s="331"/>
      <c r="AD95" s="389"/>
    </row>
    <row r="96" spans="1:30" ht="15" customHeight="1">
      <c r="A96" s="386"/>
      <c r="B96" s="349"/>
      <c r="C96" s="55"/>
      <c r="D96" s="310"/>
      <c r="E96" s="310"/>
      <c r="F96" s="311"/>
      <c r="G96" s="312">
        <f>ABS(D95-D97)*60</f>
        <v>0</v>
      </c>
      <c r="H96" s="312"/>
      <c r="I96" s="334">
        <f>ABS(H95-H97)*60</f>
        <v>0</v>
      </c>
      <c r="J96" s="335">
        <f>ABS(F95-F97)</f>
        <v>0</v>
      </c>
      <c r="K96" s="336" t="e">
        <f>IF(AND(D95&lt;D97,H95=H97),0,IF(AND(D95&gt;D97,H95=H97),180,IF(AND(D95=D97,H95&lt;H97),90,IF(AND(D95=D97,H95&gt;H97),270,(ATAN(I96/J96)*180/PI())))))</f>
        <v>#DIV/0!</v>
      </c>
      <c r="L96" s="310" t="e">
        <f>IF(OR(K96=0,K96=90,K96=180,K96=270),K96,IF(AND(D95&lt;D97,H95&lt;H97),K96,IF(AND(D95&lt;D97,H95&gt;H97),360-K96,IF(AND(D95&gt;D97,H95&lt;H97),180-K96,IF(AND(D95&gt;D97,H95&gt;H97),180+K96)))))</f>
        <v>#DIV/0!</v>
      </c>
      <c r="M96" s="310">
        <f>(IF(I96=0,G96,IF(G96=0,COS(D97*PI()/180)*I96,G96/COS(K96*PI()/180))))</f>
        <v>0</v>
      </c>
      <c r="N96" s="337" t="str">
        <f>IF(C98="","",ROUND(L96,1))</f>
        <v/>
      </c>
      <c r="O96" s="352" t="str">
        <f>IF(C98="","",ROUND(M96,1))</f>
        <v/>
      </c>
      <c r="P96" s="353"/>
      <c r="Q96" s="350"/>
      <c r="R96" s="350"/>
      <c r="S96" s="341"/>
      <c r="T96" s="122" t="s">
        <v>23</v>
      </c>
      <c r="U96" s="358"/>
      <c r="V96" s="356" t="e">
        <f>(O96/P96+U96/60)/24</f>
        <v>#VALUE!</v>
      </c>
      <c r="W96" s="351"/>
      <c r="X96" s="341"/>
      <c r="Y96" s="340"/>
      <c r="Z96" s="341"/>
      <c r="AA96" s="341"/>
      <c r="AB96" s="53"/>
      <c r="AC96" s="332"/>
      <c r="AD96" s="389"/>
    </row>
    <row r="97" spans="1:30" ht="15" customHeight="1">
      <c r="A97" s="386">
        <v>38</v>
      </c>
      <c r="B97" s="392"/>
      <c r="C97" s="54"/>
      <c r="D97" s="310">
        <f>TRUNC(C97)+((C97-TRUNC(C97))/0.6)</f>
        <v>0</v>
      </c>
      <c r="E97" s="310">
        <f>TRUNC(C98)+((C98-TRUNC(C98))/0.6)</f>
        <v>0</v>
      </c>
      <c r="F97" s="311">
        <f>ROUND(((LOG10(TAN(PI()/4+(D97/2*PI()/180)))*7915.7046)-(3437.7468*((0.0816968^2*SIN(D97*PI()/180))+(0.0816968^4/3*((SIN(D97*PI()/180))^3))+(0.0816968^6/5*((SIN(D97*PI()/180))^5))))),2)</f>
        <v>0</v>
      </c>
      <c r="G97" s="312"/>
      <c r="H97" s="312">
        <f>IF(E97&lt;0,E97+360,E97)</f>
        <v>0</v>
      </c>
      <c r="I97" s="334"/>
      <c r="J97" s="335"/>
      <c r="K97" s="336"/>
      <c r="L97" s="310"/>
      <c r="M97" s="310"/>
      <c r="N97" s="337"/>
      <c r="O97" s="352"/>
      <c r="P97" s="353"/>
      <c r="Q97" s="350" t="str">
        <f>IF(O96="","",Q95+O96)</f>
        <v/>
      </c>
      <c r="R97" s="350" t="str">
        <f>IF(O96="","",R95-O96)</f>
        <v/>
      </c>
      <c r="S97" s="340"/>
      <c r="T97" s="117"/>
      <c r="U97" s="355"/>
      <c r="V97" s="356"/>
      <c r="W97" s="351" t="str">
        <f>IF(P96="","",W95+V96)</f>
        <v/>
      </c>
      <c r="X97" s="340"/>
      <c r="Y97" s="386"/>
      <c r="Z97" s="340"/>
      <c r="AA97" s="340"/>
      <c r="AB97" s="52"/>
      <c r="AC97" s="331"/>
      <c r="AD97" s="389"/>
    </row>
    <row r="98" spans="1:30" s="94" customFormat="1" ht="15" customHeight="1">
      <c r="A98" s="386"/>
      <c r="B98" s="392"/>
      <c r="C98" s="55"/>
      <c r="D98" s="310"/>
      <c r="E98" s="310"/>
      <c r="F98" s="311"/>
      <c r="G98" s="128"/>
      <c r="H98" s="312"/>
      <c r="I98" s="128"/>
      <c r="J98" s="128"/>
      <c r="K98" s="128"/>
      <c r="L98" s="128"/>
      <c r="M98" s="128"/>
      <c r="N98" s="114"/>
      <c r="O98" s="115"/>
      <c r="P98" s="116"/>
      <c r="Q98" s="350"/>
      <c r="R98" s="350"/>
      <c r="S98" s="341"/>
      <c r="T98" s="122"/>
      <c r="U98" s="129"/>
      <c r="V98" s="118"/>
      <c r="W98" s="351"/>
      <c r="X98" s="341"/>
      <c r="Y98" s="386"/>
      <c r="Z98" s="341"/>
      <c r="AA98" s="341"/>
      <c r="AB98" s="53"/>
      <c r="AC98" s="332"/>
      <c r="AD98" s="389"/>
    </row>
    <row r="99" spans="1:30" ht="13.5" customHeight="1">
      <c r="A99" s="396"/>
      <c r="B99" s="396"/>
      <c r="C99" s="396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</row>
    <row r="100" spans="1:30" s="107" customFormat="1" ht="13.5" customHeight="1">
      <c r="A100" s="397"/>
      <c r="B100" s="397"/>
      <c r="C100" s="397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s="107" customFormat="1" ht="13.5" customHeight="1">
      <c r="A101" s="397"/>
      <c r="B101" s="397"/>
      <c r="C101" s="397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4.1" customHeight="1"/>
    <row r="103" spans="1:30" ht="14.1" customHeight="1"/>
    <row r="104" spans="1:30" ht="14.1" customHeight="1"/>
    <row r="105" spans="1:30" ht="14.1" customHeight="1"/>
    <row r="106" spans="1:30" ht="14.1" customHeight="1"/>
    <row r="107" spans="1:30" ht="14.1" customHeight="1"/>
    <row r="108" spans="1:30" ht="14.1" customHeight="1"/>
    <row r="109" spans="1:30" ht="14.1" customHeight="1"/>
    <row r="110" spans="1:30" ht="14.1" customHeight="1"/>
    <row r="111" spans="1:30" ht="14.1" customHeight="1"/>
    <row r="112" spans="1:30" ht="14.1" customHeight="1"/>
    <row r="113" spans="3:29" ht="14.1" customHeight="1"/>
    <row r="114" spans="3:29" ht="14.1" customHeight="1"/>
    <row r="115" spans="3:29" ht="14.1" customHeight="1"/>
    <row r="116" spans="3:29" ht="14.1" customHeight="1"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</row>
    <row r="117" spans="3:29" ht="14.1" customHeight="1"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</row>
    <row r="118" spans="3:29" ht="14.1" customHeight="1"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</row>
    <row r="119" spans="3:29" ht="14.1" customHeight="1"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</row>
    <row r="120" spans="3:29" ht="14.1" customHeight="1"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</row>
    <row r="121" spans="3:29" ht="14.1" customHeight="1"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</row>
    <row r="122" spans="3:29" ht="14.1" customHeight="1"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</row>
    <row r="123" spans="3:29" ht="14.1" customHeight="1"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</row>
    <row r="124" spans="3:29" ht="14.1" customHeight="1"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</row>
    <row r="125" spans="3:29" ht="14.1" customHeight="1"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</row>
    <row r="126" spans="3:29" ht="14.1" customHeight="1"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</row>
    <row r="127" spans="3:29" ht="14.1" customHeight="1"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</row>
    <row r="128" spans="3:29" ht="14.1" customHeight="1"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</row>
    <row r="129" s="104" customFormat="1" ht="14.1" customHeight="1"/>
    <row r="130" s="104" customFormat="1" ht="14.1" customHeight="1"/>
    <row r="131" s="104" customFormat="1" ht="14.1" customHeight="1"/>
    <row r="132" s="104" customFormat="1" ht="14.1" customHeight="1"/>
    <row r="133" s="104" customFormat="1" ht="14.1" customHeight="1"/>
    <row r="134" s="104" customFormat="1" ht="14.1" customHeight="1"/>
    <row r="135" s="104" customFormat="1" ht="14.1" customHeight="1"/>
  </sheetData>
  <sheetProtection algorithmName="SHA-512" hashValue="7lW+jHoHxkJNPhA34rNUynrPlwIa6V/QG9czccooggHK+6OC+sP1OXkvcHK0wOucs4FIuC+bq7PoSwhlxPmNQQ==" saltValue="OkuuhUsB5BrLTchDjUkTOw==" spinCount="100000" sheet="1" objects="1" scenarios="1"/>
  <mergeCells count="1117">
    <mergeCell ref="Z97:Z98"/>
    <mergeCell ref="AA97:AA98"/>
    <mergeCell ref="AC97:AC98"/>
    <mergeCell ref="AD97:AD98"/>
    <mergeCell ref="A99:C101"/>
    <mergeCell ref="Q97:Q98"/>
    <mergeCell ref="R97:R98"/>
    <mergeCell ref="S97:S98"/>
    <mergeCell ref="W97:W98"/>
    <mergeCell ref="X97:X98"/>
    <mergeCell ref="Y97:Y98"/>
    <mergeCell ref="O96:O97"/>
    <mergeCell ref="P96:P97"/>
    <mergeCell ref="U96:U97"/>
    <mergeCell ref="V96:V97"/>
    <mergeCell ref="A97:A98"/>
    <mergeCell ref="B97:B98"/>
    <mergeCell ref="D97:D98"/>
    <mergeCell ref="E97:E98"/>
    <mergeCell ref="F97:F98"/>
    <mergeCell ref="H97:H98"/>
    <mergeCell ref="AA95:AA96"/>
    <mergeCell ref="AC95:AC96"/>
    <mergeCell ref="AD95:AD96"/>
    <mergeCell ref="G96:G97"/>
    <mergeCell ref="I96:I97"/>
    <mergeCell ref="J96:J97"/>
    <mergeCell ref="K96:K97"/>
    <mergeCell ref="L96:L97"/>
    <mergeCell ref="M96:M97"/>
    <mergeCell ref="N96:N97"/>
    <mergeCell ref="R95:R96"/>
    <mergeCell ref="S95:S96"/>
    <mergeCell ref="W95:W96"/>
    <mergeCell ref="X95:X96"/>
    <mergeCell ref="Y95:Y96"/>
    <mergeCell ref="Z95:Z96"/>
    <mergeCell ref="P94:P95"/>
    <mergeCell ref="U94:U95"/>
    <mergeCell ref="V94:V95"/>
    <mergeCell ref="A95:A96"/>
    <mergeCell ref="B95:B96"/>
    <mergeCell ref="D95:D96"/>
    <mergeCell ref="E95:E96"/>
    <mergeCell ref="F95:F96"/>
    <mergeCell ref="H95:H96"/>
    <mergeCell ref="Q95:Q96"/>
    <mergeCell ref="AC93:AC94"/>
    <mergeCell ref="AD93:AD94"/>
    <mergeCell ref="G94:G95"/>
    <mergeCell ref="I94:I95"/>
    <mergeCell ref="J94:J95"/>
    <mergeCell ref="K94:K95"/>
    <mergeCell ref="L94:L95"/>
    <mergeCell ref="M94:M95"/>
    <mergeCell ref="N94:N95"/>
    <mergeCell ref="O94:O95"/>
    <mergeCell ref="S93:S94"/>
    <mergeCell ref="W93:W94"/>
    <mergeCell ref="X93:X94"/>
    <mergeCell ref="Y93:Y94"/>
    <mergeCell ref="Z93:Z94"/>
    <mergeCell ref="AA93:AA94"/>
    <mergeCell ref="U92:U93"/>
    <mergeCell ref="B93:B94"/>
    <mergeCell ref="D93:D94"/>
    <mergeCell ref="E93:E94"/>
    <mergeCell ref="F93:F94"/>
    <mergeCell ref="H93:H94"/>
    <mergeCell ref="Q93:Q94"/>
    <mergeCell ref="R93:R94"/>
    <mergeCell ref="Y91:Y92"/>
    <mergeCell ref="Z91:Z92"/>
    <mergeCell ref="AA91:AA92"/>
    <mergeCell ref="AC91:AC92"/>
    <mergeCell ref="AD91:AD92"/>
    <mergeCell ref="G92:G93"/>
    <mergeCell ref="I92:I93"/>
    <mergeCell ref="J92:J93"/>
    <mergeCell ref="K92:K93"/>
    <mergeCell ref="L92:L93"/>
    <mergeCell ref="H91:H92"/>
    <mergeCell ref="Q91:Q92"/>
    <mergeCell ref="R91:R92"/>
    <mergeCell ref="S91:S92"/>
    <mergeCell ref="W91:W92"/>
    <mergeCell ref="X91:X92"/>
    <mergeCell ref="M92:M93"/>
    <mergeCell ref="N92:N93"/>
    <mergeCell ref="O92:O93"/>
    <mergeCell ref="P92:P93"/>
    <mergeCell ref="N90:N91"/>
    <mergeCell ref="O90:O91"/>
    <mergeCell ref="P90:P91"/>
    <mergeCell ref="H89:H90"/>
    <mergeCell ref="U90:U91"/>
    <mergeCell ref="A91:A92"/>
    <mergeCell ref="B91:B92"/>
    <mergeCell ref="D91:D92"/>
    <mergeCell ref="E91:E92"/>
    <mergeCell ref="F91:F92"/>
    <mergeCell ref="Z89:Z90"/>
    <mergeCell ref="AA89:AA90"/>
    <mergeCell ref="AC89:AC90"/>
    <mergeCell ref="AD89:AD90"/>
    <mergeCell ref="G90:G91"/>
    <mergeCell ref="I90:I91"/>
    <mergeCell ref="J90:J91"/>
    <mergeCell ref="K90:K91"/>
    <mergeCell ref="L90:L91"/>
    <mergeCell ref="M90:M91"/>
    <mergeCell ref="Q89:Q90"/>
    <mergeCell ref="R89:R90"/>
    <mergeCell ref="S89:S90"/>
    <mergeCell ref="W89:W90"/>
    <mergeCell ref="X89:X90"/>
    <mergeCell ref="Y89:Y90"/>
    <mergeCell ref="O88:O89"/>
    <mergeCell ref="P88:P89"/>
    <mergeCell ref="U88:U89"/>
    <mergeCell ref="V88:V89"/>
    <mergeCell ref="A89:A90"/>
    <mergeCell ref="B89:B90"/>
    <mergeCell ref="D89:D90"/>
    <mergeCell ref="E89:E90"/>
    <mergeCell ref="F89:F90"/>
    <mergeCell ref="V92:V93"/>
    <mergeCell ref="A93:A94"/>
    <mergeCell ref="AA87:AA88"/>
    <mergeCell ref="AC87:AC88"/>
    <mergeCell ref="AD87:AD88"/>
    <mergeCell ref="G88:G89"/>
    <mergeCell ref="I88:I89"/>
    <mergeCell ref="J88:J89"/>
    <mergeCell ref="K88:K89"/>
    <mergeCell ref="L88:L89"/>
    <mergeCell ref="M88:M89"/>
    <mergeCell ref="N88:N89"/>
    <mergeCell ref="R87:R88"/>
    <mergeCell ref="S87:S88"/>
    <mergeCell ref="W87:W88"/>
    <mergeCell ref="X87:X88"/>
    <mergeCell ref="Y87:Y88"/>
    <mergeCell ref="Z87:Z88"/>
    <mergeCell ref="P86:P87"/>
    <mergeCell ref="U86:U87"/>
    <mergeCell ref="V86:V87"/>
    <mergeCell ref="R85:R86"/>
    <mergeCell ref="Q85:Q86"/>
    <mergeCell ref="V90:V91"/>
    <mergeCell ref="A87:A88"/>
    <mergeCell ref="B87:B88"/>
    <mergeCell ref="D87:D88"/>
    <mergeCell ref="E87:E88"/>
    <mergeCell ref="F87:F88"/>
    <mergeCell ref="H87:H88"/>
    <mergeCell ref="Q87:Q88"/>
    <mergeCell ref="AC85:AC86"/>
    <mergeCell ref="AD85:AD86"/>
    <mergeCell ref="G86:G87"/>
    <mergeCell ref="I86:I87"/>
    <mergeCell ref="J86:J87"/>
    <mergeCell ref="K86:K87"/>
    <mergeCell ref="L86:L87"/>
    <mergeCell ref="M86:M87"/>
    <mergeCell ref="N86:N87"/>
    <mergeCell ref="O86:O87"/>
    <mergeCell ref="S85:S86"/>
    <mergeCell ref="W85:W86"/>
    <mergeCell ref="X85:X86"/>
    <mergeCell ref="Y85:Y86"/>
    <mergeCell ref="Z85:Z86"/>
    <mergeCell ref="AA85:AA86"/>
    <mergeCell ref="U84:U85"/>
    <mergeCell ref="V84:V85"/>
    <mergeCell ref="A85:A86"/>
    <mergeCell ref="B85:B86"/>
    <mergeCell ref="D85:D86"/>
    <mergeCell ref="E85:E86"/>
    <mergeCell ref="F85:F86"/>
    <mergeCell ref="H85:H86"/>
    <mergeCell ref="Y83:Y84"/>
    <mergeCell ref="Z83:Z84"/>
    <mergeCell ref="AA83:AA84"/>
    <mergeCell ref="AC83:AC84"/>
    <mergeCell ref="AD83:AD84"/>
    <mergeCell ref="G84:G85"/>
    <mergeCell ref="I84:I85"/>
    <mergeCell ref="J84:J85"/>
    <mergeCell ref="K84:K85"/>
    <mergeCell ref="L84:L85"/>
    <mergeCell ref="H83:H84"/>
    <mergeCell ref="Q83:Q84"/>
    <mergeCell ref="R83:R84"/>
    <mergeCell ref="S83:S84"/>
    <mergeCell ref="W83:W84"/>
    <mergeCell ref="X83:X84"/>
    <mergeCell ref="M84:M85"/>
    <mergeCell ref="N84:N85"/>
    <mergeCell ref="O84:O85"/>
    <mergeCell ref="P84:P85"/>
    <mergeCell ref="N82:N83"/>
    <mergeCell ref="O82:O83"/>
    <mergeCell ref="P82:P83"/>
    <mergeCell ref="U82:U83"/>
    <mergeCell ref="V82:V83"/>
    <mergeCell ref="A83:A84"/>
    <mergeCell ref="B83:B84"/>
    <mergeCell ref="D83:D84"/>
    <mergeCell ref="E83:E84"/>
    <mergeCell ref="F83:F84"/>
    <mergeCell ref="Z81:Z82"/>
    <mergeCell ref="AA81:AA82"/>
    <mergeCell ref="AC81:AC82"/>
    <mergeCell ref="AD81:AD82"/>
    <mergeCell ref="G82:G83"/>
    <mergeCell ref="I82:I83"/>
    <mergeCell ref="J82:J83"/>
    <mergeCell ref="K82:K83"/>
    <mergeCell ref="L82:L83"/>
    <mergeCell ref="M82:M83"/>
    <mergeCell ref="Q81:Q82"/>
    <mergeCell ref="R81:R82"/>
    <mergeCell ref="S81:S82"/>
    <mergeCell ref="W81:W82"/>
    <mergeCell ref="X81:X82"/>
    <mergeCell ref="Y81:Y82"/>
    <mergeCell ref="O80:O81"/>
    <mergeCell ref="P80:P81"/>
    <mergeCell ref="U80:U81"/>
    <mergeCell ref="V80:V81"/>
    <mergeCell ref="A81:A82"/>
    <mergeCell ref="B81:B82"/>
    <mergeCell ref="D81:D82"/>
    <mergeCell ref="E81:E82"/>
    <mergeCell ref="F81:F82"/>
    <mergeCell ref="H81:H82"/>
    <mergeCell ref="AA79:AA80"/>
    <mergeCell ref="AC79:AC80"/>
    <mergeCell ref="AD79:AD80"/>
    <mergeCell ref="G80:G81"/>
    <mergeCell ref="I80:I81"/>
    <mergeCell ref="J80:J81"/>
    <mergeCell ref="K80:K81"/>
    <mergeCell ref="L80:L81"/>
    <mergeCell ref="M80:M81"/>
    <mergeCell ref="N80:N81"/>
    <mergeCell ref="R79:R80"/>
    <mergeCell ref="S79:S80"/>
    <mergeCell ref="W79:W80"/>
    <mergeCell ref="X79:X80"/>
    <mergeCell ref="Y79:Y80"/>
    <mergeCell ref="Z79:Z80"/>
    <mergeCell ref="P78:P79"/>
    <mergeCell ref="U78:U79"/>
    <mergeCell ref="V78:V79"/>
    <mergeCell ref="R77:R78"/>
    <mergeCell ref="A79:A80"/>
    <mergeCell ref="B79:B80"/>
    <mergeCell ref="D79:D80"/>
    <mergeCell ref="E79:E80"/>
    <mergeCell ref="F79:F80"/>
    <mergeCell ref="H79:H80"/>
    <mergeCell ref="Q79:Q80"/>
    <mergeCell ref="AC77:AC78"/>
    <mergeCell ref="AD77:AD78"/>
    <mergeCell ref="G78:G79"/>
    <mergeCell ref="I78:I79"/>
    <mergeCell ref="J78:J79"/>
    <mergeCell ref="K78:K79"/>
    <mergeCell ref="L78:L79"/>
    <mergeCell ref="M78:M79"/>
    <mergeCell ref="N78:N79"/>
    <mergeCell ref="O78:O79"/>
    <mergeCell ref="S77:S78"/>
    <mergeCell ref="W77:W78"/>
    <mergeCell ref="X77:X78"/>
    <mergeCell ref="Y77:Y78"/>
    <mergeCell ref="Z77:Z78"/>
    <mergeCell ref="AA77:AA78"/>
    <mergeCell ref="U76:U77"/>
    <mergeCell ref="V76:V77"/>
    <mergeCell ref="A77:A78"/>
    <mergeCell ref="B77:B78"/>
    <mergeCell ref="D77:D78"/>
    <mergeCell ref="E77:E78"/>
    <mergeCell ref="F77:F78"/>
    <mergeCell ref="H77:H78"/>
    <mergeCell ref="Q77:Q78"/>
    <mergeCell ref="Y75:Y76"/>
    <mergeCell ref="Z75:Z76"/>
    <mergeCell ref="AA75:AA76"/>
    <mergeCell ref="AC75:AC76"/>
    <mergeCell ref="AD75:AD76"/>
    <mergeCell ref="G76:G77"/>
    <mergeCell ref="I76:I77"/>
    <mergeCell ref="J76:J77"/>
    <mergeCell ref="K76:K77"/>
    <mergeCell ref="L76:L77"/>
    <mergeCell ref="H75:H76"/>
    <mergeCell ref="Q75:Q76"/>
    <mergeCell ref="R75:R76"/>
    <mergeCell ref="S75:S76"/>
    <mergeCell ref="W75:W76"/>
    <mergeCell ref="X75:X76"/>
    <mergeCell ref="M76:M77"/>
    <mergeCell ref="N76:N77"/>
    <mergeCell ref="O76:O77"/>
    <mergeCell ref="P76:P77"/>
    <mergeCell ref="N74:N75"/>
    <mergeCell ref="O74:O75"/>
    <mergeCell ref="P74:P75"/>
    <mergeCell ref="U74:U75"/>
    <mergeCell ref="V74:V75"/>
    <mergeCell ref="A75:A76"/>
    <mergeCell ref="B75:B76"/>
    <mergeCell ref="D75:D76"/>
    <mergeCell ref="E75:E76"/>
    <mergeCell ref="F75:F76"/>
    <mergeCell ref="Z73:Z74"/>
    <mergeCell ref="AA73:AA74"/>
    <mergeCell ref="AC73:AC74"/>
    <mergeCell ref="AD73:AD74"/>
    <mergeCell ref="G74:G75"/>
    <mergeCell ref="I74:I75"/>
    <mergeCell ref="J74:J75"/>
    <mergeCell ref="K74:K75"/>
    <mergeCell ref="L74:L75"/>
    <mergeCell ref="M74:M75"/>
    <mergeCell ref="Q73:Q74"/>
    <mergeCell ref="R73:R74"/>
    <mergeCell ref="S73:S74"/>
    <mergeCell ref="W73:W74"/>
    <mergeCell ref="X73:X74"/>
    <mergeCell ref="Y73:Y74"/>
    <mergeCell ref="O72:O73"/>
    <mergeCell ref="P72:P73"/>
    <mergeCell ref="U72:U73"/>
    <mergeCell ref="V72:V73"/>
    <mergeCell ref="A73:A74"/>
    <mergeCell ref="B73:B74"/>
    <mergeCell ref="D73:D74"/>
    <mergeCell ref="E73:E74"/>
    <mergeCell ref="F73:F74"/>
    <mergeCell ref="H73:H74"/>
    <mergeCell ref="AA71:AA72"/>
    <mergeCell ref="AC71:AC72"/>
    <mergeCell ref="AD71:AD72"/>
    <mergeCell ref="G72:G73"/>
    <mergeCell ref="I72:I73"/>
    <mergeCell ref="J72:J73"/>
    <mergeCell ref="K72:K73"/>
    <mergeCell ref="L72:L73"/>
    <mergeCell ref="M72:M73"/>
    <mergeCell ref="N72:N73"/>
    <mergeCell ref="R71:R72"/>
    <mergeCell ref="S71:S72"/>
    <mergeCell ref="W71:W72"/>
    <mergeCell ref="X71:X72"/>
    <mergeCell ref="Y71:Y72"/>
    <mergeCell ref="Z71:Z72"/>
    <mergeCell ref="P70:P71"/>
    <mergeCell ref="U70:U71"/>
    <mergeCell ref="V70:V71"/>
    <mergeCell ref="R69:R70"/>
    <mergeCell ref="A71:A72"/>
    <mergeCell ref="B71:B72"/>
    <mergeCell ref="D71:D72"/>
    <mergeCell ref="E71:E72"/>
    <mergeCell ref="F71:F72"/>
    <mergeCell ref="H71:H72"/>
    <mergeCell ref="Q71:Q72"/>
    <mergeCell ref="AC69:AC70"/>
    <mergeCell ref="AD69:AD70"/>
    <mergeCell ref="G70:G71"/>
    <mergeCell ref="I70:I71"/>
    <mergeCell ref="J70:J71"/>
    <mergeCell ref="K70:K71"/>
    <mergeCell ref="L70:L71"/>
    <mergeCell ref="M70:M71"/>
    <mergeCell ref="N70:N71"/>
    <mergeCell ref="O70:O71"/>
    <mergeCell ref="S69:S70"/>
    <mergeCell ref="W69:W70"/>
    <mergeCell ref="X69:X70"/>
    <mergeCell ref="Y69:Y70"/>
    <mergeCell ref="Z69:Z70"/>
    <mergeCell ref="AA69:AA70"/>
    <mergeCell ref="U68:U69"/>
    <mergeCell ref="V68:V69"/>
    <mergeCell ref="A69:A70"/>
    <mergeCell ref="B69:B70"/>
    <mergeCell ref="D69:D70"/>
    <mergeCell ref="E69:E70"/>
    <mergeCell ref="F69:F70"/>
    <mergeCell ref="H69:H70"/>
    <mergeCell ref="Q69:Q70"/>
    <mergeCell ref="Y67:Y68"/>
    <mergeCell ref="Z67:Z68"/>
    <mergeCell ref="AA67:AA68"/>
    <mergeCell ref="AC67:AC68"/>
    <mergeCell ref="AD67:AD68"/>
    <mergeCell ref="G68:G69"/>
    <mergeCell ref="I68:I69"/>
    <mergeCell ref="J68:J69"/>
    <mergeCell ref="K68:K69"/>
    <mergeCell ref="L68:L69"/>
    <mergeCell ref="H67:H68"/>
    <mergeCell ref="Q67:Q68"/>
    <mergeCell ref="R67:R68"/>
    <mergeCell ref="S67:S68"/>
    <mergeCell ref="W67:W68"/>
    <mergeCell ref="X67:X68"/>
    <mergeCell ref="M68:M69"/>
    <mergeCell ref="N68:N69"/>
    <mergeCell ref="O68:O69"/>
    <mergeCell ref="P68:P69"/>
    <mergeCell ref="N66:N67"/>
    <mergeCell ref="O66:O67"/>
    <mergeCell ref="P66:P67"/>
    <mergeCell ref="U66:U67"/>
    <mergeCell ref="V66:V67"/>
    <mergeCell ref="A67:A68"/>
    <mergeCell ref="B67:B68"/>
    <mergeCell ref="D67:D68"/>
    <mergeCell ref="E67:E68"/>
    <mergeCell ref="F67:F68"/>
    <mergeCell ref="Z65:Z66"/>
    <mergeCell ref="AA65:AA66"/>
    <mergeCell ref="AC65:AC66"/>
    <mergeCell ref="AD65:AD66"/>
    <mergeCell ref="G66:G67"/>
    <mergeCell ref="I66:I67"/>
    <mergeCell ref="J66:J67"/>
    <mergeCell ref="K66:K67"/>
    <mergeCell ref="L66:L67"/>
    <mergeCell ref="M66:M67"/>
    <mergeCell ref="Q65:Q66"/>
    <mergeCell ref="R65:R66"/>
    <mergeCell ref="S65:S66"/>
    <mergeCell ref="W65:W66"/>
    <mergeCell ref="X65:X66"/>
    <mergeCell ref="Y65:Y66"/>
    <mergeCell ref="O64:O65"/>
    <mergeCell ref="P64:P65"/>
    <mergeCell ref="U64:U65"/>
    <mergeCell ref="V64:V65"/>
    <mergeCell ref="A65:A66"/>
    <mergeCell ref="B65:B66"/>
    <mergeCell ref="D65:D66"/>
    <mergeCell ref="E65:E66"/>
    <mergeCell ref="F65:F66"/>
    <mergeCell ref="H65:H66"/>
    <mergeCell ref="AA63:AA64"/>
    <mergeCell ref="AC63:AC64"/>
    <mergeCell ref="AD63:AD64"/>
    <mergeCell ref="G64:G65"/>
    <mergeCell ref="I64:I65"/>
    <mergeCell ref="J64:J65"/>
    <mergeCell ref="K64:K65"/>
    <mergeCell ref="L64:L65"/>
    <mergeCell ref="M64:M65"/>
    <mergeCell ref="N64:N65"/>
    <mergeCell ref="R63:R64"/>
    <mergeCell ref="S63:S64"/>
    <mergeCell ref="W63:W64"/>
    <mergeCell ref="X63:X64"/>
    <mergeCell ref="Y63:Y64"/>
    <mergeCell ref="Z63:Z64"/>
    <mergeCell ref="P62:P63"/>
    <mergeCell ref="U62:U63"/>
    <mergeCell ref="V62:V63"/>
    <mergeCell ref="R61:R62"/>
    <mergeCell ref="A63:A64"/>
    <mergeCell ref="B63:B64"/>
    <mergeCell ref="D63:D64"/>
    <mergeCell ref="E63:E64"/>
    <mergeCell ref="F63:F64"/>
    <mergeCell ref="H63:H64"/>
    <mergeCell ref="Q63:Q64"/>
    <mergeCell ref="AC61:AC62"/>
    <mergeCell ref="AD61:AD62"/>
    <mergeCell ref="G62:G63"/>
    <mergeCell ref="I62:I63"/>
    <mergeCell ref="J62:J63"/>
    <mergeCell ref="K62:K63"/>
    <mergeCell ref="L62:L63"/>
    <mergeCell ref="M62:M63"/>
    <mergeCell ref="N62:N63"/>
    <mergeCell ref="O62:O63"/>
    <mergeCell ref="S61:S62"/>
    <mergeCell ref="W61:W62"/>
    <mergeCell ref="X61:X62"/>
    <mergeCell ref="Y61:Y62"/>
    <mergeCell ref="Z61:Z62"/>
    <mergeCell ref="AA61:AA62"/>
    <mergeCell ref="U60:U61"/>
    <mergeCell ref="V60:V61"/>
    <mergeCell ref="A61:A62"/>
    <mergeCell ref="B61:B62"/>
    <mergeCell ref="D61:D62"/>
    <mergeCell ref="E61:E62"/>
    <mergeCell ref="F61:F62"/>
    <mergeCell ref="H61:H62"/>
    <mergeCell ref="Q61:Q62"/>
    <mergeCell ref="Y59:Y60"/>
    <mergeCell ref="Z59:Z60"/>
    <mergeCell ref="AA59:AA60"/>
    <mergeCell ref="AC59:AC60"/>
    <mergeCell ref="AD59:AD60"/>
    <mergeCell ref="G60:G61"/>
    <mergeCell ref="I60:I61"/>
    <mergeCell ref="J60:J61"/>
    <mergeCell ref="K60:K61"/>
    <mergeCell ref="L60:L61"/>
    <mergeCell ref="H59:H60"/>
    <mergeCell ref="Q59:Q60"/>
    <mergeCell ref="R59:R60"/>
    <mergeCell ref="S59:S60"/>
    <mergeCell ref="W59:W60"/>
    <mergeCell ref="X59:X60"/>
    <mergeCell ref="M60:M61"/>
    <mergeCell ref="N60:N61"/>
    <mergeCell ref="O60:O61"/>
    <mergeCell ref="P60:P61"/>
    <mergeCell ref="Z55:Z58"/>
    <mergeCell ref="AA55:AA58"/>
    <mergeCell ref="AB55:AB58"/>
    <mergeCell ref="AC55:AC58"/>
    <mergeCell ref="AD55:AD58"/>
    <mergeCell ref="A59:A60"/>
    <mergeCell ref="B59:B60"/>
    <mergeCell ref="D59:D60"/>
    <mergeCell ref="E59:E60"/>
    <mergeCell ref="F59:F60"/>
    <mergeCell ref="R55:R58"/>
    <mergeCell ref="S55:S58"/>
    <mergeCell ref="U55:U58"/>
    <mergeCell ref="W55:W58"/>
    <mergeCell ref="X55:X58"/>
    <mergeCell ref="Y55:Y58"/>
    <mergeCell ref="AC50:AC51"/>
    <mergeCell ref="AD50:AD51"/>
    <mergeCell ref="B52:B53"/>
    <mergeCell ref="A55:A58"/>
    <mergeCell ref="B55:B58"/>
    <mergeCell ref="C55:C58"/>
    <mergeCell ref="N55:N58"/>
    <mergeCell ref="O55:O58"/>
    <mergeCell ref="P55:P58"/>
    <mergeCell ref="Q55:Q58"/>
    <mergeCell ref="S50:S51"/>
    <mergeCell ref="W50:W51"/>
    <mergeCell ref="X50:X51"/>
    <mergeCell ref="Y50:Y51"/>
    <mergeCell ref="Z50:Z51"/>
    <mergeCell ref="AA50:AA51"/>
    <mergeCell ref="B50:B51"/>
    <mergeCell ref="D50:D51"/>
    <mergeCell ref="E50:E51"/>
    <mergeCell ref="F50:F51"/>
    <mergeCell ref="H50:H51"/>
    <mergeCell ref="Q50:Q51"/>
    <mergeCell ref="R50:R51"/>
    <mergeCell ref="Y48:Y49"/>
    <mergeCell ref="Z48:Z49"/>
    <mergeCell ref="AA48:AA49"/>
    <mergeCell ref="AC48:AC49"/>
    <mergeCell ref="AD48:AD49"/>
    <mergeCell ref="G49:G50"/>
    <mergeCell ref="I49:I50"/>
    <mergeCell ref="J49:J50"/>
    <mergeCell ref="K49:K50"/>
    <mergeCell ref="L49:L50"/>
    <mergeCell ref="H48:H49"/>
    <mergeCell ref="Q48:Q49"/>
    <mergeCell ref="R48:R49"/>
    <mergeCell ref="S48:S49"/>
    <mergeCell ref="W48:W49"/>
    <mergeCell ref="X48:X49"/>
    <mergeCell ref="M49:M50"/>
    <mergeCell ref="N49:N50"/>
    <mergeCell ref="O49:O50"/>
    <mergeCell ref="P49:P50"/>
    <mergeCell ref="N47:N48"/>
    <mergeCell ref="O47:O48"/>
    <mergeCell ref="F46:F47"/>
    <mergeCell ref="H46:H47"/>
    <mergeCell ref="P47:P48"/>
    <mergeCell ref="A48:A49"/>
    <mergeCell ref="B48:B49"/>
    <mergeCell ref="D48:D49"/>
    <mergeCell ref="E48:E49"/>
    <mergeCell ref="F48:F49"/>
    <mergeCell ref="Z46:Z47"/>
    <mergeCell ref="AA46:AA47"/>
    <mergeCell ref="AC46:AC47"/>
    <mergeCell ref="AD46:AD47"/>
    <mergeCell ref="G47:G48"/>
    <mergeCell ref="I47:I48"/>
    <mergeCell ref="J47:J48"/>
    <mergeCell ref="K47:K48"/>
    <mergeCell ref="L47:L48"/>
    <mergeCell ref="M47:M48"/>
    <mergeCell ref="Q46:Q47"/>
    <mergeCell ref="R46:R47"/>
    <mergeCell ref="S46:S47"/>
    <mergeCell ref="W46:W47"/>
    <mergeCell ref="X46:X47"/>
    <mergeCell ref="Y46:Y47"/>
    <mergeCell ref="O45:O46"/>
    <mergeCell ref="P45:P46"/>
    <mergeCell ref="U45:U46"/>
    <mergeCell ref="V45:V46"/>
    <mergeCell ref="A46:A47"/>
    <mergeCell ref="B46:B47"/>
    <mergeCell ref="D46:D47"/>
    <mergeCell ref="E46:E47"/>
    <mergeCell ref="U49:U50"/>
    <mergeCell ref="V49:V50"/>
    <mergeCell ref="A50:A51"/>
    <mergeCell ref="AA44:AA45"/>
    <mergeCell ref="AC44:AC45"/>
    <mergeCell ref="AD44:AD45"/>
    <mergeCell ref="G45:G46"/>
    <mergeCell ref="I45:I46"/>
    <mergeCell ref="J45:J46"/>
    <mergeCell ref="K45:K46"/>
    <mergeCell ref="L45:L46"/>
    <mergeCell ref="M45:M46"/>
    <mergeCell ref="N45:N46"/>
    <mergeCell ref="R44:R45"/>
    <mergeCell ref="S44:S45"/>
    <mergeCell ref="W44:W45"/>
    <mergeCell ref="X44:X45"/>
    <mergeCell ref="Y44:Y45"/>
    <mergeCell ref="Z44:Z45"/>
    <mergeCell ref="P43:P44"/>
    <mergeCell ref="U43:U44"/>
    <mergeCell ref="V43:V44"/>
    <mergeCell ref="R42:R43"/>
    <mergeCell ref="H42:H43"/>
    <mergeCell ref="Q42:Q43"/>
    <mergeCell ref="U47:U48"/>
    <mergeCell ref="V47:V48"/>
    <mergeCell ref="A44:A45"/>
    <mergeCell ref="B44:B45"/>
    <mergeCell ref="D44:D45"/>
    <mergeCell ref="E44:E45"/>
    <mergeCell ref="F44:F45"/>
    <mergeCell ref="H44:H45"/>
    <mergeCell ref="Q44:Q45"/>
    <mergeCell ref="AC42:AC43"/>
    <mergeCell ref="AD42:AD43"/>
    <mergeCell ref="G43:G44"/>
    <mergeCell ref="I43:I44"/>
    <mergeCell ref="J43:J44"/>
    <mergeCell ref="K43:K44"/>
    <mergeCell ref="L43:L44"/>
    <mergeCell ref="M43:M44"/>
    <mergeCell ref="N43:N44"/>
    <mergeCell ref="O43:O44"/>
    <mergeCell ref="S42:S43"/>
    <mergeCell ref="W42:W43"/>
    <mergeCell ref="X42:X43"/>
    <mergeCell ref="Y42:Y43"/>
    <mergeCell ref="Z42:Z43"/>
    <mergeCell ref="AA42:AA43"/>
    <mergeCell ref="U41:U42"/>
    <mergeCell ref="V41:V42"/>
    <mergeCell ref="A42:A43"/>
    <mergeCell ref="B42:B43"/>
    <mergeCell ref="D42:D43"/>
    <mergeCell ref="E42:E43"/>
    <mergeCell ref="F42:F43"/>
    <mergeCell ref="Y40:Y41"/>
    <mergeCell ref="Z40:Z41"/>
    <mergeCell ref="AA40:AA41"/>
    <mergeCell ref="AC40:AC41"/>
    <mergeCell ref="AD40:AD41"/>
    <mergeCell ref="G41:G42"/>
    <mergeCell ref="I41:I42"/>
    <mergeCell ref="J41:J42"/>
    <mergeCell ref="K41:K42"/>
    <mergeCell ref="L41:L42"/>
    <mergeCell ref="H40:H41"/>
    <mergeCell ref="Q40:Q41"/>
    <mergeCell ref="R40:R41"/>
    <mergeCell ref="S40:S41"/>
    <mergeCell ref="W40:W41"/>
    <mergeCell ref="X40:X41"/>
    <mergeCell ref="M41:M42"/>
    <mergeCell ref="N41:N42"/>
    <mergeCell ref="O41:O42"/>
    <mergeCell ref="P41:P42"/>
    <mergeCell ref="N39:N40"/>
    <mergeCell ref="O39:O40"/>
    <mergeCell ref="P39:P40"/>
    <mergeCell ref="U39:U40"/>
    <mergeCell ref="V39:V40"/>
    <mergeCell ref="A40:A41"/>
    <mergeCell ref="B40:B41"/>
    <mergeCell ref="D40:D41"/>
    <mergeCell ref="E40:E41"/>
    <mergeCell ref="F40:F41"/>
    <mergeCell ref="Z38:Z39"/>
    <mergeCell ref="AA38:AA39"/>
    <mergeCell ref="AC38:AC39"/>
    <mergeCell ref="AD38:AD39"/>
    <mergeCell ref="G39:G40"/>
    <mergeCell ref="I39:I40"/>
    <mergeCell ref="J39:J40"/>
    <mergeCell ref="K39:K40"/>
    <mergeCell ref="L39:L40"/>
    <mergeCell ref="M39:M40"/>
    <mergeCell ref="Q38:Q39"/>
    <mergeCell ref="R38:R39"/>
    <mergeCell ref="S38:S39"/>
    <mergeCell ref="W38:W39"/>
    <mergeCell ref="X38:X39"/>
    <mergeCell ref="Y38:Y39"/>
    <mergeCell ref="O37:O38"/>
    <mergeCell ref="P37:P38"/>
    <mergeCell ref="U37:U38"/>
    <mergeCell ref="V37:V38"/>
    <mergeCell ref="A38:A39"/>
    <mergeCell ref="B38:B39"/>
    <mergeCell ref="D38:D39"/>
    <mergeCell ref="E38:E39"/>
    <mergeCell ref="F38:F39"/>
    <mergeCell ref="H38:H39"/>
    <mergeCell ref="AA36:AA37"/>
    <mergeCell ref="AC36:AC37"/>
    <mergeCell ref="AD36:AD37"/>
    <mergeCell ref="G37:G38"/>
    <mergeCell ref="I37:I38"/>
    <mergeCell ref="J37:J38"/>
    <mergeCell ref="K37:K38"/>
    <mergeCell ref="L37:L38"/>
    <mergeCell ref="M37:M38"/>
    <mergeCell ref="N37:N38"/>
    <mergeCell ref="R36:R37"/>
    <mergeCell ref="S36:S37"/>
    <mergeCell ref="W36:W37"/>
    <mergeCell ref="X36:X37"/>
    <mergeCell ref="Y36:Y37"/>
    <mergeCell ref="Z36:Z37"/>
    <mergeCell ref="P35:P36"/>
    <mergeCell ref="U35:U36"/>
    <mergeCell ref="V35:V36"/>
    <mergeCell ref="R34:R35"/>
    <mergeCell ref="A36:A37"/>
    <mergeCell ref="B36:B37"/>
    <mergeCell ref="D36:D37"/>
    <mergeCell ref="E36:E37"/>
    <mergeCell ref="F36:F37"/>
    <mergeCell ref="H36:H37"/>
    <mergeCell ref="Q36:Q37"/>
    <mergeCell ref="AC34:AC35"/>
    <mergeCell ref="AD34:AD35"/>
    <mergeCell ref="G35:G36"/>
    <mergeCell ref="I35:I36"/>
    <mergeCell ref="J35:J36"/>
    <mergeCell ref="K35:K36"/>
    <mergeCell ref="L35:L36"/>
    <mergeCell ref="M35:M36"/>
    <mergeCell ref="N35:N36"/>
    <mergeCell ref="O35:O36"/>
    <mergeCell ref="S34:S35"/>
    <mergeCell ref="W34:W35"/>
    <mergeCell ref="X34:X35"/>
    <mergeCell ref="Y34:Y35"/>
    <mergeCell ref="Z34:Z35"/>
    <mergeCell ref="AA34:AA35"/>
    <mergeCell ref="U33:U34"/>
    <mergeCell ref="V33:V34"/>
    <mergeCell ref="A34:A35"/>
    <mergeCell ref="B34:B35"/>
    <mergeCell ref="D34:D35"/>
    <mergeCell ref="E34:E35"/>
    <mergeCell ref="F34:F35"/>
    <mergeCell ref="H34:H35"/>
    <mergeCell ref="Q34:Q35"/>
    <mergeCell ref="Y32:Y33"/>
    <mergeCell ref="Z32:Z33"/>
    <mergeCell ref="AA32:AA33"/>
    <mergeCell ref="AC32:AC33"/>
    <mergeCell ref="AD32:AD33"/>
    <mergeCell ref="G33:G34"/>
    <mergeCell ref="I33:I34"/>
    <mergeCell ref="J33:J34"/>
    <mergeCell ref="K33:K34"/>
    <mergeCell ref="L33:L34"/>
    <mergeCell ref="H32:H33"/>
    <mergeCell ref="Q32:Q33"/>
    <mergeCell ref="R32:R33"/>
    <mergeCell ref="S32:S33"/>
    <mergeCell ref="W32:W33"/>
    <mergeCell ref="X32:X33"/>
    <mergeCell ref="M33:M34"/>
    <mergeCell ref="N33:N34"/>
    <mergeCell ref="O33:O34"/>
    <mergeCell ref="P33:P34"/>
    <mergeCell ref="N31:N32"/>
    <mergeCell ref="O31:O32"/>
    <mergeCell ref="P31:P32"/>
    <mergeCell ref="U31:U32"/>
    <mergeCell ref="V31:V32"/>
    <mergeCell ref="A32:A33"/>
    <mergeCell ref="B32:B33"/>
    <mergeCell ref="D32:D33"/>
    <mergeCell ref="E32:E33"/>
    <mergeCell ref="F32:F33"/>
    <mergeCell ref="Z30:Z31"/>
    <mergeCell ref="AA30:AA31"/>
    <mergeCell ref="AC30:AC31"/>
    <mergeCell ref="AD30:AD31"/>
    <mergeCell ref="G31:G32"/>
    <mergeCell ref="I31:I32"/>
    <mergeCell ref="J31:J32"/>
    <mergeCell ref="K31:K32"/>
    <mergeCell ref="L31:L32"/>
    <mergeCell ref="M31:M32"/>
    <mergeCell ref="Q30:Q31"/>
    <mergeCell ref="R30:R31"/>
    <mergeCell ref="S30:S31"/>
    <mergeCell ref="W30:W31"/>
    <mergeCell ref="X30:X31"/>
    <mergeCell ref="Y30:Y31"/>
    <mergeCell ref="O29:O30"/>
    <mergeCell ref="P29:P30"/>
    <mergeCell ref="U29:U30"/>
    <mergeCell ref="V29:V30"/>
    <mergeCell ref="A30:A31"/>
    <mergeCell ref="B30:B31"/>
    <mergeCell ref="D30:D31"/>
    <mergeCell ref="E30:E31"/>
    <mergeCell ref="F30:F31"/>
    <mergeCell ref="H30:H31"/>
    <mergeCell ref="AA28:AA29"/>
    <mergeCell ref="AC28:AC29"/>
    <mergeCell ref="AD28:AD29"/>
    <mergeCell ref="G29:G30"/>
    <mergeCell ref="I29:I30"/>
    <mergeCell ref="J29:J30"/>
    <mergeCell ref="K29:K30"/>
    <mergeCell ref="L29:L30"/>
    <mergeCell ref="M29:M30"/>
    <mergeCell ref="N29:N30"/>
    <mergeCell ref="R28:R29"/>
    <mergeCell ref="S28:S29"/>
    <mergeCell ref="W28:W29"/>
    <mergeCell ref="X28:X29"/>
    <mergeCell ref="Y28:Y29"/>
    <mergeCell ref="Z28:Z29"/>
    <mergeCell ref="P27:P28"/>
    <mergeCell ref="U27:U28"/>
    <mergeCell ref="V27:V28"/>
    <mergeCell ref="R26:R27"/>
    <mergeCell ref="A28:A29"/>
    <mergeCell ref="B28:B29"/>
    <mergeCell ref="D28:D29"/>
    <mergeCell ref="E28:E29"/>
    <mergeCell ref="F28:F29"/>
    <mergeCell ref="H28:H29"/>
    <mergeCell ref="Q28:Q29"/>
    <mergeCell ref="AC26:AC27"/>
    <mergeCell ref="AD26:AD27"/>
    <mergeCell ref="G27:G28"/>
    <mergeCell ref="I27:I28"/>
    <mergeCell ref="J27:J28"/>
    <mergeCell ref="K27:K28"/>
    <mergeCell ref="L27:L28"/>
    <mergeCell ref="M27:M28"/>
    <mergeCell ref="N27:N28"/>
    <mergeCell ref="O27:O28"/>
    <mergeCell ref="S26:S27"/>
    <mergeCell ref="W26:W27"/>
    <mergeCell ref="X26:X27"/>
    <mergeCell ref="Y26:Y27"/>
    <mergeCell ref="Z26:Z27"/>
    <mergeCell ref="AA26:AA27"/>
    <mergeCell ref="U25:U26"/>
    <mergeCell ref="V25:V26"/>
    <mergeCell ref="A26:A27"/>
    <mergeCell ref="B26:B27"/>
    <mergeCell ref="D26:D27"/>
    <mergeCell ref="E26:E27"/>
    <mergeCell ref="F26:F27"/>
    <mergeCell ref="H26:H27"/>
    <mergeCell ref="Q26:Q27"/>
    <mergeCell ref="Y24:Y25"/>
    <mergeCell ref="Z24:Z25"/>
    <mergeCell ref="AA24:AA25"/>
    <mergeCell ref="AC24:AC25"/>
    <mergeCell ref="AD24:AD25"/>
    <mergeCell ref="G25:G26"/>
    <mergeCell ref="I25:I26"/>
    <mergeCell ref="J25:J26"/>
    <mergeCell ref="K25:K26"/>
    <mergeCell ref="L25:L26"/>
    <mergeCell ref="H24:H25"/>
    <mergeCell ref="Q24:Q25"/>
    <mergeCell ref="R24:R25"/>
    <mergeCell ref="S24:S25"/>
    <mergeCell ref="W24:W25"/>
    <mergeCell ref="X24:X25"/>
    <mergeCell ref="M25:M26"/>
    <mergeCell ref="N25:N26"/>
    <mergeCell ref="O25:O26"/>
    <mergeCell ref="P25:P26"/>
    <mergeCell ref="N23:N24"/>
    <mergeCell ref="O23:O24"/>
    <mergeCell ref="P23:P24"/>
    <mergeCell ref="U23:U24"/>
    <mergeCell ref="V23:V24"/>
    <mergeCell ref="A24:A25"/>
    <mergeCell ref="B24:B25"/>
    <mergeCell ref="D24:D25"/>
    <mergeCell ref="E24:E25"/>
    <mergeCell ref="F24:F25"/>
    <mergeCell ref="Z22:Z23"/>
    <mergeCell ref="AA22:AA23"/>
    <mergeCell ref="AC22:AC23"/>
    <mergeCell ref="AD22:AD23"/>
    <mergeCell ref="G23:G24"/>
    <mergeCell ref="I23:I24"/>
    <mergeCell ref="J23:J24"/>
    <mergeCell ref="K23:K24"/>
    <mergeCell ref="L23:L24"/>
    <mergeCell ref="M23:M24"/>
    <mergeCell ref="Q22:Q23"/>
    <mergeCell ref="R22:R23"/>
    <mergeCell ref="S22:S23"/>
    <mergeCell ref="W22:W23"/>
    <mergeCell ref="X22:X23"/>
    <mergeCell ref="Y22:Y23"/>
    <mergeCell ref="O21:O22"/>
    <mergeCell ref="P21:P22"/>
    <mergeCell ref="U21:U22"/>
    <mergeCell ref="V21:V22"/>
    <mergeCell ref="A22:A23"/>
    <mergeCell ref="B22:B23"/>
    <mergeCell ref="D22:D23"/>
    <mergeCell ref="E22:E23"/>
    <mergeCell ref="F22:F23"/>
    <mergeCell ref="H22:H23"/>
    <mergeCell ref="AA20:AA21"/>
    <mergeCell ref="AC20:AC21"/>
    <mergeCell ref="AD20:AD21"/>
    <mergeCell ref="G21:G22"/>
    <mergeCell ref="I21:I22"/>
    <mergeCell ref="J21:J22"/>
    <mergeCell ref="K21:K22"/>
    <mergeCell ref="L21:L22"/>
    <mergeCell ref="M21:M22"/>
    <mergeCell ref="N21:N22"/>
    <mergeCell ref="R20:R21"/>
    <mergeCell ref="S20:S21"/>
    <mergeCell ref="W20:W21"/>
    <mergeCell ref="X20:X21"/>
    <mergeCell ref="Y20:Y21"/>
    <mergeCell ref="Z20:Z21"/>
    <mergeCell ref="P19:P20"/>
    <mergeCell ref="U19:U20"/>
    <mergeCell ref="V19:V20"/>
    <mergeCell ref="R18:R19"/>
    <mergeCell ref="A20:A21"/>
    <mergeCell ref="B20:B21"/>
    <mergeCell ref="D20:D21"/>
    <mergeCell ref="E20:E21"/>
    <mergeCell ref="F20:F21"/>
    <mergeCell ref="H20:H21"/>
    <mergeCell ref="Q20:Q21"/>
    <mergeCell ref="AC18:AC19"/>
    <mergeCell ref="AD18:AD19"/>
    <mergeCell ref="G19:G20"/>
    <mergeCell ref="I19:I20"/>
    <mergeCell ref="J19:J20"/>
    <mergeCell ref="K19:K20"/>
    <mergeCell ref="L19:L20"/>
    <mergeCell ref="M19:M20"/>
    <mergeCell ref="N19:N20"/>
    <mergeCell ref="O19:O20"/>
    <mergeCell ref="S18:S19"/>
    <mergeCell ref="W18:W19"/>
    <mergeCell ref="X18:X19"/>
    <mergeCell ref="Y18:Y19"/>
    <mergeCell ref="Z18:Z19"/>
    <mergeCell ref="AA18:AA19"/>
    <mergeCell ref="U17:U18"/>
    <mergeCell ref="V17:V18"/>
    <mergeCell ref="A18:A19"/>
    <mergeCell ref="B18:B19"/>
    <mergeCell ref="D18:D19"/>
    <mergeCell ref="E18:E19"/>
    <mergeCell ref="F18:F19"/>
    <mergeCell ref="H18:H19"/>
    <mergeCell ref="Q18:Q19"/>
    <mergeCell ref="Y16:Y17"/>
    <mergeCell ref="Z16:Z17"/>
    <mergeCell ref="AA16:AA17"/>
    <mergeCell ref="AC16:AC17"/>
    <mergeCell ref="AD16:AD17"/>
    <mergeCell ref="G17:G18"/>
    <mergeCell ref="I17:I18"/>
    <mergeCell ref="J17:J18"/>
    <mergeCell ref="K17:K18"/>
    <mergeCell ref="L17:L18"/>
    <mergeCell ref="H16:H17"/>
    <mergeCell ref="Q16:Q17"/>
    <mergeCell ref="R16:R17"/>
    <mergeCell ref="S16:S17"/>
    <mergeCell ref="W16:W17"/>
    <mergeCell ref="X16:X17"/>
    <mergeCell ref="M17:M18"/>
    <mergeCell ref="N17:N18"/>
    <mergeCell ref="O17:O18"/>
    <mergeCell ref="P17:P18"/>
    <mergeCell ref="N15:N16"/>
    <mergeCell ref="O15:O16"/>
    <mergeCell ref="P15:P16"/>
    <mergeCell ref="U15:U16"/>
    <mergeCell ref="V15:V16"/>
    <mergeCell ref="A16:A17"/>
    <mergeCell ref="B16:B17"/>
    <mergeCell ref="D16:D17"/>
    <mergeCell ref="E16:E17"/>
    <mergeCell ref="F16:F17"/>
    <mergeCell ref="Z14:Z15"/>
    <mergeCell ref="AA14:AA15"/>
    <mergeCell ref="AC14:AC15"/>
    <mergeCell ref="AD14:AD15"/>
    <mergeCell ref="G15:G16"/>
    <mergeCell ref="I15:I16"/>
    <mergeCell ref="J15:J16"/>
    <mergeCell ref="K15:K16"/>
    <mergeCell ref="L15:L16"/>
    <mergeCell ref="M15:M16"/>
    <mergeCell ref="Q14:Q15"/>
    <mergeCell ref="R14:R15"/>
    <mergeCell ref="S14:S15"/>
    <mergeCell ref="W14:W15"/>
    <mergeCell ref="X14:X15"/>
    <mergeCell ref="Y14:Y15"/>
    <mergeCell ref="O13:O14"/>
    <mergeCell ref="P13:P14"/>
    <mergeCell ref="U13:U14"/>
    <mergeCell ref="V13:V14"/>
    <mergeCell ref="A14:A15"/>
    <mergeCell ref="B14:B15"/>
    <mergeCell ref="D14:D15"/>
    <mergeCell ref="E14:E15"/>
    <mergeCell ref="F14:F15"/>
    <mergeCell ref="H14:H15"/>
    <mergeCell ref="AA12:AA13"/>
    <mergeCell ref="AD12:AD13"/>
    <mergeCell ref="G13:G14"/>
    <mergeCell ref="I13:I14"/>
    <mergeCell ref="J13:J14"/>
    <mergeCell ref="K13:K14"/>
    <mergeCell ref="L13:L14"/>
    <mergeCell ref="M13:M14"/>
    <mergeCell ref="N13:N14"/>
    <mergeCell ref="R12:R13"/>
    <mergeCell ref="S12:S13"/>
    <mergeCell ref="W12:W13"/>
    <mergeCell ref="X12:X13"/>
    <mergeCell ref="Y12:Y13"/>
    <mergeCell ref="Z12:Z13"/>
    <mergeCell ref="AB8:AB11"/>
    <mergeCell ref="AC8:AC11"/>
    <mergeCell ref="AD8:AD11"/>
    <mergeCell ref="A12:A13"/>
    <mergeCell ref="B12:B13"/>
    <mergeCell ref="D12:D13"/>
    <mergeCell ref="E12:E13"/>
    <mergeCell ref="F12:F13"/>
    <mergeCell ref="H12:H13"/>
    <mergeCell ref="Q12:Q13"/>
    <mergeCell ref="U8:U11"/>
    <mergeCell ref="W8:W11"/>
    <mergeCell ref="X8:X11"/>
    <mergeCell ref="Y8:Y11"/>
    <mergeCell ref="Z8:Z11"/>
    <mergeCell ref="AA8:AA11"/>
    <mergeCell ref="AB7:AC7"/>
    <mergeCell ref="A8:A11"/>
    <mergeCell ref="B8:B11"/>
    <mergeCell ref="C8:C11"/>
    <mergeCell ref="N8:N11"/>
    <mergeCell ref="O8:O11"/>
    <mergeCell ref="P8:P11"/>
    <mergeCell ref="Q8:Q11"/>
    <mergeCell ref="R8:R11"/>
    <mergeCell ref="S8:S11"/>
    <mergeCell ref="AC12:AC13"/>
    <mergeCell ref="W5:Z5"/>
    <mergeCell ref="AB5:AD5"/>
    <mergeCell ref="A6:AD6"/>
    <mergeCell ref="A7:B7"/>
    <mergeCell ref="C7:O7"/>
    <mergeCell ref="P7:Q7"/>
    <mergeCell ref="R7:S7"/>
    <mergeCell ref="U7:W7"/>
    <mergeCell ref="X7:Y7"/>
    <mergeCell ref="Z7:AA7"/>
    <mergeCell ref="A1:AD1"/>
    <mergeCell ref="A2:AD2"/>
    <mergeCell ref="A3:XFD3"/>
    <mergeCell ref="A4:B4"/>
    <mergeCell ref="C4:P4"/>
    <mergeCell ref="Q4:S5"/>
    <mergeCell ref="W4:Z4"/>
    <mergeCell ref="AB4:AD4"/>
    <mergeCell ref="A5:B5"/>
    <mergeCell ref="C5:P5"/>
  </mergeCells>
  <dataValidations count="4">
    <dataValidation type="list" allowBlank="1" showInputMessage="1" showErrorMessage="1" sqref="AA12:AA51 AA59:AA98" xr:uid="{BAAC768E-C8D0-4518-98A8-4A6831AB9397}">
      <formula1>"1,2,3"</formula1>
    </dataValidation>
    <dataValidation type="list" allowBlank="1" showInputMessage="1" showErrorMessage="1" sqref="Z12:Z51 AC12:AC51 Z59:Z60 AC59:AC98" xr:uid="{ED34CDB1-5E7A-499E-9891-95A57D846AAE}">
      <formula1>"Y,N"</formula1>
    </dataValidation>
    <dataValidation type="list" allowBlank="1" showInputMessage="1" showErrorMessage="1" sqref="Y12:Y51 Y59:Y98" xr:uid="{6248EE9A-EDCC-4110-9778-3639A77DF6F6}">
      <formula1>"5 mins or less, 10 mins or less, 15 mins, 30 mins, 1 hour, 2 hours, 3 hours, 4 hours "</formula1>
    </dataValidation>
    <dataValidation type="list" allowBlank="1" showInputMessage="1" showErrorMessage="1" sqref="X12:X51 X59:X98" xr:uid="{FC751D6F-BB39-424A-BF56-33A5F483B5DA}">
      <formula1>"Visual, Radar, GPS, Visual/Radar, Visual/GPS, Radar/GPS, Radar/Visual/GPS"</formula1>
    </dataValidation>
  </dataValidations>
  <printOptions horizontalCentered="1" verticalCentered="1"/>
  <pageMargins left="0" right="0" top="0" bottom="0" header="0.3" footer="0.3"/>
  <pageSetup paperSize="10000" scale="60" orientation="landscape" horizontalDpi="4294967293" verticalDpi="360" r:id="rId1"/>
  <rowBreaks count="1" manualBreakCount="1">
    <brk id="54" max="2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9"/>
  <sheetViews>
    <sheetView view="pageBreakPreview" zoomScale="80" zoomScaleSheetLayoutView="80" workbookViewId="0">
      <selection activeCell="N20" sqref="N20:N21"/>
    </sheetView>
  </sheetViews>
  <sheetFormatPr defaultColWidth="9" defaultRowHeight="13.5"/>
  <cols>
    <col min="1" max="1" width="5.25" style="104" customWidth="1"/>
    <col min="2" max="2" width="20.25" style="104" customWidth="1"/>
    <col min="3" max="3" width="12.875" style="107" customWidth="1"/>
    <col min="4" max="4" width="9.875" style="157" hidden="1" customWidth="1"/>
    <col min="5" max="5" width="9.375" style="157" hidden="1" customWidth="1"/>
    <col min="6" max="6" width="7.125" style="157" hidden="1" customWidth="1"/>
    <col min="7" max="7" width="16.25" style="157" hidden="1" customWidth="1"/>
    <col min="8" max="9" width="15.375" style="157" hidden="1" customWidth="1"/>
    <col min="10" max="10" width="8.625" style="157" hidden="1" customWidth="1"/>
    <col min="11" max="11" width="7.25" style="157" hidden="1" customWidth="1"/>
    <col min="12" max="13" width="9.375" style="157" hidden="1" customWidth="1"/>
    <col min="14" max="14" width="7.25" style="158" customWidth="1"/>
    <col min="15" max="15" width="8.375" style="159" customWidth="1"/>
    <col min="16" max="16" width="6.625" style="159" customWidth="1"/>
    <col min="17" max="17" width="8.375" style="160" customWidth="1"/>
    <col min="18" max="18" width="8" style="160" customWidth="1"/>
    <col min="19" max="19" width="13.75" style="107" customWidth="1"/>
    <col min="20" max="20" width="0.25" style="107" hidden="1" customWidth="1"/>
    <col min="21" max="21" width="8.375" style="136" customWidth="1"/>
    <col min="22" max="22" width="0.125" style="161" customWidth="1"/>
    <col min="23" max="23" width="15.5" style="162" customWidth="1"/>
    <col min="24" max="25" width="9.625" style="107" customWidth="1"/>
    <col min="26" max="27" width="5.875" style="107" customWidth="1"/>
    <col min="28" max="28" width="8.5" style="107" customWidth="1"/>
    <col min="29" max="29" width="7.875" style="107" customWidth="1"/>
    <col min="30" max="30" width="52.75" style="104" customWidth="1"/>
    <col min="31" max="16384" width="9" style="104"/>
  </cols>
  <sheetData>
    <row r="1" spans="1:30" s="94" customFormat="1" ht="30.75" customHeight="1">
      <c r="A1" s="303" t="s">
        <v>31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</row>
    <row r="2" spans="1:30" s="94" customFormat="1" ht="23.25" customHeight="1">
      <c r="A2" s="421" t="s">
        <v>50</v>
      </c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21"/>
      <c r="AA2" s="421"/>
      <c r="AB2" s="421"/>
      <c r="AC2" s="421"/>
      <c r="AD2" s="421"/>
    </row>
    <row r="3" spans="1:30" s="94" customFormat="1" ht="15.95" customHeight="1">
      <c r="A3" s="422" t="s">
        <v>205</v>
      </c>
      <c r="B3" s="422"/>
      <c r="C3" s="16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423" t="s">
        <v>204</v>
      </c>
      <c r="O3" s="423"/>
      <c r="P3" s="170"/>
      <c r="Q3" s="171"/>
      <c r="R3" s="424" t="s">
        <v>193</v>
      </c>
      <c r="S3" s="424"/>
      <c r="T3" s="424"/>
      <c r="U3" s="424"/>
      <c r="V3" s="425" t="s">
        <v>104</v>
      </c>
      <c r="W3" s="425"/>
      <c r="X3" s="425"/>
      <c r="Y3" s="425"/>
      <c r="Z3" s="425"/>
      <c r="AA3" s="426" t="s">
        <v>121</v>
      </c>
      <c r="AB3" s="426"/>
      <c r="AC3" s="426"/>
      <c r="AD3" s="173" t="s">
        <v>107</v>
      </c>
    </row>
    <row r="4" spans="1:30" s="94" customFormat="1" ht="4.5" customHeight="1">
      <c r="A4" s="174"/>
      <c r="B4" s="174"/>
      <c r="C4" s="168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75"/>
      <c r="O4" s="170"/>
      <c r="P4" s="170"/>
      <c r="Q4" s="171"/>
      <c r="R4" s="171"/>
      <c r="S4" s="172"/>
      <c r="T4" s="172"/>
      <c r="U4" s="176"/>
      <c r="V4" s="172"/>
      <c r="W4" s="177"/>
      <c r="X4" s="172"/>
      <c r="Y4" s="172"/>
      <c r="Z4" s="172"/>
      <c r="AA4" s="172"/>
      <c r="AB4" s="172"/>
      <c r="AC4" s="172"/>
      <c r="AD4" s="178"/>
    </row>
    <row r="5" spans="1:30" ht="14.1" customHeight="1">
      <c r="A5" s="410" t="s">
        <v>11</v>
      </c>
      <c r="B5" s="413" t="s">
        <v>12</v>
      </c>
      <c r="C5" s="414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419" t="s">
        <v>4</v>
      </c>
      <c r="O5" s="420" t="s">
        <v>5</v>
      </c>
      <c r="P5" s="420" t="s">
        <v>13</v>
      </c>
      <c r="Q5" s="402" t="s">
        <v>14</v>
      </c>
      <c r="R5" s="402" t="s">
        <v>6</v>
      </c>
      <c r="S5" s="179" t="s">
        <v>52</v>
      </c>
      <c r="T5" s="181" t="s">
        <v>33</v>
      </c>
      <c r="U5" s="403" t="s">
        <v>15</v>
      </c>
      <c r="V5" s="182"/>
      <c r="W5" s="404" t="s">
        <v>16</v>
      </c>
      <c r="X5" s="183" t="s">
        <v>34</v>
      </c>
      <c r="Y5" s="183" t="s">
        <v>33</v>
      </c>
      <c r="Z5" s="183" t="s">
        <v>35</v>
      </c>
      <c r="AA5" s="183" t="s">
        <v>36</v>
      </c>
      <c r="AB5" s="405" t="s">
        <v>37</v>
      </c>
      <c r="AC5" s="183" t="s">
        <v>58</v>
      </c>
      <c r="AD5" s="405" t="s">
        <v>38</v>
      </c>
    </row>
    <row r="6" spans="1:30" ht="14.1" customHeight="1">
      <c r="A6" s="411"/>
      <c r="B6" s="415"/>
      <c r="C6" s="416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419"/>
      <c r="O6" s="420"/>
      <c r="P6" s="420"/>
      <c r="Q6" s="402"/>
      <c r="R6" s="402"/>
      <c r="S6" s="184" t="s">
        <v>53</v>
      </c>
      <c r="T6" s="185" t="s">
        <v>39</v>
      </c>
      <c r="U6" s="403"/>
      <c r="V6" s="182"/>
      <c r="W6" s="404"/>
      <c r="X6" s="186" t="s">
        <v>40</v>
      </c>
      <c r="Y6" s="186" t="s">
        <v>41</v>
      </c>
      <c r="Z6" s="186" t="s">
        <v>42</v>
      </c>
      <c r="AA6" s="186" t="s">
        <v>43</v>
      </c>
      <c r="AB6" s="406"/>
      <c r="AC6" s="186" t="s">
        <v>59</v>
      </c>
      <c r="AD6" s="406"/>
    </row>
    <row r="7" spans="1:30" s="107" customFormat="1" ht="14.1" customHeight="1">
      <c r="A7" s="411"/>
      <c r="B7" s="415"/>
      <c r="C7" s="416"/>
      <c r="D7" s="187" t="s">
        <v>17</v>
      </c>
      <c r="E7" s="187" t="s">
        <v>18</v>
      </c>
      <c r="F7" s="188" t="s">
        <v>0</v>
      </c>
      <c r="G7" s="188" t="s">
        <v>1</v>
      </c>
      <c r="H7" s="189" t="s">
        <v>19</v>
      </c>
      <c r="I7" s="190" t="s">
        <v>2</v>
      </c>
      <c r="J7" s="188" t="s">
        <v>3</v>
      </c>
      <c r="K7" s="189"/>
      <c r="L7" s="188" t="s">
        <v>20</v>
      </c>
      <c r="M7" s="188" t="s">
        <v>21</v>
      </c>
      <c r="N7" s="419"/>
      <c r="O7" s="420"/>
      <c r="P7" s="420"/>
      <c r="Q7" s="402"/>
      <c r="R7" s="402"/>
      <c r="S7" s="184" t="s">
        <v>54</v>
      </c>
      <c r="T7" s="185" t="s">
        <v>44</v>
      </c>
      <c r="U7" s="403"/>
      <c r="V7" s="182"/>
      <c r="W7" s="404"/>
      <c r="X7" s="186" t="s">
        <v>44</v>
      </c>
      <c r="Y7" s="186" t="s">
        <v>45</v>
      </c>
      <c r="Z7" s="186" t="s">
        <v>46</v>
      </c>
      <c r="AA7" s="186" t="s">
        <v>72</v>
      </c>
      <c r="AB7" s="406"/>
      <c r="AC7" s="186" t="s">
        <v>73</v>
      </c>
      <c r="AD7" s="406"/>
    </row>
    <row r="8" spans="1:30" ht="13.5" customHeight="1">
      <c r="A8" s="412"/>
      <c r="B8" s="417"/>
      <c r="C8" s="418"/>
      <c r="D8" s="180"/>
      <c r="E8" s="180"/>
      <c r="F8" s="192"/>
      <c r="G8" s="192"/>
      <c r="H8" s="192"/>
      <c r="I8" s="193"/>
      <c r="J8" s="192"/>
      <c r="K8" s="192"/>
      <c r="L8" s="192"/>
      <c r="M8" s="192"/>
      <c r="N8" s="419"/>
      <c r="O8" s="420"/>
      <c r="P8" s="420"/>
      <c r="Q8" s="402"/>
      <c r="R8" s="402"/>
      <c r="S8" s="191" t="s">
        <v>55</v>
      </c>
      <c r="T8" s="194" t="s">
        <v>47</v>
      </c>
      <c r="U8" s="403"/>
      <c r="V8" s="182"/>
      <c r="W8" s="404"/>
      <c r="X8" s="195" t="s">
        <v>47</v>
      </c>
      <c r="Y8" s="195" t="s">
        <v>48</v>
      </c>
      <c r="Z8" s="195" t="s">
        <v>49</v>
      </c>
      <c r="AA8" s="195"/>
      <c r="AB8" s="407"/>
      <c r="AC8" s="196" t="s">
        <v>60</v>
      </c>
      <c r="AD8" s="407"/>
    </row>
    <row r="9" spans="1:30" ht="15" customHeight="1">
      <c r="A9" s="307">
        <f>IF(B9="","",1)</f>
        <v>1</v>
      </c>
      <c r="B9" s="408" t="s">
        <v>149</v>
      </c>
      <c r="C9" s="111">
        <v>35.030299999999997</v>
      </c>
      <c r="D9" s="310">
        <f>TRUNC(C9)+((C9-TRUNC(C9))/0.6)</f>
        <v>35.050499999999992</v>
      </c>
      <c r="E9" s="310">
        <f>TRUNC(C10)+((C10-TRUNC(C10))/0.6)</f>
        <v>136.83816666666669</v>
      </c>
      <c r="F9" s="311">
        <f>ROUND(((LOG10(TAN(PI()/4+(D9/2*PI()/180)))*7915.7046)-(3437.7468*((0.0816968^2*SIN(D9*PI()/180))+(0.0816968^4/3*((SIN(D9*PI()/180))^3))+(0.0816968^6/5*((SIN(D9*PI()/180))^5))))),2)</f>
        <v>2234.8000000000002</v>
      </c>
      <c r="G9" s="112"/>
      <c r="H9" s="312">
        <f>IF(E9&lt;0,E9+360,E9)</f>
        <v>136.83816666666669</v>
      </c>
      <c r="I9" s="113"/>
      <c r="J9" s="112"/>
      <c r="K9" s="112"/>
      <c r="L9" s="112"/>
      <c r="M9" s="112"/>
      <c r="N9" s="197"/>
      <c r="O9" s="116"/>
      <c r="P9" s="116"/>
      <c r="Q9" s="433">
        <f>IF(O10="","",0)</f>
        <v>0</v>
      </c>
      <c r="R9" s="434">
        <v>224.79999999999998</v>
      </c>
      <c r="S9" s="117"/>
      <c r="T9" s="117" t="s">
        <v>7</v>
      </c>
      <c r="U9" s="129"/>
      <c r="V9" s="118"/>
      <c r="W9" s="436"/>
      <c r="X9" s="117" t="s">
        <v>87</v>
      </c>
      <c r="Y9" s="198"/>
      <c r="Z9" s="117"/>
      <c r="AA9" s="117"/>
      <c r="AB9" s="119"/>
      <c r="AC9" s="119"/>
      <c r="AD9" s="437" t="s">
        <v>203</v>
      </c>
    </row>
    <row r="10" spans="1:30" ht="15" customHeight="1">
      <c r="A10" s="307"/>
      <c r="B10" s="409"/>
      <c r="C10" s="120">
        <v>136.50290000000001</v>
      </c>
      <c r="D10" s="310"/>
      <c r="E10" s="310"/>
      <c r="F10" s="311"/>
      <c r="G10" s="312">
        <f>ABS(D9-D11)*60</f>
        <v>1.0299999999992338</v>
      </c>
      <c r="H10" s="312"/>
      <c r="I10" s="334">
        <f>ABS(H9-H11)*60</f>
        <v>0.20999999999844476</v>
      </c>
      <c r="J10" s="335">
        <f>ABS(F9-F11)</f>
        <v>1.25</v>
      </c>
      <c r="K10" s="336">
        <f>IF(AND(D9&lt;D11,H9=H11),0,IF(AND(D9&gt;D11,H9=H11),180,IF(AND(D9=D11,H9&lt;H11),90,IF(AND(D9=D11,H9&gt;H11),270,(ATAN(I10/J10)*180/PI())))))</f>
        <v>9.53663575839008</v>
      </c>
      <c r="L10" s="310">
        <f>IF(OR(K10=0,K10=90,K10=180,K10=270),K10,IF(AND(D9&lt;D11,H9&lt;H11),K10,IF(AND(D9&lt;D11,H9&gt;H11),360-K10,IF(AND(D9&gt;D11,H9&lt;H11),180-K10,IF(AND(D9&gt;D11,H9&gt;H11),180+K10)))))</f>
        <v>170.46336424160992</v>
      </c>
      <c r="M10" s="310">
        <f>(IF(I10=0,G10,IF(G10=0,COS(D11*PI()/180)*I10,G10/COS(K10*PI()/180))))</f>
        <v>1.0444342208094934</v>
      </c>
      <c r="N10" s="427">
        <f>IF(C12="","",ROUND(L10,1))</f>
        <v>170.5</v>
      </c>
      <c r="O10" s="428">
        <f>IF(C12="","",ROUND(M10,1))</f>
        <v>1</v>
      </c>
      <c r="P10" s="429">
        <v>2</v>
      </c>
      <c r="Q10" s="433"/>
      <c r="R10" s="435"/>
      <c r="S10" s="122">
        <v>2.1</v>
      </c>
      <c r="T10" s="122" t="s">
        <v>23</v>
      </c>
      <c r="U10" s="430"/>
      <c r="V10" s="356">
        <f>(O10/P10+U10/60)/24</f>
        <v>2.0833333333333332E-2</v>
      </c>
      <c r="W10" s="436"/>
      <c r="X10" s="122" t="s">
        <v>88</v>
      </c>
      <c r="Y10" s="199" t="s">
        <v>89</v>
      </c>
      <c r="Z10" s="122" t="s">
        <v>32</v>
      </c>
      <c r="AA10" s="122">
        <v>3</v>
      </c>
      <c r="AB10" s="123" t="s">
        <v>74</v>
      </c>
      <c r="AC10" s="123" t="s">
        <v>83</v>
      </c>
      <c r="AD10" s="438"/>
    </row>
    <row r="11" spans="1:30" ht="15" customHeight="1">
      <c r="A11" s="307">
        <f>IF(B11="","",A9+1)</f>
        <v>2</v>
      </c>
      <c r="B11" s="441" t="s">
        <v>194</v>
      </c>
      <c r="C11" s="124">
        <v>35.020000000000003</v>
      </c>
      <c r="D11" s="310">
        <f>TRUNC(C11)+((C11-TRUNC(C11))/0.6)</f>
        <v>35.033333333333339</v>
      </c>
      <c r="E11" s="310">
        <f>TRUNC(C12)+((C12-TRUNC(C12))/0.6)</f>
        <v>136.84166666666667</v>
      </c>
      <c r="F11" s="311">
        <f>ROUND(((LOG10(TAN(PI()/4+(D11/2*PI()/180)))*7915.7046)-(3437.7468*((0.0816968^2*SIN(D11*PI()/180))+(0.0816968^4/3*((SIN(D11*PI()/180))^3))+(0.0816968^6/5*((SIN(D11*PI()/180))^5))))),2)</f>
        <v>2233.5500000000002</v>
      </c>
      <c r="G11" s="312"/>
      <c r="H11" s="312">
        <f>IF(E11&lt;0,E11+360,E11)</f>
        <v>136.84166666666667</v>
      </c>
      <c r="I11" s="334"/>
      <c r="J11" s="335"/>
      <c r="K11" s="336"/>
      <c r="L11" s="310"/>
      <c r="M11" s="310"/>
      <c r="N11" s="427"/>
      <c r="O11" s="428"/>
      <c r="P11" s="429"/>
      <c r="Q11" s="432">
        <f>IF(O10="","",Q9+O10)</f>
        <v>1</v>
      </c>
      <c r="R11" s="432">
        <f>IF(O10="","",R9-O10)</f>
        <v>223.79999999999998</v>
      </c>
      <c r="S11" s="117"/>
      <c r="T11" s="117" t="s">
        <v>7</v>
      </c>
      <c r="U11" s="431"/>
      <c r="V11" s="356"/>
      <c r="W11" s="436">
        <f>IF(P10="","",W9+V10)</f>
        <v>2.0833333333333332E-2</v>
      </c>
      <c r="X11" s="117" t="s">
        <v>87</v>
      </c>
      <c r="Y11" s="198"/>
      <c r="Z11" s="117"/>
      <c r="AA11" s="117"/>
      <c r="AB11" s="119"/>
      <c r="AC11" s="119"/>
      <c r="AD11" s="439" t="s">
        <v>147</v>
      </c>
    </row>
    <row r="12" spans="1:30" ht="15" customHeight="1">
      <c r="A12" s="307"/>
      <c r="B12" s="441"/>
      <c r="C12" s="125">
        <v>136.505</v>
      </c>
      <c r="D12" s="310"/>
      <c r="E12" s="310"/>
      <c r="F12" s="311"/>
      <c r="G12" s="312">
        <f>ABS(D11-D13)*60</f>
        <v>0.65000000000026148</v>
      </c>
      <c r="H12" s="312"/>
      <c r="I12" s="334">
        <f>ABS(H11-H13)*60</f>
        <v>0.14999999999815827</v>
      </c>
      <c r="J12" s="335">
        <f>ABS(F11-F13)</f>
        <v>0.78999999999996362</v>
      </c>
      <c r="K12" s="336">
        <f>IF(AND(D11&lt;D13,H11=H13),0,IF(AND(D11&gt;D13,H11=H13),180,IF(AND(D11=D13,H11&lt;H13),90,IF(AND(D11=D13,H11&gt;H13),270,(ATAN(I12/J12)*180/PI())))))</f>
        <v>10.750966993059608</v>
      </c>
      <c r="L12" s="310">
        <f>IF(OR(K12=0,K12=90,K12=180,K12=270),K12,IF(AND(D11&lt;D13,H11&lt;H13),K12,IF(AND(D11&lt;D13,H11&gt;H13),360-K12,IF(AND(D11&gt;D13,H11&lt;H13),180-K12,IF(AND(D11&gt;D13,H11&gt;H13),180+K12)))))</f>
        <v>169.24903300694038</v>
      </c>
      <c r="M12" s="310">
        <f>(IF(I12=0,G12,IF(G12=0,COS(D13*PI()/180)*I12,G12/COS(K12*PI()/180))))</f>
        <v>0.66161313014851653</v>
      </c>
      <c r="N12" s="427">
        <f>IF(C14="","",ROUND(L12,1))</f>
        <v>169.2</v>
      </c>
      <c r="O12" s="428">
        <f>IF(C14="","",ROUND(M12,1))</f>
        <v>0.7</v>
      </c>
      <c r="P12" s="429">
        <v>5</v>
      </c>
      <c r="Q12" s="432"/>
      <c r="R12" s="432"/>
      <c r="S12" s="122">
        <v>6.9</v>
      </c>
      <c r="T12" s="122" t="s">
        <v>23</v>
      </c>
      <c r="U12" s="430"/>
      <c r="V12" s="356">
        <f>(O12/P12+U12/60)/24</f>
        <v>5.8333333333333327E-3</v>
      </c>
      <c r="W12" s="436"/>
      <c r="X12" s="122" t="s">
        <v>88</v>
      </c>
      <c r="Y12" s="199" t="s">
        <v>89</v>
      </c>
      <c r="Z12" s="122" t="s">
        <v>32</v>
      </c>
      <c r="AA12" s="122">
        <v>3</v>
      </c>
      <c r="AB12" s="123" t="s">
        <v>74</v>
      </c>
      <c r="AC12" s="123" t="s">
        <v>83</v>
      </c>
      <c r="AD12" s="442"/>
    </row>
    <row r="13" spans="1:30" ht="15" customHeight="1">
      <c r="A13" s="307">
        <f>IF(B13="","",A11+1)</f>
        <v>3</v>
      </c>
      <c r="B13" s="400" t="s">
        <v>195</v>
      </c>
      <c r="C13" s="124">
        <v>35.013500000000001</v>
      </c>
      <c r="D13" s="310">
        <f>TRUNC(C13)+((C13-TRUNC(C13))/0.6)</f>
        <v>35.022500000000001</v>
      </c>
      <c r="E13" s="310">
        <f>TRUNC(C14)+((C14-TRUNC(C14))/0.6)</f>
        <v>136.84416666666664</v>
      </c>
      <c r="F13" s="311">
        <f>ROUND(((LOG10(TAN(PI()/4+(D13/2*PI()/180)))*7915.7046)-(3437.7468*((0.0816968^2*SIN(D13*PI()/180))+(0.0816968^4/3*((SIN(D13*PI()/180))^3))+(0.0816968^6/5*((SIN(D13*PI()/180))^5))))),2)</f>
        <v>2232.7600000000002</v>
      </c>
      <c r="G13" s="312"/>
      <c r="H13" s="312">
        <f>IF(E13&lt;0,E13+360,E13)</f>
        <v>136.84416666666664</v>
      </c>
      <c r="I13" s="334"/>
      <c r="J13" s="335"/>
      <c r="K13" s="336"/>
      <c r="L13" s="310"/>
      <c r="M13" s="310"/>
      <c r="N13" s="427"/>
      <c r="O13" s="428"/>
      <c r="P13" s="429"/>
      <c r="Q13" s="432">
        <f>IF(O12="","",Q11+O12)</f>
        <v>1.7</v>
      </c>
      <c r="R13" s="432">
        <f>IF(O12="","",R11-O12)</f>
        <v>223.1</v>
      </c>
      <c r="S13" s="117"/>
      <c r="T13" s="117" t="s">
        <v>7</v>
      </c>
      <c r="U13" s="431"/>
      <c r="V13" s="356"/>
      <c r="W13" s="436">
        <f>IF(P12="","",W11+V12)</f>
        <v>2.6666666666666665E-2</v>
      </c>
      <c r="X13" s="117" t="s">
        <v>87</v>
      </c>
      <c r="Y13" s="198"/>
      <c r="Z13" s="117"/>
      <c r="AA13" s="117"/>
      <c r="AB13" s="119"/>
      <c r="AC13" s="119"/>
      <c r="AD13" s="439" t="s">
        <v>97</v>
      </c>
    </row>
    <row r="14" spans="1:30" ht="15" customHeight="1">
      <c r="A14" s="307"/>
      <c r="B14" s="401"/>
      <c r="C14" s="125">
        <v>136.50649999999999</v>
      </c>
      <c r="D14" s="310"/>
      <c r="E14" s="310"/>
      <c r="F14" s="311"/>
      <c r="G14" s="312">
        <f>ABS(D13-D15)*60</f>
        <v>4.1499999999996362</v>
      </c>
      <c r="H14" s="312"/>
      <c r="I14" s="334">
        <f>ABS(H13-H15)*60</f>
        <v>3.3499999999969532</v>
      </c>
      <c r="J14" s="335">
        <f>ABS(F13-F15)</f>
        <v>5.0500000000001819</v>
      </c>
      <c r="K14" s="336">
        <f>IF(AND(D13&lt;D15,H13=H15),0,IF(AND(D13&gt;D15,H13=H15),180,IF(AND(D13=D15,H13&lt;H15),90,IF(AND(D13=D15,H13&gt;H15),270,(ATAN(I14/J14)*180/PI())))))</f>
        <v>33.558956131207623</v>
      </c>
      <c r="L14" s="310">
        <f>IF(OR(K14=0,K14=90,K14=180,K14=270),K14,IF(AND(D13&lt;D15,H13&lt;H15),K14,IF(AND(D13&lt;D15,H13&gt;H15),360-K14,IF(AND(D13&gt;D15,H13&lt;H15),180-K14,IF(AND(D13&gt;D15,H13&gt;H15),180+K14)))))</f>
        <v>213.55895613120762</v>
      </c>
      <c r="M14" s="310">
        <f>(IF(I14=0,G14,IF(G14=0,COS(D15*PI()/180)*I14,G14/COS(K14*PI()/180))))</f>
        <v>4.9800949244275579</v>
      </c>
      <c r="N14" s="427">
        <f>IF(C16="","",ROUND(L14,1))</f>
        <v>213.6</v>
      </c>
      <c r="O14" s="428">
        <f>IF(C16="","",ROUND(M14,1))</f>
        <v>5</v>
      </c>
      <c r="P14" s="429">
        <v>12</v>
      </c>
      <c r="Q14" s="432"/>
      <c r="R14" s="432"/>
      <c r="S14" s="122">
        <v>6</v>
      </c>
      <c r="T14" s="122" t="s">
        <v>23</v>
      </c>
      <c r="U14" s="430"/>
      <c r="V14" s="356">
        <f>(O14/P14+U14/60)/24</f>
        <v>1.7361111111111112E-2</v>
      </c>
      <c r="W14" s="436"/>
      <c r="X14" s="122" t="s">
        <v>88</v>
      </c>
      <c r="Y14" s="199" t="s">
        <v>89</v>
      </c>
      <c r="Z14" s="122" t="s">
        <v>32</v>
      </c>
      <c r="AA14" s="122">
        <v>3</v>
      </c>
      <c r="AB14" s="123" t="s">
        <v>74</v>
      </c>
      <c r="AC14" s="123" t="s">
        <v>83</v>
      </c>
      <c r="AD14" s="440"/>
    </row>
    <row r="15" spans="1:30" ht="15" customHeight="1">
      <c r="A15" s="307">
        <f>IF(B15="","",A13+1)</f>
        <v>4</v>
      </c>
      <c r="B15" s="400" t="s">
        <v>196</v>
      </c>
      <c r="C15" s="124">
        <v>34.572000000000003</v>
      </c>
      <c r="D15" s="310">
        <f>TRUNC(C15)+((C15-TRUNC(C15))/0.6)</f>
        <v>34.95333333333334</v>
      </c>
      <c r="E15" s="310">
        <f>TRUNC(C16)+((C16-TRUNC(C16))/0.6)</f>
        <v>136.78833333333336</v>
      </c>
      <c r="F15" s="311">
        <f>ROUND(((LOG10(TAN(PI()/4+(D15/2*PI()/180)))*7915.7046)-(3437.7468*((0.0816968^2*SIN(D15*PI()/180))+(0.0816968^4/3*((SIN(D15*PI()/180))^3))+(0.0816968^6/5*((SIN(D15*PI()/180))^5))))),2)</f>
        <v>2227.71</v>
      </c>
      <c r="G15" s="312"/>
      <c r="H15" s="312">
        <f>IF(E15&lt;0,E15+360,E15)</f>
        <v>136.78833333333336</v>
      </c>
      <c r="I15" s="334"/>
      <c r="J15" s="335"/>
      <c r="K15" s="336"/>
      <c r="L15" s="310"/>
      <c r="M15" s="310"/>
      <c r="N15" s="427"/>
      <c r="O15" s="428"/>
      <c r="P15" s="429"/>
      <c r="Q15" s="432">
        <f>IF(O14="","",Q13+O14)</f>
        <v>6.7</v>
      </c>
      <c r="R15" s="432">
        <f>IF(O14="","",R13-O14)</f>
        <v>218.1</v>
      </c>
      <c r="S15" s="117"/>
      <c r="T15" s="117" t="s">
        <v>7</v>
      </c>
      <c r="U15" s="431"/>
      <c r="V15" s="356"/>
      <c r="W15" s="436">
        <f>IF(P14="","",W13+V14)</f>
        <v>4.4027777777777777E-2</v>
      </c>
      <c r="X15" s="117" t="s">
        <v>87</v>
      </c>
      <c r="Y15" s="198"/>
      <c r="Z15" s="117"/>
      <c r="AA15" s="117"/>
      <c r="AB15" s="119"/>
      <c r="AC15" s="119"/>
      <c r="AD15" s="443" t="s">
        <v>91</v>
      </c>
    </row>
    <row r="16" spans="1:30" ht="15" customHeight="1">
      <c r="A16" s="307"/>
      <c r="B16" s="401"/>
      <c r="C16" s="125">
        <v>136.47300000000001</v>
      </c>
      <c r="D16" s="310"/>
      <c r="E16" s="310"/>
      <c r="F16" s="311"/>
      <c r="G16" s="312">
        <f>ABS(D15-D17)*60</f>
        <v>1.6500000000002046</v>
      </c>
      <c r="H16" s="312"/>
      <c r="I16" s="334">
        <f>ABS(H15-H17)*60</f>
        <v>1.5000000000020464</v>
      </c>
      <c r="J16" s="335">
        <f>ABS(F15-F17)</f>
        <v>2</v>
      </c>
      <c r="K16" s="336">
        <f>IF(AND(D15&lt;D17,H15=H17),0,IF(AND(D15&gt;D17,H15=H17),180,IF(AND(D15=D17,H15&lt;H17),90,IF(AND(D15=D17,H15&gt;H17),270,(ATAN(I16/J16)*180/PI())))))</f>
        <v>36.869897645881537</v>
      </c>
      <c r="L16" s="310">
        <f>IF(OR(K16=0,K16=90,K16=180,K16=270),K16,IF(AND(D15&lt;D17,H15&lt;H17),K16,IF(AND(D15&lt;D17,H15&gt;H17),360-K16,IF(AND(D15&gt;D17,H15&lt;H17),180-K16,IF(AND(D15&gt;D17,H15&gt;H17),180+K16)))))</f>
        <v>216.86989764588154</v>
      </c>
      <c r="M16" s="310">
        <f>(IF(I16=0,G16,IF(G16=0,COS(D17*PI()/180)*I16,G16/COS(K16*PI()/180))))</f>
        <v>2.0625000000012688</v>
      </c>
      <c r="N16" s="427">
        <f>IF(C18="","",ROUND(L16,1))</f>
        <v>216.9</v>
      </c>
      <c r="O16" s="428">
        <f>IF(C18="","",ROUND(M16,1))</f>
        <v>2.1</v>
      </c>
      <c r="P16" s="429">
        <v>12</v>
      </c>
      <c r="Q16" s="432"/>
      <c r="R16" s="432"/>
      <c r="S16" s="122">
        <v>8.3000000000000007</v>
      </c>
      <c r="T16" s="122" t="s">
        <v>23</v>
      </c>
      <c r="U16" s="430"/>
      <c r="V16" s="356">
        <f>(O16/P16+U16/60)/24</f>
        <v>7.2916666666666676E-3</v>
      </c>
      <c r="W16" s="436"/>
      <c r="X16" s="122" t="s">
        <v>88</v>
      </c>
      <c r="Y16" s="199" t="s">
        <v>89</v>
      </c>
      <c r="Z16" s="122" t="s">
        <v>32</v>
      </c>
      <c r="AA16" s="122">
        <v>3</v>
      </c>
      <c r="AB16" s="123" t="s">
        <v>75</v>
      </c>
      <c r="AC16" s="123" t="s">
        <v>83</v>
      </c>
      <c r="AD16" s="443"/>
    </row>
    <row r="17" spans="1:30" ht="15" customHeight="1">
      <c r="A17" s="307">
        <f>IF(B17="","",A15+1)</f>
        <v>5</v>
      </c>
      <c r="B17" s="400" t="s">
        <v>197</v>
      </c>
      <c r="C17" s="124">
        <v>34.555500000000002</v>
      </c>
      <c r="D17" s="310">
        <f>TRUNC(C17)+((C17-TRUNC(C17))/0.6)</f>
        <v>34.925833333333337</v>
      </c>
      <c r="E17" s="310">
        <f>TRUNC(C18)+((C18-TRUNC(C18))/0.6)</f>
        <v>136.76333333333332</v>
      </c>
      <c r="F17" s="311">
        <f>ROUND(((LOG10(TAN(PI()/4+(D17/2*PI()/180)))*7915.7046)-(3437.7468*((0.0816968^2*SIN(D17*PI()/180))+(0.0816968^4/3*((SIN(D17*PI()/180))^3))+(0.0816968^6/5*((SIN(D17*PI()/180))^5))))),2)</f>
        <v>2225.71</v>
      </c>
      <c r="G17" s="312"/>
      <c r="H17" s="312">
        <f>IF(E17&lt;0,E17+360,E17)</f>
        <v>136.76333333333332</v>
      </c>
      <c r="I17" s="334"/>
      <c r="J17" s="335"/>
      <c r="K17" s="336"/>
      <c r="L17" s="310"/>
      <c r="M17" s="310"/>
      <c r="N17" s="427"/>
      <c r="O17" s="428"/>
      <c r="P17" s="429"/>
      <c r="Q17" s="432">
        <f>IF(O16="","",Q15+O16)</f>
        <v>8.8000000000000007</v>
      </c>
      <c r="R17" s="432">
        <f>IF(O16="","",R15-O16)</f>
        <v>216</v>
      </c>
      <c r="S17" s="117"/>
      <c r="T17" s="117" t="s">
        <v>7</v>
      </c>
      <c r="U17" s="431"/>
      <c r="V17" s="356"/>
      <c r="W17" s="436">
        <f>IF(P16="","",W15+V16)</f>
        <v>5.1319444444444445E-2</v>
      </c>
      <c r="X17" s="117" t="s">
        <v>87</v>
      </c>
      <c r="Y17" s="198"/>
      <c r="Z17" s="117"/>
      <c r="AA17" s="117"/>
      <c r="AB17" s="119"/>
      <c r="AC17" s="119"/>
      <c r="AD17" s="439" t="s">
        <v>92</v>
      </c>
    </row>
    <row r="18" spans="1:30" ht="15" customHeight="1">
      <c r="A18" s="307"/>
      <c r="B18" s="401"/>
      <c r="C18" s="125">
        <v>136.458</v>
      </c>
      <c r="D18" s="310"/>
      <c r="E18" s="310"/>
      <c r="F18" s="311"/>
      <c r="G18" s="312">
        <f>ABS(D17-D19)*60</f>
        <v>7.9000000000000625</v>
      </c>
      <c r="H18" s="312"/>
      <c r="I18" s="334">
        <f>ABS(H17-H19)*60</f>
        <v>0</v>
      </c>
      <c r="J18" s="335">
        <f>ABS(F17-F19)</f>
        <v>9.5799999999999272</v>
      </c>
      <c r="K18" s="336">
        <f>IF(AND(D17&lt;D19,H17=H19),0,IF(AND(D17&gt;D19,H17=H19),180,IF(AND(D17=D19,H17&lt;H19),90,IF(AND(D17=D19,H17&gt;H19),270,(ATAN(I18/J18)*180/PI())))))</f>
        <v>180</v>
      </c>
      <c r="L18" s="310">
        <f>IF(OR(K18=0,K18=90,K18=180,K18=270),K18,IF(AND(D17&lt;D19,H17&lt;H19),K18,IF(AND(D17&lt;D19,H17&gt;H19),360-K18,IF(AND(D17&gt;D19,H17&lt;H19),180-K18,IF(AND(D17&gt;D19,H17&gt;H19),180+K18)))))</f>
        <v>180</v>
      </c>
      <c r="M18" s="310">
        <f>(IF(I18=0,G18,IF(G18=0,COS(D19*PI()/180)*I18,G18/COS(K18*PI()/180))))</f>
        <v>7.9000000000000625</v>
      </c>
      <c r="N18" s="427">
        <f>IF(C20="","",ROUND(L18,1))</f>
        <v>180</v>
      </c>
      <c r="O18" s="428">
        <f>IF(C20="","",ROUND(M18,1))</f>
        <v>7.9</v>
      </c>
      <c r="P18" s="429">
        <v>12</v>
      </c>
      <c r="Q18" s="432"/>
      <c r="R18" s="432"/>
      <c r="S18" s="122">
        <v>15.5</v>
      </c>
      <c r="T18" s="122" t="s">
        <v>24</v>
      </c>
      <c r="U18" s="430"/>
      <c r="V18" s="356">
        <f>(O18/P18+U18/60)/24</f>
        <v>2.7430555555555555E-2</v>
      </c>
      <c r="W18" s="436"/>
      <c r="X18" s="122" t="s">
        <v>88</v>
      </c>
      <c r="Y18" s="199" t="s">
        <v>89</v>
      </c>
      <c r="Z18" s="122" t="s">
        <v>32</v>
      </c>
      <c r="AA18" s="122">
        <v>3</v>
      </c>
      <c r="AB18" s="123" t="s">
        <v>75</v>
      </c>
      <c r="AC18" s="123" t="s">
        <v>83</v>
      </c>
      <c r="AD18" s="440"/>
    </row>
    <row r="19" spans="1:30" ht="15" customHeight="1">
      <c r="A19" s="307">
        <f>IF(B19="","",A17+1)</f>
        <v>6</v>
      </c>
      <c r="B19" s="400" t="s">
        <v>198</v>
      </c>
      <c r="C19" s="124">
        <v>34.476500000000001</v>
      </c>
      <c r="D19" s="310">
        <f>TRUNC(C19)+((C19-TRUNC(C19))/0.6)</f>
        <v>34.794166666666669</v>
      </c>
      <c r="E19" s="310">
        <f>TRUNC(C20)+((C20-TRUNC(C20))/0.6)</f>
        <v>136.76333333333332</v>
      </c>
      <c r="F19" s="311">
        <f>ROUND(((LOG10(TAN(PI()/4+(D19/2*PI()/180)))*7915.7046)-(3437.7468*((0.0816968^2*SIN(D19*PI()/180))+(0.0816968^4/3*((SIN(D19*PI()/180))^3))+(0.0816968^6/5*((SIN(D19*PI()/180))^5))))),2)</f>
        <v>2216.13</v>
      </c>
      <c r="G19" s="312"/>
      <c r="H19" s="312">
        <f>IF(E19&lt;0,E19+360,E19)</f>
        <v>136.76333333333332</v>
      </c>
      <c r="I19" s="334"/>
      <c r="J19" s="335"/>
      <c r="K19" s="336"/>
      <c r="L19" s="310"/>
      <c r="M19" s="310"/>
      <c r="N19" s="427"/>
      <c r="O19" s="428"/>
      <c r="P19" s="429"/>
      <c r="Q19" s="432">
        <f>IF(O18="","",Q17+O18)</f>
        <v>16.700000000000003</v>
      </c>
      <c r="R19" s="432">
        <f>IF(O18="","",R17-O18)</f>
        <v>208.1</v>
      </c>
      <c r="S19" s="117"/>
      <c r="T19" s="117" t="s">
        <v>7</v>
      </c>
      <c r="U19" s="431"/>
      <c r="V19" s="356"/>
      <c r="W19" s="436">
        <f>IF(P18="","",W17+V18)</f>
        <v>7.8750000000000001E-2</v>
      </c>
      <c r="X19" s="117" t="s">
        <v>87</v>
      </c>
      <c r="Y19" s="198"/>
      <c r="Z19" s="117"/>
      <c r="AA19" s="117"/>
      <c r="AB19" s="119"/>
      <c r="AC19" s="119"/>
      <c r="AD19" s="439" t="s">
        <v>179</v>
      </c>
    </row>
    <row r="20" spans="1:30" ht="15" customHeight="1">
      <c r="A20" s="307"/>
      <c r="B20" s="401"/>
      <c r="C20" s="125">
        <v>136.458</v>
      </c>
      <c r="D20" s="310"/>
      <c r="E20" s="310"/>
      <c r="F20" s="311"/>
      <c r="G20" s="312">
        <f>ABS(D19-D21)*60</f>
        <v>7.6500000000002899</v>
      </c>
      <c r="H20" s="312"/>
      <c r="I20" s="334">
        <f>ABS(H19-H21)*60</f>
        <v>4.4999999999993179</v>
      </c>
      <c r="J20" s="335">
        <f>ABS(F19-F21)</f>
        <v>9.2699999999999818</v>
      </c>
      <c r="K20" s="336">
        <f>IF(AND(D19&lt;D21,H19=H21),0,IF(AND(D19&gt;D21,H19=H21),180,IF(AND(D19=D21,H19&lt;H21),90,IF(AND(D19=D21,H19&gt;H21),270,(ATAN(I20/J20)*180/PI())))))</f>
        <v>25.893646994224646</v>
      </c>
      <c r="L20" s="310">
        <f>IF(OR(K20=0,K20=90,K20=180,K20=270),K20,IF(AND(D19&lt;D21,H19&lt;H21),K20,IF(AND(D19&lt;D21,H19&gt;H21),360-K20,IF(AND(D19&gt;D21,H19&lt;H21),180-K20,IF(AND(D19&gt;D21,H19&gt;H21),180+K20)))))</f>
        <v>154.10635300577536</v>
      </c>
      <c r="M20" s="310">
        <f>(IF(I20=0,G20,IF(G20=0,COS(D21*PI()/180)*I20,G20/COS(K20*PI()/180))))</f>
        <v>8.5037207899290408</v>
      </c>
      <c r="N20" s="427">
        <f>IF(C22="","",ROUND(L20,1))</f>
        <v>154.1</v>
      </c>
      <c r="O20" s="428">
        <f>IF(C22="","",ROUND(M20,1))</f>
        <v>8.5</v>
      </c>
      <c r="P20" s="429">
        <v>12</v>
      </c>
      <c r="Q20" s="432"/>
      <c r="R20" s="432"/>
      <c r="S20" s="122">
        <v>17</v>
      </c>
      <c r="T20" s="122" t="s">
        <v>23</v>
      </c>
      <c r="U20" s="430"/>
      <c r="V20" s="356">
        <f>(O20/P20+U20/60)/24</f>
        <v>2.9513888888888892E-2</v>
      </c>
      <c r="W20" s="436"/>
      <c r="X20" s="122" t="s">
        <v>88</v>
      </c>
      <c r="Y20" s="199" t="s">
        <v>89</v>
      </c>
      <c r="Z20" s="122" t="s">
        <v>32</v>
      </c>
      <c r="AA20" s="122">
        <v>3</v>
      </c>
      <c r="AB20" s="123" t="s">
        <v>76</v>
      </c>
      <c r="AC20" s="123" t="s">
        <v>83</v>
      </c>
      <c r="AD20" s="440"/>
    </row>
    <row r="21" spans="1:30" ht="15" customHeight="1">
      <c r="A21" s="307">
        <f>IF(B21="","",A19+1)</f>
        <v>7</v>
      </c>
      <c r="B21" s="444" t="s">
        <v>115</v>
      </c>
      <c r="C21" s="124">
        <v>34.4</v>
      </c>
      <c r="D21" s="310">
        <f>TRUNC(C21)+((C21-TRUNC(C21))/0.6)</f>
        <v>34.666666666666664</v>
      </c>
      <c r="E21" s="310">
        <f>TRUNC(C22)+((C22-TRUNC(C22))/0.6)</f>
        <v>136.83833333333331</v>
      </c>
      <c r="F21" s="311">
        <f>ROUND(((LOG10(TAN(PI()/4+(D21/2*PI()/180)))*7915.7046)-(3437.7468*((0.0816968^2*SIN(D21*PI()/180))+(0.0816968^4/3*((SIN(D21*PI()/180))^3))+(0.0816968^6/5*((SIN(D21*PI()/180))^5))))),2)</f>
        <v>2206.86</v>
      </c>
      <c r="G21" s="312"/>
      <c r="H21" s="312">
        <f>IF(E21&lt;0,E21+360,E21)</f>
        <v>136.83833333333331</v>
      </c>
      <c r="I21" s="334"/>
      <c r="J21" s="335"/>
      <c r="K21" s="336"/>
      <c r="L21" s="310"/>
      <c r="M21" s="310"/>
      <c r="N21" s="427"/>
      <c r="O21" s="428"/>
      <c r="P21" s="429"/>
      <c r="Q21" s="432">
        <f>IF(O20="","",Q19+O20)</f>
        <v>25.200000000000003</v>
      </c>
      <c r="R21" s="432">
        <f>IF(O20="","",R19-O20)</f>
        <v>199.6</v>
      </c>
      <c r="S21" s="117"/>
      <c r="T21" s="117" t="s">
        <v>25</v>
      </c>
      <c r="U21" s="431"/>
      <c r="V21" s="356"/>
      <c r="W21" s="436">
        <f>IF(P20="","",W19+V20)</f>
        <v>0.1082638888888889</v>
      </c>
      <c r="X21" s="117" t="s">
        <v>87</v>
      </c>
      <c r="Y21" s="198"/>
      <c r="Z21" s="117"/>
      <c r="AA21" s="117"/>
      <c r="AB21" s="119"/>
      <c r="AC21" s="119"/>
      <c r="AD21" s="439" t="s">
        <v>180</v>
      </c>
    </row>
    <row r="22" spans="1:30" ht="15" customHeight="1">
      <c r="A22" s="307"/>
      <c r="B22" s="444"/>
      <c r="C22" s="125">
        <v>136.50299999999999</v>
      </c>
      <c r="D22" s="310"/>
      <c r="E22" s="310"/>
      <c r="F22" s="311"/>
      <c r="G22" s="312">
        <f>ABS(D21-D23)*60</f>
        <v>4.8499999999998522</v>
      </c>
      <c r="H22" s="312"/>
      <c r="I22" s="334">
        <f>ABS(H21-H23)*60</f>
        <v>7.850000000001387</v>
      </c>
      <c r="J22" s="335">
        <f>ABS(F21-F23)</f>
        <v>5.8700000000003456</v>
      </c>
      <c r="K22" s="336">
        <f>IF(AND(D21&lt;D23,H21=H23),0,IF(AND(D21&gt;D23,H21=H23),180,IF(AND(D21=D23,H21&lt;H23),90,IF(AND(D21=D23,H21&gt;H23),270,(ATAN(I22/J22)*180/PI())))))</f>
        <v>53.211936711201901</v>
      </c>
      <c r="L22" s="310">
        <f>IF(OR(K22=0,K22=90,K22=180,K22=270),K22,IF(AND(D21&lt;D23,H21&lt;H23),K22,IF(AND(D21&lt;D23,H21&gt;H23),360-K22,IF(AND(D21&gt;D23,H21&lt;H23),180-K22,IF(AND(D21&gt;D23,H21&gt;H23),180+K22)))))</f>
        <v>126.7880632887981</v>
      </c>
      <c r="M22" s="310">
        <f>(IF(I22=0,G22,IF(G22=0,COS(D23*PI()/180)*I22,G22/COS(K22*PI()/180))))</f>
        <v>8.0987646490769105</v>
      </c>
      <c r="N22" s="427">
        <f>IF(C24="","",ROUND(L22,1))</f>
        <v>126.8</v>
      </c>
      <c r="O22" s="428">
        <f>IF(C24="","",ROUND(M22,1))</f>
        <v>8.1</v>
      </c>
      <c r="P22" s="429">
        <v>12</v>
      </c>
      <c r="Q22" s="432"/>
      <c r="R22" s="432"/>
      <c r="S22" s="122" t="s">
        <v>56</v>
      </c>
      <c r="T22" s="122" t="s">
        <v>24</v>
      </c>
      <c r="U22" s="430"/>
      <c r="V22" s="356">
        <f>(O22/P22+U22/60)/24</f>
        <v>2.8124999999999997E-2</v>
      </c>
      <c r="W22" s="436"/>
      <c r="X22" s="122" t="s">
        <v>88</v>
      </c>
      <c r="Y22" s="199" t="s">
        <v>89</v>
      </c>
      <c r="Z22" s="122" t="s">
        <v>32</v>
      </c>
      <c r="AA22" s="122">
        <v>3</v>
      </c>
      <c r="AB22" s="123" t="s">
        <v>77</v>
      </c>
      <c r="AC22" s="123" t="s">
        <v>83</v>
      </c>
      <c r="AD22" s="440"/>
    </row>
    <row r="23" spans="1:30" ht="15" customHeight="1">
      <c r="A23" s="307">
        <f>IF(B23="","",A21+1)</f>
        <v>8</v>
      </c>
      <c r="B23" s="444" t="s">
        <v>116</v>
      </c>
      <c r="C23" s="124">
        <v>34.351500000000001</v>
      </c>
      <c r="D23" s="310">
        <f>TRUNC(C23)+((C23-TRUNC(C23))/0.6)</f>
        <v>34.585833333333333</v>
      </c>
      <c r="E23" s="310">
        <f>TRUNC(C24)+((C24-TRUNC(C24))/0.6)</f>
        <v>136.96916666666667</v>
      </c>
      <c r="F23" s="311">
        <f>ROUND(((LOG10(TAN(PI()/4+(D23/2*PI()/180)))*7915.7046)-(3437.7468*((0.0816968^2*SIN(D23*PI()/180))+(0.0816968^4/3*((SIN(D23*PI()/180))^3))+(0.0816968^6/5*((SIN(D23*PI()/180))^5))))),2)</f>
        <v>2200.9899999999998</v>
      </c>
      <c r="G23" s="312"/>
      <c r="H23" s="312">
        <f>IF(E23&lt;0,E23+360,E23)</f>
        <v>136.96916666666667</v>
      </c>
      <c r="I23" s="334"/>
      <c r="J23" s="335"/>
      <c r="K23" s="336"/>
      <c r="L23" s="310"/>
      <c r="M23" s="310"/>
      <c r="N23" s="427"/>
      <c r="O23" s="428"/>
      <c r="P23" s="429"/>
      <c r="Q23" s="432">
        <f>IF(O22="","",Q21+O22)</f>
        <v>33.300000000000004</v>
      </c>
      <c r="R23" s="432">
        <f>IF(O22="","",R21-O22)</f>
        <v>191.5</v>
      </c>
      <c r="S23" s="117"/>
      <c r="T23" s="117" t="s">
        <v>25</v>
      </c>
      <c r="U23" s="431"/>
      <c r="V23" s="356"/>
      <c r="W23" s="436">
        <f>IF(P22="","",W21+V22)</f>
        <v>0.13638888888888889</v>
      </c>
      <c r="X23" s="117" t="s">
        <v>87</v>
      </c>
      <c r="Y23" s="198"/>
      <c r="Z23" s="117"/>
      <c r="AA23" s="117"/>
      <c r="AB23" s="119"/>
      <c r="AC23" s="119"/>
      <c r="AD23" s="447" t="s">
        <v>199</v>
      </c>
    </row>
    <row r="24" spans="1:30" ht="15" customHeight="1">
      <c r="A24" s="307"/>
      <c r="B24" s="444"/>
      <c r="C24" s="125">
        <v>136.58150000000001</v>
      </c>
      <c r="D24" s="310"/>
      <c r="E24" s="310"/>
      <c r="F24" s="311"/>
      <c r="G24" s="312">
        <f>ABS(D23-D25)*60</f>
        <v>4.3499999999998806</v>
      </c>
      <c r="H24" s="312"/>
      <c r="I24" s="334">
        <f>ABS(H23-H25)*60</f>
        <v>5.4500000000001592</v>
      </c>
      <c r="J24" s="335">
        <f>ABS(F23-F25)</f>
        <v>5.25</v>
      </c>
      <c r="K24" s="336">
        <f>IF(AND(D23&lt;D25,H23=H25),0,IF(AND(D23&gt;D25,H23=H25),180,IF(AND(D23=D25,H23&lt;H25),90,IF(AND(D23=D25,H23&gt;H25),270,(ATAN(I24/J24)*180/PI())))))</f>
        <v>46.070824454787797</v>
      </c>
      <c r="L24" s="310">
        <f>IF(OR(K24=0,K24=90,K24=180,K24=270),K24,IF(AND(D23&lt;D25,H23&lt;H25),K24,IF(AND(D23&lt;D25,H23&gt;H25),360-K24,IF(AND(D23&gt;D25,H23&lt;H25),180-K24,IF(AND(D23&gt;D25,H23&gt;H25),180+K24)))))</f>
        <v>133.92917554521222</v>
      </c>
      <c r="M24" s="310">
        <f>(IF(I24=0,G24,IF(G24=0,COS(D25*PI()/180)*I24,G24/COS(K24*PI()/180))))</f>
        <v>6.2701017145021742</v>
      </c>
      <c r="N24" s="427">
        <f>IF(C26="","",ROUND(L24,1))</f>
        <v>133.9</v>
      </c>
      <c r="O24" s="428">
        <f>IF(C26="","",ROUND(M24,1))</f>
        <v>6.3</v>
      </c>
      <c r="P24" s="429">
        <v>12</v>
      </c>
      <c r="Q24" s="432"/>
      <c r="R24" s="432"/>
      <c r="S24" s="122" t="s">
        <v>56</v>
      </c>
      <c r="T24" s="122" t="s">
        <v>24</v>
      </c>
      <c r="U24" s="430"/>
      <c r="V24" s="356">
        <f>(O24/P24+U24/60)/24</f>
        <v>2.1875000000000002E-2</v>
      </c>
      <c r="W24" s="436"/>
      <c r="X24" s="122" t="s">
        <v>88</v>
      </c>
      <c r="Y24" s="199" t="s">
        <v>89</v>
      </c>
      <c r="Z24" s="122" t="s">
        <v>32</v>
      </c>
      <c r="AA24" s="122">
        <v>3</v>
      </c>
      <c r="AB24" s="123" t="s">
        <v>77</v>
      </c>
      <c r="AC24" s="123" t="s">
        <v>83</v>
      </c>
      <c r="AD24" s="448"/>
    </row>
    <row r="25" spans="1:30" ht="15" customHeight="1">
      <c r="A25" s="307">
        <f>IF(B25="","",A23+1)</f>
        <v>9</v>
      </c>
      <c r="B25" s="445" t="s">
        <v>150</v>
      </c>
      <c r="C25" s="200">
        <v>34.308</v>
      </c>
      <c r="D25" s="310">
        <f>TRUNC(C25)+((C25-TRUNC(C25))/0.6)</f>
        <v>34.513333333333335</v>
      </c>
      <c r="E25" s="310">
        <f>TRUNC(C26)+((C26-TRUNC(C26))/0.6)</f>
        <v>137.06</v>
      </c>
      <c r="F25" s="311">
        <f>ROUND(((LOG10(TAN(PI()/4+(D25/2*PI()/180)))*7915.7046)-(3437.7468*((0.0816968^2*SIN(D25*PI()/180))+(0.0816968^4/3*((SIN(D25*PI()/180))^3))+(0.0816968^6/5*((SIN(D25*PI()/180))^5))))),2)</f>
        <v>2195.7399999999998</v>
      </c>
      <c r="G25" s="312"/>
      <c r="H25" s="312">
        <f>IF(E25&lt;0,E25+360,E25)</f>
        <v>137.06</v>
      </c>
      <c r="I25" s="334"/>
      <c r="J25" s="335"/>
      <c r="K25" s="336"/>
      <c r="L25" s="310"/>
      <c r="M25" s="310"/>
      <c r="N25" s="427"/>
      <c r="O25" s="428"/>
      <c r="P25" s="429"/>
      <c r="Q25" s="446">
        <f>IF(O24="","",Q23+O24)</f>
        <v>39.6</v>
      </c>
      <c r="R25" s="446">
        <f>IF(O24="","",R23-O24)</f>
        <v>185.2</v>
      </c>
      <c r="S25" s="117"/>
      <c r="T25" s="117" t="s">
        <v>30</v>
      </c>
      <c r="U25" s="431"/>
      <c r="V25" s="356"/>
      <c r="W25" s="436">
        <f>IF(P24="","",W23+V24)</f>
        <v>0.1582638888888889</v>
      </c>
      <c r="X25" s="117" t="s">
        <v>87</v>
      </c>
      <c r="Y25" s="198"/>
      <c r="Z25" s="117"/>
      <c r="AA25" s="117"/>
      <c r="AB25" s="119" t="s">
        <v>69</v>
      </c>
      <c r="AC25" s="119"/>
      <c r="AD25" s="439" t="s">
        <v>200</v>
      </c>
    </row>
    <row r="26" spans="1:30" ht="15" customHeight="1">
      <c r="A26" s="307"/>
      <c r="B26" s="445"/>
      <c r="C26" s="201">
        <v>137.036</v>
      </c>
      <c r="D26" s="310"/>
      <c r="E26" s="310"/>
      <c r="F26" s="311"/>
      <c r="G26" s="312">
        <f>ABS(D25-D27)*60</f>
        <v>1.8000000000000682</v>
      </c>
      <c r="H26" s="312"/>
      <c r="I26" s="334">
        <f>ABS(H25-H27)*60</f>
        <v>6.3999999999992951</v>
      </c>
      <c r="J26" s="335">
        <f>ABS(F25-F27)</f>
        <v>2.1799999999998363</v>
      </c>
      <c r="K26" s="336">
        <f>IF(AND(D25&lt;D27,H25=H27),0,IF(AND(D25&gt;D27,H25=H27),180,IF(AND(D25=D27,H25&lt;H27),90,IF(AND(D25=D27,H25&gt;H27),270,(ATAN(I26/J26)*180/PI())))))</f>
        <v>71.189873698787835</v>
      </c>
      <c r="L26" s="310">
        <f>IF(OR(K26=0,K26=90,K26=180,K26=270),K26,IF(AND(D25&lt;D27,H25&lt;H27),K26,IF(AND(D25&lt;D27,H25&gt;H27),360-K26,IF(AND(D25&gt;D27,H25&lt;H27),180-K26,IF(AND(D25&gt;D27,H25&gt;H27),180+K26)))))</f>
        <v>108.81012630121216</v>
      </c>
      <c r="M26" s="310">
        <f>(IF(I26=0,G26,IF(G26=0,COS(D27*PI()/180)*I26,G26/COS(K26*PI()/180))))</f>
        <v>5.5825551627011345</v>
      </c>
      <c r="N26" s="427">
        <f>IF(C28="","",ROUND(L26,1))</f>
        <v>108.8</v>
      </c>
      <c r="O26" s="428">
        <f>IF(C28="","",ROUND(M26,1))</f>
        <v>5.6</v>
      </c>
      <c r="P26" s="429">
        <v>16</v>
      </c>
      <c r="Q26" s="446"/>
      <c r="R26" s="446"/>
      <c r="S26" s="122" t="s">
        <v>56</v>
      </c>
      <c r="T26" s="122" t="s">
        <v>24</v>
      </c>
      <c r="U26" s="430"/>
      <c r="V26" s="356">
        <f>(O26/P26+U26/60)/24</f>
        <v>1.4583333333333332E-2</v>
      </c>
      <c r="W26" s="436"/>
      <c r="X26" s="122" t="s">
        <v>88</v>
      </c>
      <c r="Y26" s="199" t="s">
        <v>89</v>
      </c>
      <c r="Z26" s="122" t="s">
        <v>32</v>
      </c>
      <c r="AA26" s="122">
        <v>3</v>
      </c>
      <c r="AB26" s="126" t="s">
        <v>70</v>
      </c>
      <c r="AC26" s="123" t="s">
        <v>83</v>
      </c>
      <c r="AD26" s="440"/>
    </row>
    <row r="27" spans="1:30" ht="15" customHeight="1">
      <c r="A27" s="307">
        <f>IF(B27="","",A25+1)</f>
        <v>10</v>
      </c>
      <c r="B27" s="444" t="s">
        <v>206</v>
      </c>
      <c r="C27" s="124">
        <v>34.29</v>
      </c>
      <c r="D27" s="310">
        <f>TRUNC(C27)+((C27-TRUNC(C27))/0.6)</f>
        <v>34.483333333333334</v>
      </c>
      <c r="E27" s="310">
        <f>TRUNC(C28)+((C28-TRUNC(C28))/0.6)</f>
        <v>137.16666666666666</v>
      </c>
      <c r="F27" s="311">
        <f>ROUND(((LOG10(TAN(PI()/4+(D27/2*PI()/180)))*7915.7046)-(3437.7468*((0.0816968^2*SIN(D27*PI()/180))+(0.0816968^4/3*((SIN(D27*PI()/180))^3))+(0.0816968^6/5*((SIN(D27*PI()/180))^5))))),2)</f>
        <v>2193.56</v>
      </c>
      <c r="G27" s="312"/>
      <c r="H27" s="312">
        <f>IF(E27&lt;0,E27+360,E27)</f>
        <v>137.16666666666666</v>
      </c>
      <c r="I27" s="334"/>
      <c r="J27" s="335"/>
      <c r="K27" s="336"/>
      <c r="L27" s="310"/>
      <c r="M27" s="310"/>
      <c r="N27" s="427"/>
      <c r="O27" s="428"/>
      <c r="P27" s="429"/>
      <c r="Q27" s="432">
        <f>IF(O26="","",Q25+O26)</f>
        <v>45.2</v>
      </c>
      <c r="R27" s="432">
        <f>IF(O26="","",R25-O26)</f>
        <v>179.6</v>
      </c>
      <c r="S27" s="117"/>
      <c r="T27" s="117" t="s">
        <v>25</v>
      </c>
      <c r="U27" s="431"/>
      <c r="V27" s="356"/>
      <c r="W27" s="436">
        <f>IF(P26="","",W25+V26)</f>
        <v>0.17284722222222224</v>
      </c>
      <c r="X27" s="117" t="s">
        <v>87</v>
      </c>
      <c r="Y27" s="117"/>
      <c r="Z27" s="117"/>
      <c r="AA27" s="117"/>
      <c r="AB27" s="127"/>
      <c r="AC27" s="119"/>
      <c r="AD27" s="449" t="s">
        <v>177</v>
      </c>
    </row>
    <row r="28" spans="1:30" ht="15" customHeight="1">
      <c r="A28" s="307"/>
      <c r="B28" s="444"/>
      <c r="C28" s="125">
        <v>137.1</v>
      </c>
      <c r="D28" s="310"/>
      <c r="E28" s="310"/>
      <c r="F28" s="311"/>
      <c r="G28" s="312">
        <f>ABS(D27-D29)*60</f>
        <v>7.9999999999999716</v>
      </c>
      <c r="H28" s="312"/>
      <c r="I28" s="334">
        <f>ABS(H27-H29)*60</f>
        <v>65.999999999999659</v>
      </c>
      <c r="J28" s="335">
        <f>ABS(F27-F29)</f>
        <v>9.6500000000000909</v>
      </c>
      <c r="K28" s="336">
        <f>IF(AND(D27&lt;D29,H27=H29),0,IF(AND(D27&gt;D29,H27=H29),180,IF(AND(D27=D29,H27&lt;H29),90,IF(AND(D27=D29,H27&gt;H29),270,(ATAN(I28/J28)*180/PI())))))</f>
        <v>81.681605186314755</v>
      </c>
      <c r="L28" s="310">
        <f>IF(OR(K28=0,K28=90,K28=180,K28=270),K28,IF(AND(D27&lt;D29,H27&lt;H29),K28,IF(AND(D27&lt;D29,H27&gt;H29),360-K28,IF(AND(D27&gt;D29,H27&lt;H29),180-K28,IF(AND(D27&gt;D29,H27&gt;H29),180+K28)))))</f>
        <v>98.318394813685245</v>
      </c>
      <c r="M28" s="310">
        <f>(IF(I28=0,G28,IF(G28=0,COS(D29*PI()/180)*I28,G28/COS(K28*PI()/180))))</f>
        <v>55.296781642105145</v>
      </c>
      <c r="N28" s="427">
        <f>IF(C30="","",ROUND(L28,1))</f>
        <v>98.3</v>
      </c>
      <c r="O28" s="428">
        <f>IF(C30="","",ROUND(M28,1))</f>
        <v>55.3</v>
      </c>
      <c r="P28" s="429">
        <v>16</v>
      </c>
      <c r="Q28" s="432"/>
      <c r="R28" s="432"/>
      <c r="S28" s="122" t="s">
        <v>56</v>
      </c>
      <c r="T28" s="122" t="s">
        <v>23</v>
      </c>
      <c r="U28" s="430"/>
      <c r="V28" s="356">
        <f>(O28/P28+U28/60)/24</f>
        <v>0.14401041666666667</v>
      </c>
      <c r="W28" s="436"/>
      <c r="X28" s="122" t="s">
        <v>88</v>
      </c>
      <c r="Y28" s="199" t="s">
        <v>61</v>
      </c>
      <c r="Z28" s="122" t="s">
        <v>83</v>
      </c>
      <c r="AA28" s="122">
        <v>2</v>
      </c>
      <c r="AB28" s="126" t="s">
        <v>202</v>
      </c>
      <c r="AC28" s="123" t="s">
        <v>73</v>
      </c>
      <c r="AD28" s="450"/>
    </row>
    <row r="29" spans="1:30" ht="15" customHeight="1">
      <c r="A29" s="307">
        <f>IF(B29="","",A27+1)</f>
        <v>11</v>
      </c>
      <c r="B29" s="444" t="s">
        <v>68</v>
      </c>
      <c r="C29" s="124">
        <v>34.21</v>
      </c>
      <c r="D29" s="310">
        <f>TRUNC(C29)+((C29-TRUNC(C29))/0.6)</f>
        <v>34.35</v>
      </c>
      <c r="E29" s="310">
        <f>TRUNC(C30)+((C30-TRUNC(C30))/0.6)</f>
        <v>138.26666666666665</v>
      </c>
      <c r="F29" s="311">
        <f>ROUND(((LOG10(TAN(PI()/4+(D29/2*PI()/180)))*7915.7046)-(3437.7468*((0.0816968^2*SIN(D29*PI()/180))+(0.0816968^4/3*((SIN(D29*PI()/180))^3))+(0.0816968^6/5*((SIN(D29*PI()/180))^5))))),2)</f>
        <v>2183.91</v>
      </c>
      <c r="G29" s="312"/>
      <c r="H29" s="312">
        <f>IF(E29&lt;0,E29+360,E29)</f>
        <v>138.26666666666665</v>
      </c>
      <c r="I29" s="334"/>
      <c r="J29" s="335"/>
      <c r="K29" s="336"/>
      <c r="L29" s="310"/>
      <c r="M29" s="310"/>
      <c r="N29" s="427"/>
      <c r="O29" s="428"/>
      <c r="P29" s="429"/>
      <c r="Q29" s="432">
        <f>IF(O28="","",Q27+O28)</f>
        <v>100.5</v>
      </c>
      <c r="R29" s="432">
        <f>IF(O28="","",R27-O28)</f>
        <v>124.3</v>
      </c>
      <c r="S29" s="117"/>
      <c r="T29" s="117" t="s">
        <v>25</v>
      </c>
      <c r="U29" s="431"/>
      <c r="V29" s="356"/>
      <c r="W29" s="436">
        <f>IF(P28="","",W27+V28)</f>
        <v>0.3168576388888889</v>
      </c>
      <c r="X29" s="117" t="s">
        <v>87</v>
      </c>
      <c r="Y29" s="198"/>
      <c r="Z29" s="117"/>
      <c r="AA29" s="117"/>
      <c r="AB29" s="119"/>
      <c r="AC29" s="119"/>
      <c r="AD29" s="439" t="s">
        <v>179</v>
      </c>
    </row>
    <row r="30" spans="1:30" ht="15" customHeight="1">
      <c r="A30" s="307"/>
      <c r="B30" s="444"/>
      <c r="C30" s="125">
        <v>138.16</v>
      </c>
      <c r="D30" s="310"/>
      <c r="E30" s="310"/>
      <c r="F30" s="311"/>
      <c r="G30" s="312">
        <f>ABS(D29-D31)*60</f>
        <v>0</v>
      </c>
      <c r="H30" s="312"/>
      <c r="I30" s="334">
        <f>ABS(H29-H31)*60</f>
        <v>31.999999999999886</v>
      </c>
      <c r="J30" s="335">
        <f>ABS(F29-F31)</f>
        <v>0</v>
      </c>
      <c r="K30" s="336">
        <f>IF(AND(D29&lt;D31,H29=H31),0,IF(AND(D29&gt;D31,H29=H31),180,IF(AND(D29=D31,H29&lt;H31),90,IF(AND(D29=D31,H29&gt;H31),270,(ATAN(I30/J30)*180/PI())))))</f>
        <v>90</v>
      </c>
      <c r="L30" s="310">
        <f>IF(OR(K30=0,K30=90,K30=180,K30=270),K30,IF(AND(D29&lt;D31,H29&lt;H31),K30,IF(AND(D29&lt;D31,H29&gt;H31),360-K30,IF(AND(D29&gt;D31,H29&lt;H31),180-K30,IF(AND(D29&gt;D31,H29&gt;H31),180+K30)))))</f>
        <v>90</v>
      </c>
      <c r="M30" s="310">
        <f>(IF(I30=0,G30,IF(G30=0,COS(D31*PI()/180)*I30,G30/COS(K30*PI()/180))))</f>
        <v>26.41939874414556</v>
      </c>
      <c r="N30" s="427">
        <f>IF(C32="","",ROUND(L30,1))</f>
        <v>90</v>
      </c>
      <c r="O30" s="428">
        <f>IF(C32="","",ROUND(M30,1))</f>
        <v>26.4</v>
      </c>
      <c r="P30" s="429">
        <v>16</v>
      </c>
      <c r="Q30" s="432"/>
      <c r="R30" s="432"/>
      <c r="S30" s="122" t="s">
        <v>56</v>
      </c>
      <c r="T30" s="122" t="s">
        <v>22</v>
      </c>
      <c r="U30" s="430"/>
      <c r="V30" s="356">
        <f>(O30/P30+U30/60)/24</f>
        <v>6.8749999999999992E-2</v>
      </c>
      <c r="W30" s="436"/>
      <c r="X30" s="122" t="s">
        <v>88</v>
      </c>
      <c r="Y30" s="199" t="s">
        <v>61</v>
      </c>
      <c r="Z30" s="122" t="s">
        <v>83</v>
      </c>
      <c r="AA30" s="122">
        <v>2</v>
      </c>
      <c r="AB30" s="123" t="s">
        <v>82</v>
      </c>
      <c r="AC30" s="123" t="s">
        <v>73</v>
      </c>
      <c r="AD30" s="440"/>
    </row>
    <row r="31" spans="1:30" ht="15" customHeight="1">
      <c r="A31" s="307">
        <f>IF(B31="","",A29+1)</f>
        <v>12</v>
      </c>
      <c r="B31" s="444" t="s">
        <v>201</v>
      </c>
      <c r="C31" s="124">
        <v>34.21</v>
      </c>
      <c r="D31" s="310">
        <f>TRUNC(C31)+((C31-TRUNC(C31))/0.6)</f>
        <v>34.35</v>
      </c>
      <c r="E31" s="310">
        <f>TRUNC(C32)+((C32-TRUNC(C32))/0.6)</f>
        <v>138.79999999999998</v>
      </c>
      <c r="F31" s="311">
        <f>ROUND(((LOG10(TAN(PI()/4+(D31/2*PI()/180)))*7915.7046)-(3437.7468*((0.0816968^2*SIN(D31*PI()/180))+(0.0816968^4/3*((SIN(D31*PI()/180))^3))+(0.0816968^6/5*((SIN(D31*PI()/180))^5))))),2)</f>
        <v>2183.91</v>
      </c>
      <c r="G31" s="312"/>
      <c r="H31" s="312">
        <f>IF(E31&lt;0,E31+360,E31)</f>
        <v>138.79999999999998</v>
      </c>
      <c r="I31" s="334"/>
      <c r="J31" s="335"/>
      <c r="K31" s="336"/>
      <c r="L31" s="310"/>
      <c r="M31" s="310"/>
      <c r="N31" s="427"/>
      <c r="O31" s="428"/>
      <c r="P31" s="429"/>
      <c r="Q31" s="432">
        <f>IF(O30="","",Q29+O30)</f>
        <v>126.9</v>
      </c>
      <c r="R31" s="432">
        <f>IF(O30="","",R29-O30)</f>
        <v>97.9</v>
      </c>
      <c r="S31" s="117"/>
      <c r="T31" s="117" t="s">
        <v>25</v>
      </c>
      <c r="U31" s="431"/>
      <c r="V31" s="356"/>
      <c r="W31" s="436">
        <f>IF(P30="","",W29+V30)</f>
        <v>0.38560763888888888</v>
      </c>
      <c r="X31" s="117" t="s">
        <v>87</v>
      </c>
      <c r="Y31" s="198"/>
      <c r="Z31" s="117"/>
      <c r="AA31" s="117"/>
      <c r="AB31" s="119"/>
      <c r="AC31" s="119"/>
      <c r="AD31" s="439" t="s">
        <v>180</v>
      </c>
    </row>
    <row r="32" spans="1:30" ht="15.75" customHeight="1">
      <c r="A32" s="307"/>
      <c r="B32" s="444"/>
      <c r="C32" s="125">
        <v>138.47999999999999</v>
      </c>
      <c r="D32" s="310"/>
      <c r="E32" s="310"/>
      <c r="F32" s="311"/>
      <c r="G32" s="312">
        <f>ABS(D31-D33)*60</f>
        <v>13.000000000000114</v>
      </c>
      <c r="H32" s="312"/>
      <c r="I32" s="334">
        <f>ABS(H31-H33)*60</f>
        <v>27.000000000001023</v>
      </c>
      <c r="J32" s="335">
        <f>ABS(F31-F33)</f>
        <v>15.690000000000055</v>
      </c>
      <c r="K32" s="336">
        <f>IF(AND(D31&lt;D33,H31=H33),0,IF(AND(D31&gt;D33,H31=H33),180,IF(AND(D31=D33,H31&lt;H33),90,IF(AND(D31=D33,H31&gt;H33),270,(ATAN(I32/J32)*180/PI())))))</f>
        <v>59.838652902566302</v>
      </c>
      <c r="L32" s="310">
        <f>IF(OR(K32=0,K32=90,K32=180,K32=270),K32,IF(AND(D31&lt;D33,H31&lt;H33),K32,IF(AND(D31&lt;D33,H31&gt;H33),360-K32,IF(AND(D31&gt;D33,H31&lt;H33),180-K32,IF(AND(D31&gt;D33,H31&gt;H33),180+K32)))))</f>
        <v>59.838652902566302</v>
      </c>
      <c r="M32" s="310">
        <f>(IF(I32=0,G32,IF(G32=0,COS(D33*PI()/180)*I32,G32/COS(K32*PI()/180))))</f>
        <v>25.873902254879162</v>
      </c>
      <c r="N32" s="427">
        <f>IF(C34="","",ROUND(L32,1))</f>
        <v>59.8</v>
      </c>
      <c r="O32" s="428">
        <f>IF(C34="","",ROUND(M32,1))</f>
        <v>25.9</v>
      </c>
      <c r="P32" s="429">
        <v>16</v>
      </c>
      <c r="Q32" s="432"/>
      <c r="R32" s="432"/>
      <c r="S32" s="122" t="s">
        <v>56</v>
      </c>
      <c r="T32" s="122" t="s">
        <v>22</v>
      </c>
      <c r="U32" s="430"/>
      <c r="V32" s="356">
        <f>(O32/P32+U32/60)/24</f>
        <v>6.7447916666666663E-2</v>
      </c>
      <c r="W32" s="436"/>
      <c r="X32" s="122" t="s">
        <v>88</v>
      </c>
      <c r="Y32" s="199" t="s">
        <v>61</v>
      </c>
      <c r="Z32" s="122" t="s">
        <v>83</v>
      </c>
      <c r="AA32" s="122">
        <v>2</v>
      </c>
      <c r="AB32" s="123" t="s">
        <v>63</v>
      </c>
      <c r="AC32" s="123" t="s">
        <v>73</v>
      </c>
      <c r="AD32" s="440"/>
    </row>
    <row r="33" spans="1:30" ht="15" customHeight="1">
      <c r="A33" s="307">
        <f>IF(B33="","",A31+1)</f>
        <v>13</v>
      </c>
      <c r="B33" s="444" t="s">
        <v>178</v>
      </c>
      <c r="C33" s="124">
        <v>34.340000000000003</v>
      </c>
      <c r="D33" s="310">
        <f>TRUNC(C33)+((C33-TRUNC(C33))/0.6)</f>
        <v>34.56666666666667</v>
      </c>
      <c r="E33" s="310">
        <f>TRUNC(C34)+((C34-TRUNC(C34))/0.6)</f>
        <v>139.25</v>
      </c>
      <c r="F33" s="311">
        <f>ROUND(((LOG10(TAN(PI()/4+(D33/2*PI()/180)))*7915.7046)-(3437.7468*((0.0816968^2*SIN(D33*PI()/180))+(0.0816968^4/3*((SIN(D33*PI()/180))^3))+(0.0816968^6/5*((SIN(D33*PI()/180))^5))))),2)</f>
        <v>2199.6</v>
      </c>
      <c r="G33" s="312"/>
      <c r="H33" s="312">
        <f>IF(E33&lt;0,E33+360,E33)</f>
        <v>139.25</v>
      </c>
      <c r="I33" s="334"/>
      <c r="J33" s="335"/>
      <c r="K33" s="336"/>
      <c r="L33" s="310"/>
      <c r="M33" s="310"/>
      <c r="N33" s="427"/>
      <c r="O33" s="428"/>
      <c r="P33" s="429"/>
      <c r="Q33" s="432">
        <f>IF(O32="","",Q31+O32)</f>
        <v>152.80000000000001</v>
      </c>
      <c r="R33" s="432">
        <f>IF(O32="","",R31-O32)</f>
        <v>72</v>
      </c>
      <c r="S33" s="117"/>
      <c r="T33" s="117" t="s">
        <v>25</v>
      </c>
      <c r="U33" s="431"/>
      <c r="V33" s="356"/>
      <c r="W33" s="436">
        <f>IF(P32="","",W31+V32)</f>
        <v>0.45305555555555554</v>
      </c>
      <c r="X33" s="117" t="s">
        <v>87</v>
      </c>
      <c r="Y33" s="198"/>
      <c r="Z33" s="117"/>
      <c r="AA33" s="117"/>
      <c r="AB33" s="119"/>
      <c r="AC33" s="119"/>
      <c r="AD33" s="439" t="s">
        <v>181</v>
      </c>
    </row>
    <row r="34" spans="1:30" ht="15" customHeight="1">
      <c r="A34" s="307"/>
      <c r="B34" s="444"/>
      <c r="C34" s="125">
        <v>139.15</v>
      </c>
      <c r="D34" s="310"/>
      <c r="E34" s="310"/>
      <c r="F34" s="311"/>
      <c r="G34" s="312">
        <f>ABS(D33-D35)*60</f>
        <v>4.3999999999998352</v>
      </c>
      <c r="H34" s="312"/>
      <c r="I34" s="334">
        <f>ABS(H33-H35)*60</f>
        <v>21.000000000001364</v>
      </c>
      <c r="J34" s="335">
        <f>ABS(F33-F35)</f>
        <v>5.3200000000001637</v>
      </c>
      <c r="K34" s="336">
        <f>IF(AND(D33&lt;D35,H33=H35),0,IF(AND(D33&gt;D35,H33=H35),180,IF(AND(D33=D35,H33&lt;H35),90,IF(AND(D33=D35,H33&gt;H35),270,(ATAN(I34/J34)*180/PI())))))</f>
        <v>75.784146526326921</v>
      </c>
      <c r="L34" s="310">
        <f>IF(OR(K34=0,K34=90,K34=180,K34=270),K34,IF(AND(D33&lt;D35,H33&lt;H35),K34,IF(AND(D33&lt;D35,H33&gt;H35),360-K34,IF(AND(D33&gt;D35,H33&lt;H35),180-K34,IF(AND(D33&gt;D35,H33&gt;H35),180+K34)))))</f>
        <v>75.784146526326921</v>
      </c>
      <c r="M34" s="310">
        <f>(IF(I34=0,G34,IF(G34=0,COS(D35*PI()/180)*I34,G34/COS(K34*PI()/180))))</f>
        <v>17.917088208229945</v>
      </c>
      <c r="N34" s="427">
        <f>IF(C36="","",ROUND(L34,1))</f>
        <v>75.8</v>
      </c>
      <c r="O34" s="428">
        <f>IF(C36="","",ROUND(M34,1))</f>
        <v>17.899999999999999</v>
      </c>
      <c r="P34" s="429">
        <v>16</v>
      </c>
      <c r="Q34" s="432"/>
      <c r="R34" s="432"/>
      <c r="S34" s="122" t="s">
        <v>56</v>
      </c>
      <c r="T34" s="122" t="s">
        <v>27</v>
      </c>
      <c r="U34" s="430"/>
      <c r="V34" s="356">
        <f>(O34/P34+U34/60)/24</f>
        <v>4.6614583333333327E-2</v>
      </c>
      <c r="W34" s="436"/>
      <c r="X34" s="122" t="s">
        <v>88</v>
      </c>
      <c r="Y34" s="199" t="s">
        <v>61</v>
      </c>
      <c r="Z34" s="122" t="s">
        <v>83</v>
      </c>
      <c r="AA34" s="122">
        <v>2</v>
      </c>
      <c r="AB34" s="123" t="s">
        <v>64</v>
      </c>
      <c r="AC34" s="123" t="s">
        <v>73</v>
      </c>
      <c r="AD34" s="440"/>
    </row>
    <row r="35" spans="1:30" ht="15" customHeight="1">
      <c r="A35" s="307">
        <f>IF(B35="","",A33+1)</f>
        <v>14</v>
      </c>
      <c r="B35" s="444" t="s">
        <v>67</v>
      </c>
      <c r="C35" s="124">
        <v>34.384</v>
      </c>
      <c r="D35" s="310">
        <f>TRUNC(C35)+((C35-TRUNC(C35))/0.6)</f>
        <v>34.64</v>
      </c>
      <c r="E35" s="310">
        <f>TRUNC(C36)+((C36-TRUNC(C36))/0.6)</f>
        <v>139.60000000000002</v>
      </c>
      <c r="F35" s="311">
        <f>ROUND(((LOG10(TAN(PI()/4+(D35/2*PI()/180)))*7915.7046)-(3437.7468*((0.0816968^2*SIN(D35*PI()/180))+(0.0816968^4/3*((SIN(D35*PI()/180))^3))+(0.0816968^6/5*((SIN(D35*PI()/180))^5))))),2)</f>
        <v>2204.92</v>
      </c>
      <c r="G35" s="312"/>
      <c r="H35" s="312">
        <f>IF(E35&lt;0,E35+360,E35)</f>
        <v>139.60000000000002</v>
      </c>
      <c r="I35" s="334"/>
      <c r="J35" s="335"/>
      <c r="K35" s="336"/>
      <c r="L35" s="310"/>
      <c r="M35" s="310"/>
      <c r="N35" s="427"/>
      <c r="O35" s="428"/>
      <c r="P35" s="429"/>
      <c r="Q35" s="432">
        <f>IF(O34="","",Q33+O34)</f>
        <v>170.70000000000002</v>
      </c>
      <c r="R35" s="432">
        <f>IF(O34="","",R33-O34)</f>
        <v>54.1</v>
      </c>
      <c r="S35" s="117"/>
      <c r="T35" s="117" t="s">
        <v>25</v>
      </c>
      <c r="U35" s="431"/>
      <c r="V35" s="356"/>
      <c r="W35" s="436">
        <f>IF(P34="","",W33+V34)</f>
        <v>0.49967013888888889</v>
      </c>
      <c r="X35" s="117" t="s">
        <v>87</v>
      </c>
      <c r="Y35" s="198"/>
      <c r="Z35" s="117"/>
      <c r="AA35" s="117"/>
      <c r="AB35" s="119"/>
      <c r="AC35" s="119"/>
      <c r="AD35" s="439" t="s">
        <v>182</v>
      </c>
    </row>
    <row r="36" spans="1:30" ht="15" customHeight="1">
      <c r="A36" s="307"/>
      <c r="B36" s="444"/>
      <c r="C36" s="125">
        <v>139.36000000000001</v>
      </c>
      <c r="D36" s="310"/>
      <c r="E36" s="310"/>
      <c r="F36" s="311"/>
      <c r="G36" s="312">
        <f>ABS(D35-D37)*60</f>
        <v>20.100000000000051</v>
      </c>
      <c r="H36" s="312"/>
      <c r="I36" s="334">
        <f>ABS(H35-H37)*60</f>
        <v>5.9999999999979536</v>
      </c>
      <c r="J36" s="335">
        <f>ABS(F35-F37)</f>
        <v>24.369999999999891</v>
      </c>
      <c r="K36" s="336">
        <f>IF(AND(D35&lt;D37,H35=H37),0,IF(AND(D35&gt;D37,H35=H37),180,IF(AND(D35=D37,H35&lt;H37),90,IF(AND(D35=D37,H35&gt;H37),270,(ATAN(I36/J36)*180/PI())))))</f>
        <v>13.831379261527534</v>
      </c>
      <c r="L36" s="310">
        <f>IF(OR(K36=0,K36=90,K36=180,K36=270),K36,IF(AND(D35&lt;D37,H35&lt;H37),K36,IF(AND(D35&lt;D37,H35&gt;H37),360-K36,IF(AND(D35&gt;D37,H35&lt;H37),180-K36,IF(AND(D35&gt;D37,H35&gt;H37),180+K36)))))</f>
        <v>13.831379261527534</v>
      </c>
      <c r="M36" s="310">
        <f>(IF(I36=0,G36,IF(G36=0,COS(D37*PI()/180)*I36,G36/COS(K36*PI()/180))))</f>
        <v>20.700234423785137</v>
      </c>
      <c r="N36" s="427">
        <f>IF(C38="","",ROUND(L36,1))</f>
        <v>13.8</v>
      </c>
      <c r="O36" s="428">
        <f>IF(C38="","",ROUND(M36,1))</f>
        <v>20.7</v>
      </c>
      <c r="P36" s="429">
        <v>12</v>
      </c>
      <c r="Q36" s="432"/>
      <c r="R36" s="432"/>
      <c r="S36" s="122" t="s">
        <v>56</v>
      </c>
      <c r="T36" s="122" t="s">
        <v>27</v>
      </c>
      <c r="U36" s="430"/>
      <c r="V36" s="356">
        <f>(O36/P36+U36/60)/24</f>
        <v>7.1874999999999994E-2</v>
      </c>
      <c r="W36" s="436"/>
      <c r="X36" s="122" t="s">
        <v>88</v>
      </c>
      <c r="Y36" s="199" t="s">
        <v>61</v>
      </c>
      <c r="Z36" s="122" t="s">
        <v>83</v>
      </c>
      <c r="AA36" s="122">
        <v>2</v>
      </c>
      <c r="AB36" s="123" t="s">
        <v>64</v>
      </c>
      <c r="AC36" s="123" t="s">
        <v>83</v>
      </c>
      <c r="AD36" s="440"/>
    </row>
    <row r="37" spans="1:30" ht="15" customHeight="1">
      <c r="A37" s="307">
        <f>IF(B37="","",A35+1)</f>
        <v>15</v>
      </c>
      <c r="B37" s="400" t="s">
        <v>78</v>
      </c>
      <c r="C37" s="124">
        <v>34.585000000000001</v>
      </c>
      <c r="D37" s="310">
        <f>TRUNC(C37)+((C37-TRUNC(C37))/0.6)</f>
        <v>34.975000000000001</v>
      </c>
      <c r="E37" s="310">
        <f>TRUNC(C38)+((C38-TRUNC(C38))/0.6)</f>
        <v>139.69999999999999</v>
      </c>
      <c r="F37" s="311">
        <f>ROUND(((LOG10(TAN(PI()/4+(D37/2*PI()/180)))*7915.7046)-(3437.7468*((0.0816968^2*SIN(D37*PI()/180))+(0.0816968^4/3*((SIN(D37*PI()/180))^3))+(0.0816968^6/5*((SIN(D37*PI()/180))^5))))),2)</f>
        <v>2229.29</v>
      </c>
      <c r="G37" s="312"/>
      <c r="H37" s="312">
        <f>IF(E37&lt;0,E37+360,E37)</f>
        <v>139.69999999999999</v>
      </c>
      <c r="I37" s="334"/>
      <c r="J37" s="335"/>
      <c r="K37" s="336"/>
      <c r="L37" s="310"/>
      <c r="M37" s="310"/>
      <c r="N37" s="427"/>
      <c r="O37" s="428"/>
      <c r="P37" s="429"/>
      <c r="Q37" s="432">
        <f>IF(O36="","",Q35+O36)</f>
        <v>191.4</v>
      </c>
      <c r="R37" s="432">
        <f>IF(O36="","",R35-O36)</f>
        <v>33.400000000000006</v>
      </c>
      <c r="S37" s="117"/>
      <c r="T37" s="117" t="s">
        <v>26</v>
      </c>
      <c r="U37" s="431"/>
      <c r="V37" s="356"/>
      <c r="W37" s="436">
        <f>IF(P36="","",W35+V36)</f>
        <v>0.57154513888888892</v>
      </c>
      <c r="X37" s="117" t="s">
        <v>87</v>
      </c>
      <c r="Y37" s="198"/>
      <c r="Z37" s="117"/>
      <c r="AA37" s="117"/>
      <c r="AB37" s="119"/>
      <c r="AC37" s="119"/>
      <c r="AD37" s="439" t="s">
        <v>184</v>
      </c>
    </row>
    <row r="38" spans="1:30" ht="15" customHeight="1">
      <c r="A38" s="307"/>
      <c r="B38" s="401"/>
      <c r="C38" s="125">
        <v>139.41999999999999</v>
      </c>
      <c r="D38" s="310"/>
      <c r="E38" s="310"/>
      <c r="F38" s="311"/>
      <c r="G38" s="312">
        <f>ABS(D37-D39)*60</f>
        <v>6.799999999999784</v>
      </c>
      <c r="H38" s="312"/>
      <c r="I38" s="334">
        <f>ABS(H37-H39)*60</f>
        <v>3.3000000000004093</v>
      </c>
      <c r="J38" s="335">
        <f>ABS(F37-F39)</f>
        <v>8.2699999999999818</v>
      </c>
      <c r="K38" s="336">
        <f>IF(AND(D37&lt;D39,H37=H39),0,IF(AND(D37&gt;D39,H37=H39),180,IF(AND(D37=D39,H37&lt;H39),90,IF(AND(D37=D39,H37&gt;H39),270,(ATAN(I38/J38)*180/PI())))))</f>
        <v>21.75361322673178</v>
      </c>
      <c r="L38" s="310">
        <f>IF(OR(K38=0,K38=90,K38=180,K38=270),K38,IF(AND(D37&lt;D39,H37&lt;H39),K38,IF(AND(D37&lt;D39,H37&gt;H39),360-K38,IF(AND(D37&gt;D39,H37&lt;H39),180-K38,IF(AND(D37&gt;D39,H37&gt;H39),180+K38)))))</f>
        <v>21.75361322673178</v>
      </c>
      <c r="M38" s="310">
        <f>(IF(I38=0,G38,IF(G38=0,COS(D39*PI()/180)*I38,G38/COS(K38*PI()/180))))</f>
        <v>7.321383679978462</v>
      </c>
      <c r="N38" s="427">
        <f>IF(C40="","",ROUND(L38,1))</f>
        <v>21.8</v>
      </c>
      <c r="O38" s="428">
        <f>IF(C40="","",ROUND(M38,1))</f>
        <v>7.3</v>
      </c>
      <c r="P38" s="429">
        <v>12</v>
      </c>
      <c r="Q38" s="432"/>
      <c r="R38" s="432"/>
      <c r="S38" s="122" t="s">
        <v>56</v>
      </c>
      <c r="T38" s="122" t="s">
        <v>29</v>
      </c>
      <c r="U38" s="430"/>
      <c r="V38" s="356">
        <f>(O38/P38+U38/60)/24</f>
        <v>2.5347222222222219E-2</v>
      </c>
      <c r="W38" s="436"/>
      <c r="X38" s="122" t="s">
        <v>88</v>
      </c>
      <c r="Y38" s="199" t="s">
        <v>89</v>
      </c>
      <c r="Z38" s="122" t="s">
        <v>32</v>
      </c>
      <c r="AA38" s="122">
        <v>3</v>
      </c>
      <c r="AB38" s="123" t="s">
        <v>64</v>
      </c>
      <c r="AC38" s="123" t="s">
        <v>83</v>
      </c>
      <c r="AD38" s="440"/>
    </row>
    <row r="39" spans="1:30" ht="15" customHeight="1">
      <c r="A39" s="307">
        <f>IF(B39="","",A37+1)</f>
        <v>16</v>
      </c>
      <c r="B39" s="400" t="s">
        <v>207</v>
      </c>
      <c r="C39" s="124">
        <v>35.052999999999997</v>
      </c>
      <c r="D39" s="310">
        <f>TRUNC(C39)+((C39-TRUNC(C39))/0.6)</f>
        <v>35.088333333333331</v>
      </c>
      <c r="E39" s="310">
        <f>TRUNC(C40)+((C40-TRUNC(C40))/0.6)</f>
        <v>139.755</v>
      </c>
      <c r="F39" s="311">
        <f>ROUND(((LOG10(TAN(PI()/4+(D39/2*PI()/180)))*7915.7046)-(3437.7468*((0.0816968^2*SIN(D39*PI()/180))+(0.0816968^4/3*((SIN(D39*PI()/180))^3))+(0.0816968^6/5*((SIN(D39*PI()/180))^5))))),2)</f>
        <v>2237.56</v>
      </c>
      <c r="G39" s="312"/>
      <c r="H39" s="312">
        <f>IF(E39&lt;0,E39+360,E39)</f>
        <v>139.755</v>
      </c>
      <c r="I39" s="334"/>
      <c r="J39" s="335"/>
      <c r="K39" s="336"/>
      <c r="L39" s="310"/>
      <c r="M39" s="310"/>
      <c r="N39" s="427"/>
      <c r="O39" s="428"/>
      <c r="P39" s="429"/>
      <c r="Q39" s="432">
        <f>IF(O38="","",Q37+O38)</f>
        <v>198.70000000000002</v>
      </c>
      <c r="R39" s="432">
        <f>IF(O38="","",R37-O38)</f>
        <v>26.100000000000005</v>
      </c>
      <c r="S39" s="117"/>
      <c r="T39" s="117" t="s">
        <v>26</v>
      </c>
      <c r="U39" s="431"/>
      <c r="V39" s="356"/>
      <c r="W39" s="436">
        <f>IF(P38="","",W37+V38)</f>
        <v>0.5968923611111111</v>
      </c>
      <c r="X39" s="117" t="s">
        <v>87</v>
      </c>
      <c r="Y39" s="198"/>
      <c r="Z39" s="117"/>
      <c r="AA39" s="117"/>
      <c r="AB39" s="119"/>
      <c r="AC39" s="119"/>
      <c r="AD39" s="447" t="s">
        <v>84</v>
      </c>
    </row>
    <row r="40" spans="1:30" ht="15" customHeight="1">
      <c r="A40" s="307"/>
      <c r="B40" s="401"/>
      <c r="C40" s="125">
        <v>139.453</v>
      </c>
      <c r="D40" s="310"/>
      <c r="E40" s="310"/>
      <c r="F40" s="311"/>
      <c r="G40" s="312">
        <f>ABS(D39-D41)*60</f>
        <v>5.1999999999999602</v>
      </c>
      <c r="H40" s="312"/>
      <c r="I40" s="334">
        <f>ABS(H39-H41)*60</f>
        <v>1.4000000000021373</v>
      </c>
      <c r="J40" s="335">
        <f>ABS(F39-F41)</f>
        <v>6.3299999999999272</v>
      </c>
      <c r="K40" s="336">
        <f>IF(AND(D39&lt;D41,H39=H41),0,IF(AND(D39&gt;D41,H39=H41),180,IF(AND(D39=D41,H39&lt;H41),90,IF(AND(D39=D41,H39&gt;H41),270,(ATAN(I40/J40)*180/PI())))))</f>
        <v>12.47129146998599</v>
      </c>
      <c r="L40" s="310">
        <f>IF(OR(K40=0,K40=90,K40=180,K40=270),K40,IF(AND(D39&lt;D41,H39&lt;H41),K40,IF(AND(D39&lt;D41,H39&gt;H41),360-K40,IF(AND(D39&gt;D41,H39&lt;H41),180-K40,IF(AND(D39&gt;D41,H39&gt;H41),180+K40)))))</f>
        <v>12.47129146998599</v>
      </c>
      <c r="M40" s="310">
        <f>(IF(I40=0,G40,IF(G40=0,COS(D41*PI()/180)*I40,G40/COS(K40*PI()/180))))</f>
        <v>5.3256625579178829</v>
      </c>
      <c r="N40" s="427">
        <f>IF(C42="","",ROUND(L40,1))</f>
        <v>12.5</v>
      </c>
      <c r="O40" s="428">
        <f>IF(C42="","",ROUND(M40,1))</f>
        <v>5.3</v>
      </c>
      <c r="P40" s="429">
        <v>12</v>
      </c>
      <c r="Q40" s="432"/>
      <c r="R40" s="432"/>
      <c r="S40" s="122" t="s">
        <v>56</v>
      </c>
      <c r="T40" s="122" t="s">
        <v>29</v>
      </c>
      <c r="U40" s="430"/>
      <c r="V40" s="356">
        <f>(O40/P40+U40/60)/24</f>
        <v>1.8402777777777778E-2</v>
      </c>
      <c r="W40" s="436"/>
      <c r="X40" s="122" t="s">
        <v>88</v>
      </c>
      <c r="Y40" s="199" t="s">
        <v>89</v>
      </c>
      <c r="Z40" s="122" t="s">
        <v>32</v>
      </c>
      <c r="AA40" s="122">
        <v>3</v>
      </c>
      <c r="AB40" s="123" t="s">
        <v>64</v>
      </c>
      <c r="AC40" s="123" t="s">
        <v>83</v>
      </c>
      <c r="AD40" s="448"/>
    </row>
    <row r="41" spans="1:30" ht="15" customHeight="1">
      <c r="A41" s="307">
        <f>IF(B41="","",A39+1)</f>
        <v>17</v>
      </c>
      <c r="B41" s="451" t="s">
        <v>151</v>
      </c>
      <c r="C41" s="124">
        <v>35.104999999999997</v>
      </c>
      <c r="D41" s="310">
        <f>TRUNC(C41)+((C41-TRUNC(C41))/0.6)</f>
        <v>35.174999999999997</v>
      </c>
      <c r="E41" s="310">
        <f>TRUNC(C42)+((C42-TRUNC(C42))/0.6)</f>
        <v>139.77833333333336</v>
      </c>
      <c r="F41" s="311">
        <f>ROUND(((LOG10(TAN(PI()/4+(D41/2*PI()/180)))*7915.7046)-(3437.7468*((0.0816968^2*SIN(D41*PI()/180))+(0.0816968^4/3*((SIN(D41*PI()/180))^3))+(0.0816968^6/5*((SIN(D41*PI()/180))^5))))),2)</f>
        <v>2243.89</v>
      </c>
      <c r="G41" s="312"/>
      <c r="H41" s="312">
        <f>IF(E41&lt;0,E41+360,E41)</f>
        <v>139.77833333333336</v>
      </c>
      <c r="I41" s="334"/>
      <c r="J41" s="335"/>
      <c r="K41" s="336"/>
      <c r="L41" s="310"/>
      <c r="M41" s="310"/>
      <c r="N41" s="427"/>
      <c r="O41" s="428"/>
      <c r="P41" s="429"/>
      <c r="Q41" s="446">
        <f>IF(O40="","",Q39+O40)</f>
        <v>204.00000000000003</v>
      </c>
      <c r="R41" s="446">
        <f>IF(O40="","",R39-O40)</f>
        <v>20.800000000000004</v>
      </c>
      <c r="S41" s="117"/>
      <c r="T41" s="117" t="s">
        <v>25</v>
      </c>
      <c r="U41" s="431"/>
      <c r="V41" s="356"/>
      <c r="W41" s="436">
        <f>IF(P40="","",W39+V40)</f>
        <v>0.61529513888888887</v>
      </c>
      <c r="X41" s="117" t="s">
        <v>87</v>
      </c>
      <c r="Y41" s="198"/>
      <c r="Z41" s="117"/>
      <c r="AA41" s="117"/>
      <c r="AB41" s="119" t="s">
        <v>65</v>
      </c>
      <c r="AC41" s="119"/>
      <c r="AD41" s="443" t="s">
        <v>186</v>
      </c>
    </row>
    <row r="42" spans="1:30" ht="15" customHeight="1">
      <c r="A42" s="307"/>
      <c r="B42" s="452"/>
      <c r="C42" s="125">
        <v>139.46700000000001</v>
      </c>
      <c r="D42" s="310"/>
      <c r="E42" s="310"/>
      <c r="F42" s="311"/>
      <c r="G42" s="312">
        <f>ABS(D41-D43)*60</f>
        <v>2.2000000000005571</v>
      </c>
      <c r="H42" s="312"/>
      <c r="I42" s="334">
        <f>ABS(H41-H43)*60</f>
        <v>0.1999999999981128</v>
      </c>
      <c r="J42" s="335">
        <f>ABS(F41-F43)</f>
        <v>2.680000000000291</v>
      </c>
      <c r="K42" s="336">
        <f>IF(AND(D41&lt;D43,H41=H43),0,IF(AND(D41&gt;D43,H41=H43),180,IF(AND(D41=D43,H41&lt;H43),90,IF(AND(D41=D43,H41&gt;H43),270,(ATAN(I42/J42)*180/PI())))))</f>
        <v>4.2678933002502264</v>
      </c>
      <c r="L42" s="310">
        <f>IF(OR(K42=0,K42=90,K42=180,K42=270),K42,IF(AND(D41&lt;D43,H41&lt;H43),K42,IF(AND(D41&lt;D43,H41&gt;H43),360-K42,IF(AND(D41&gt;D43,H41&lt;H43),180-K42,IF(AND(D41&gt;D43,H41&gt;H43),180+K42)))))</f>
        <v>4.2678933002502264</v>
      </c>
      <c r="M42" s="310">
        <f>(IF(I42=0,G42,IF(G42=0,COS(D43*PI()/180)*I42,G42/COS(K42*PI()/180))))</f>
        <v>2.2061175803544608</v>
      </c>
      <c r="N42" s="427">
        <f>IF(C44="","",ROUND(L42,1))</f>
        <v>4.3</v>
      </c>
      <c r="O42" s="428">
        <f>IF(C44="","",ROUND(M42,1))</f>
        <v>2.2000000000000002</v>
      </c>
      <c r="P42" s="429">
        <v>12</v>
      </c>
      <c r="Q42" s="446"/>
      <c r="R42" s="446"/>
      <c r="S42" s="122" t="s">
        <v>56</v>
      </c>
      <c r="T42" s="122" t="s">
        <v>27</v>
      </c>
      <c r="U42" s="430"/>
      <c r="V42" s="356">
        <f>(O42/P42+U42/60)/24</f>
        <v>7.6388888888888895E-3</v>
      </c>
      <c r="W42" s="436"/>
      <c r="X42" s="122" t="s">
        <v>88</v>
      </c>
      <c r="Y42" s="199" t="s">
        <v>89</v>
      </c>
      <c r="Z42" s="122" t="s">
        <v>32</v>
      </c>
      <c r="AA42" s="122">
        <v>3</v>
      </c>
      <c r="AB42" s="123" t="s">
        <v>86</v>
      </c>
      <c r="AC42" s="123" t="s">
        <v>83</v>
      </c>
      <c r="AD42" s="443"/>
    </row>
    <row r="43" spans="1:30" ht="15" customHeight="1">
      <c r="A43" s="307">
        <f t="shared" ref="A43" si="0">IF(B43="","",A41+1)</f>
        <v>18</v>
      </c>
      <c r="B43" s="400" t="s">
        <v>183</v>
      </c>
      <c r="C43" s="124">
        <v>35.127000000000002</v>
      </c>
      <c r="D43" s="310">
        <f>TRUNC(C43)+((C43-TRUNC(C43))/0.6)</f>
        <v>35.211666666666673</v>
      </c>
      <c r="E43" s="310">
        <f>TRUNC(C44)+((C44-TRUNC(C44))/0.6)</f>
        <v>139.78166666666667</v>
      </c>
      <c r="F43" s="311">
        <f>ROUND(((LOG10(TAN(PI()/4+(D43/2*PI()/180)))*7915.7046)-(3437.7468*((0.0816968^2*SIN(D43*PI()/180))+(0.0816968^4/3*((SIN(D43*PI()/180))^3))+(0.0816968^6/5*((SIN(D43*PI()/180))^5))))),2)</f>
        <v>2246.5700000000002</v>
      </c>
      <c r="G43" s="312"/>
      <c r="H43" s="312">
        <f>IF(E43&lt;0,E43+360,E43)</f>
        <v>139.78166666666667</v>
      </c>
      <c r="I43" s="334"/>
      <c r="J43" s="335"/>
      <c r="K43" s="336"/>
      <c r="L43" s="310"/>
      <c r="M43" s="310"/>
      <c r="N43" s="427"/>
      <c r="O43" s="428"/>
      <c r="P43" s="429"/>
      <c r="Q43" s="432">
        <f>IF(O42="","",Q41+O42)</f>
        <v>206.20000000000002</v>
      </c>
      <c r="R43" s="432">
        <f>IF(O42="","",R41-O42)</f>
        <v>18.600000000000005</v>
      </c>
      <c r="S43" s="117"/>
      <c r="T43" s="117" t="s">
        <v>25</v>
      </c>
      <c r="U43" s="431"/>
      <c r="V43" s="356"/>
      <c r="W43" s="436">
        <f>IF(P42="","",W41+V42)</f>
        <v>0.62293402777777773</v>
      </c>
      <c r="X43" s="117" t="s">
        <v>87</v>
      </c>
      <c r="Y43" s="198"/>
      <c r="Z43" s="117"/>
      <c r="AA43" s="117"/>
      <c r="AB43" s="119" t="s">
        <v>65</v>
      </c>
      <c r="AC43" s="119"/>
      <c r="AD43" s="443" t="s">
        <v>187</v>
      </c>
    </row>
    <row r="44" spans="1:30" ht="15" customHeight="1">
      <c r="A44" s="307"/>
      <c r="B44" s="401"/>
      <c r="C44" s="125">
        <v>139.46899999999999</v>
      </c>
      <c r="D44" s="310"/>
      <c r="E44" s="310"/>
      <c r="F44" s="311"/>
      <c r="G44" s="312">
        <f>ABS(D43-D45)*60</f>
        <v>2.6599999999992008</v>
      </c>
      <c r="H44" s="312"/>
      <c r="I44" s="334">
        <f>ABS(H43-H45)*60</f>
        <v>0</v>
      </c>
      <c r="J44" s="335">
        <f>ABS(F43-F45)</f>
        <v>3.2399999999997817</v>
      </c>
      <c r="K44" s="336">
        <f>IF(AND(D43&lt;D45,H43=H45),0,IF(AND(D43&gt;D45,H43=H45),180,IF(AND(D43=D45,H43&lt;H45),90,IF(AND(D43=D45,H43&gt;H45),270,(ATAN(I44/J44)*180/PI())))))</f>
        <v>0</v>
      </c>
      <c r="L44" s="310">
        <f>IF(OR(K44=0,K44=90,K44=180,K44=270),K44,IF(AND(D43&lt;D45,H43&lt;H45),K44,IF(AND(D43&lt;D45,H43&gt;H45),360-K44,IF(AND(D43&gt;D45,H43&lt;H45),180-K44,IF(AND(D43&gt;D45,H43&gt;H45),180+K44)))))</f>
        <v>0</v>
      </c>
      <c r="M44" s="310">
        <f>(IF(I44=0,G44,IF(G44=0,COS(D45*PI()/180)*I44,G44/COS(K44*PI()/180))))</f>
        <v>2.6599999999992008</v>
      </c>
      <c r="N44" s="427">
        <f>IF(C46="","",ROUND(L44,1))</f>
        <v>0</v>
      </c>
      <c r="O44" s="428">
        <f>IF(C46="","",ROUND(M44,1))</f>
        <v>2.7</v>
      </c>
      <c r="P44" s="429">
        <v>12</v>
      </c>
      <c r="Q44" s="432"/>
      <c r="R44" s="432"/>
      <c r="S44" s="122" t="s">
        <v>56</v>
      </c>
      <c r="T44" s="122" t="s">
        <v>22</v>
      </c>
      <c r="U44" s="430"/>
      <c r="V44" s="356">
        <f>(O44/P44+U44/60)/24</f>
        <v>9.3749999999999997E-3</v>
      </c>
      <c r="W44" s="436"/>
      <c r="X44" s="122" t="s">
        <v>88</v>
      </c>
      <c r="Y44" s="199" t="s">
        <v>89</v>
      </c>
      <c r="Z44" s="122" t="s">
        <v>32</v>
      </c>
      <c r="AA44" s="122">
        <v>3</v>
      </c>
      <c r="AB44" s="123" t="s">
        <v>86</v>
      </c>
      <c r="AC44" s="123" t="s">
        <v>83</v>
      </c>
      <c r="AD44" s="443"/>
    </row>
    <row r="45" spans="1:30" ht="15" customHeight="1">
      <c r="A45" s="307">
        <f t="shared" ref="A45" si="1">IF(B45="","",A43+1)</f>
        <v>19</v>
      </c>
      <c r="B45" s="444" t="s">
        <v>185</v>
      </c>
      <c r="C45" s="124">
        <v>35.153599999999997</v>
      </c>
      <c r="D45" s="310">
        <f>TRUNC(C45)+((C45-TRUNC(C45))/0.6)</f>
        <v>35.255999999999993</v>
      </c>
      <c r="E45" s="310">
        <f>TRUNC(C46)+((C46-TRUNC(C46))/0.6)</f>
        <v>139.78166666666667</v>
      </c>
      <c r="F45" s="311">
        <f>ROUND(((LOG10(TAN(PI()/4+(D45/2*PI()/180)))*7915.7046)-(3437.7468*((0.0816968^2*SIN(D45*PI()/180))+(0.0816968^4/3*((SIN(D45*PI()/180))^3))+(0.0816968^6/5*((SIN(D45*PI()/180))^5))))),2)</f>
        <v>2249.81</v>
      </c>
      <c r="G45" s="312"/>
      <c r="H45" s="312">
        <f>IF(E45&lt;0,E45+360,E45)</f>
        <v>139.78166666666667</v>
      </c>
      <c r="I45" s="334"/>
      <c r="J45" s="335"/>
      <c r="K45" s="336"/>
      <c r="L45" s="310"/>
      <c r="M45" s="310"/>
      <c r="N45" s="427"/>
      <c r="O45" s="428"/>
      <c r="P45" s="429"/>
      <c r="Q45" s="432">
        <f>IF(O44="","",Q43+O44)</f>
        <v>208.9</v>
      </c>
      <c r="R45" s="432">
        <f>IF(O44="","",R43-O44)</f>
        <v>15.900000000000006</v>
      </c>
      <c r="S45" s="117"/>
      <c r="T45" s="117" t="s">
        <v>25</v>
      </c>
      <c r="U45" s="431"/>
      <c r="V45" s="356"/>
      <c r="W45" s="436">
        <f>IF(P44="","",W43+V44)</f>
        <v>0.63230902777777775</v>
      </c>
      <c r="X45" s="117" t="s">
        <v>87</v>
      </c>
      <c r="Y45" s="198"/>
      <c r="Z45" s="117"/>
      <c r="AA45" s="117"/>
      <c r="AB45" s="119" t="s">
        <v>65</v>
      </c>
      <c r="AC45" s="119"/>
      <c r="AD45" s="454" t="s">
        <v>71</v>
      </c>
    </row>
    <row r="46" spans="1:30" ht="15" customHeight="1">
      <c r="A46" s="307"/>
      <c r="B46" s="444"/>
      <c r="C46" s="125">
        <v>139.46899999999999</v>
      </c>
      <c r="D46" s="310"/>
      <c r="E46" s="310"/>
      <c r="F46" s="311"/>
      <c r="G46" s="312">
        <f>ABS(D45-D47)*60</f>
        <v>3.3400000000000318</v>
      </c>
      <c r="H46" s="312"/>
      <c r="I46" s="334">
        <f>ABS(H45-H47)*60</f>
        <v>2.9000000000007731</v>
      </c>
      <c r="J46" s="335">
        <f>ABS(F45-F47)</f>
        <v>4.0799999999999272</v>
      </c>
      <c r="K46" s="336">
        <f>IF(AND(D45&lt;D47,H45=H47),0,IF(AND(D45&gt;D47,H45=H47),180,IF(AND(D45=D47,H45&lt;H47),90,IF(AND(D45=D47,H45&gt;H47),270,(ATAN(I46/J46)*180/PI())))))</f>
        <v>35.404617697904982</v>
      </c>
      <c r="L46" s="310">
        <f>IF(OR(K46=0,K46=90,K46=180,K46=270),K46,IF(AND(D45&lt;D47,H45&lt;H47),K46,IF(AND(D45&lt;D47,H45&gt;H47),360-K46,IF(AND(D45&gt;D47,H45&lt;H47),180-K46,IF(AND(D45&gt;D47,H45&gt;H47),180+K46)))))</f>
        <v>324.595382302095</v>
      </c>
      <c r="M46" s="310">
        <f>(IF(I46=0,G46,IF(G46=0,COS(D47*PI()/180)*I46,G46/COS(K46*PI()/180))))</f>
        <v>4.0977517126379448</v>
      </c>
      <c r="N46" s="427">
        <f>IF(C48="","",ROUND(L46,1))</f>
        <v>324.60000000000002</v>
      </c>
      <c r="O46" s="428">
        <f>IF(C48="","",ROUND(M46,1))</f>
        <v>4.0999999999999996</v>
      </c>
      <c r="P46" s="429">
        <v>12</v>
      </c>
      <c r="Q46" s="432"/>
      <c r="R46" s="432"/>
      <c r="S46" s="122">
        <v>17</v>
      </c>
      <c r="T46" s="122" t="s">
        <v>23</v>
      </c>
      <c r="U46" s="430"/>
      <c r="V46" s="356">
        <f>(O46/P46+U46/60)/24</f>
        <v>1.4236111111111109E-2</v>
      </c>
      <c r="W46" s="436"/>
      <c r="X46" s="122" t="s">
        <v>88</v>
      </c>
      <c r="Y46" s="199" t="s">
        <v>89</v>
      </c>
      <c r="Z46" s="122" t="s">
        <v>32</v>
      </c>
      <c r="AA46" s="122">
        <v>3</v>
      </c>
      <c r="AB46" s="123" t="s">
        <v>86</v>
      </c>
      <c r="AC46" s="123" t="s">
        <v>83</v>
      </c>
      <c r="AD46" s="455"/>
    </row>
    <row r="47" spans="1:30" ht="15" customHeight="1">
      <c r="A47" s="307">
        <f t="shared" ref="A47" si="2">IF(B47="","",A45+1)</f>
        <v>20</v>
      </c>
      <c r="B47" s="400" t="s">
        <v>79</v>
      </c>
      <c r="C47" s="124">
        <v>35.186999999999998</v>
      </c>
      <c r="D47" s="310">
        <f>TRUNC(C47)+((C47-TRUNC(C47))/0.6)</f>
        <v>35.31166666666666</v>
      </c>
      <c r="E47" s="310">
        <f>TRUNC(C48)+((C48-TRUNC(C48))/0.6)</f>
        <v>139.73333333333332</v>
      </c>
      <c r="F47" s="311">
        <f>ROUND(((LOG10(TAN(PI()/4+(D47/2*PI()/180)))*7915.7046)-(3437.7468*((0.0816968^2*SIN(D47*PI()/180))+(0.0816968^4/3*((SIN(D47*PI()/180))^3))+(0.0816968^6/5*((SIN(D47*PI()/180))^5))))),2)</f>
        <v>2253.89</v>
      </c>
      <c r="G47" s="312"/>
      <c r="H47" s="312">
        <f>IF(E47&lt;0,E47+360,E47)</f>
        <v>139.73333333333332</v>
      </c>
      <c r="I47" s="334"/>
      <c r="J47" s="335"/>
      <c r="K47" s="336"/>
      <c r="L47" s="310"/>
      <c r="M47" s="310"/>
      <c r="N47" s="427"/>
      <c r="O47" s="428"/>
      <c r="P47" s="429"/>
      <c r="Q47" s="432">
        <f>IF(O46="","",Q45+O46)</f>
        <v>213</v>
      </c>
      <c r="R47" s="432">
        <f>IF(O46="","",R45-O46)</f>
        <v>11.800000000000006</v>
      </c>
      <c r="S47" s="117"/>
      <c r="T47" s="117"/>
      <c r="U47" s="431"/>
      <c r="V47" s="356"/>
      <c r="W47" s="436">
        <f>IF(P46="","",W45+V46)</f>
        <v>0.64654513888888887</v>
      </c>
      <c r="X47" s="117" t="s">
        <v>87</v>
      </c>
      <c r="Y47" s="198"/>
      <c r="Z47" s="117"/>
      <c r="AA47" s="117"/>
      <c r="AB47" s="119"/>
      <c r="AC47" s="202"/>
      <c r="AD47" s="455"/>
    </row>
    <row r="48" spans="1:30" ht="15" customHeight="1">
      <c r="A48" s="307"/>
      <c r="B48" s="401"/>
      <c r="C48" s="125">
        <v>139.44</v>
      </c>
      <c r="D48" s="310"/>
      <c r="E48" s="310"/>
      <c r="F48" s="311"/>
      <c r="G48" s="128"/>
      <c r="H48" s="312"/>
      <c r="I48" s="128"/>
      <c r="J48" s="128"/>
      <c r="K48" s="128"/>
      <c r="L48" s="128"/>
      <c r="M48" s="128"/>
      <c r="N48" s="197"/>
      <c r="O48" s="116"/>
      <c r="P48" s="116"/>
      <c r="Q48" s="432"/>
      <c r="R48" s="432"/>
      <c r="S48" s="122" t="s">
        <v>56</v>
      </c>
      <c r="T48" s="122"/>
      <c r="U48" s="129"/>
      <c r="V48" s="118"/>
      <c r="W48" s="436"/>
      <c r="X48" s="122" t="s">
        <v>88</v>
      </c>
      <c r="Y48" s="199" t="s">
        <v>89</v>
      </c>
      <c r="Z48" s="122" t="s">
        <v>32</v>
      </c>
      <c r="AA48" s="122">
        <v>3</v>
      </c>
      <c r="AB48" s="123" t="s">
        <v>86</v>
      </c>
      <c r="AC48" s="203" t="s">
        <v>83</v>
      </c>
      <c r="AD48" s="456"/>
    </row>
    <row r="49" spans="1:30" s="94" customFormat="1" ht="0.75" hidden="1" customHeight="1">
      <c r="A49" s="130" t="s">
        <v>8</v>
      </c>
      <c r="B49" s="387" t="s">
        <v>62</v>
      </c>
      <c r="C49" s="131">
        <v>35.03</v>
      </c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3" t="s">
        <v>9</v>
      </c>
      <c r="Q49" s="134">
        <f>Q1</f>
        <v>0</v>
      </c>
      <c r="R49" s="135"/>
      <c r="S49" s="135"/>
      <c r="T49" s="133">
        <f>T1</f>
        <v>0</v>
      </c>
      <c r="U49" s="136"/>
      <c r="V49" s="132"/>
      <c r="W49" s="137"/>
      <c r="X49" s="132"/>
      <c r="Y49" s="132"/>
      <c r="Z49" s="132"/>
      <c r="AA49" s="132"/>
      <c r="AB49" s="132"/>
      <c r="AC49" s="138"/>
      <c r="AD49" s="139"/>
    </row>
    <row r="50" spans="1:30" s="94" customFormat="1" ht="13.5" hidden="1" customHeight="1">
      <c r="B50" s="388"/>
      <c r="C50" s="140">
        <v>136.51</v>
      </c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2"/>
      <c r="O50" s="142"/>
      <c r="P50" s="143" t="s">
        <v>10</v>
      </c>
      <c r="Q50" s="144">
        <f>Q2</f>
        <v>0</v>
      </c>
      <c r="R50" s="145"/>
      <c r="S50" s="146"/>
      <c r="T50" s="133">
        <f>T2</f>
        <v>0</v>
      </c>
      <c r="U50" s="147"/>
      <c r="V50" s="148"/>
      <c r="W50" s="149"/>
      <c r="X50" s="150"/>
      <c r="Y50" s="150"/>
      <c r="Z50" s="150"/>
      <c r="AA50" s="150"/>
      <c r="AB50" s="150"/>
      <c r="AC50" s="150"/>
      <c r="AD50" s="142"/>
    </row>
    <row r="51" spans="1:30" s="94" customFormat="1" ht="49.5" hidden="1" customHeight="1">
      <c r="A51" s="151" t="str">
        <f>A3</f>
        <v>DATE :17  AUG. 2021</v>
      </c>
      <c r="B51" s="151"/>
      <c r="C51" s="15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52"/>
      <c r="O51" s="153"/>
      <c r="P51" s="153"/>
      <c r="Q51" s="154"/>
      <c r="R51" s="154"/>
      <c r="S51" s="132"/>
      <c r="T51" s="132"/>
      <c r="U51" s="136"/>
      <c r="V51" s="155"/>
      <c r="W51" s="137"/>
      <c r="X51" s="132"/>
      <c r="Y51" s="132"/>
      <c r="Z51" s="132"/>
      <c r="AA51" s="132"/>
      <c r="AB51" s="132"/>
      <c r="AC51" s="132"/>
      <c r="AD51" s="94" t="str">
        <f>AD3</f>
        <v>AVE.SPD.16.0 KTS</v>
      </c>
    </row>
    <row r="52" spans="1:30" s="94" customFormat="1" ht="48" customHeight="1">
      <c r="A52" s="453" t="s">
        <v>51</v>
      </c>
      <c r="B52" s="453"/>
      <c r="C52" s="453"/>
      <c r="D52" s="453"/>
      <c r="E52" s="453"/>
      <c r="F52" s="453"/>
      <c r="G52" s="453"/>
      <c r="H52" s="453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Y52" s="453"/>
      <c r="Z52" s="453"/>
      <c r="AA52" s="453"/>
      <c r="AB52" s="453"/>
      <c r="AC52" s="453"/>
      <c r="AD52" s="453"/>
    </row>
    <row r="53" spans="1:30" ht="26.25" customHeight="1">
      <c r="A53" s="453"/>
      <c r="B53" s="453"/>
      <c r="C53" s="453"/>
      <c r="D53" s="453"/>
      <c r="E53" s="453"/>
      <c r="F53" s="453"/>
      <c r="G53" s="453"/>
      <c r="H53" s="453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Y53" s="453"/>
      <c r="Z53" s="453"/>
      <c r="AA53" s="453"/>
      <c r="AB53" s="453"/>
      <c r="AC53" s="453"/>
      <c r="AD53" s="453"/>
    </row>
    <row r="54" spans="1:30" ht="14.1" customHeight="1">
      <c r="A54" s="410" t="s">
        <v>11</v>
      </c>
      <c r="B54" s="413" t="s">
        <v>12</v>
      </c>
      <c r="C54" s="414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419" t="s">
        <v>4</v>
      </c>
      <c r="O54" s="420" t="s">
        <v>5</v>
      </c>
      <c r="P54" s="420" t="s">
        <v>13</v>
      </c>
      <c r="Q54" s="402" t="s">
        <v>14</v>
      </c>
      <c r="R54" s="402" t="s">
        <v>6</v>
      </c>
      <c r="S54" s="179" t="s">
        <v>52</v>
      </c>
      <c r="T54" s="183" t="s">
        <v>33</v>
      </c>
      <c r="U54" s="403" t="s">
        <v>15</v>
      </c>
      <c r="V54" s="182"/>
      <c r="W54" s="404" t="s">
        <v>16</v>
      </c>
      <c r="X54" s="183" t="s">
        <v>34</v>
      </c>
      <c r="Y54" s="183" t="s">
        <v>33</v>
      </c>
      <c r="Z54" s="183" t="s">
        <v>35</v>
      </c>
      <c r="AA54" s="183" t="s">
        <v>36</v>
      </c>
      <c r="AB54" s="405" t="s">
        <v>37</v>
      </c>
      <c r="AC54" s="183" t="s">
        <v>58</v>
      </c>
      <c r="AD54" s="405" t="s">
        <v>38</v>
      </c>
    </row>
    <row r="55" spans="1:30" s="107" customFormat="1" ht="14.1" customHeight="1">
      <c r="A55" s="411"/>
      <c r="B55" s="415"/>
      <c r="C55" s="416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419"/>
      <c r="O55" s="420"/>
      <c r="P55" s="420"/>
      <c r="Q55" s="402"/>
      <c r="R55" s="402"/>
      <c r="S55" s="184" t="s">
        <v>53</v>
      </c>
      <c r="T55" s="186" t="s">
        <v>39</v>
      </c>
      <c r="U55" s="403"/>
      <c r="V55" s="182"/>
      <c r="W55" s="404"/>
      <c r="X55" s="186" t="s">
        <v>40</v>
      </c>
      <c r="Y55" s="186" t="s">
        <v>41</v>
      </c>
      <c r="Z55" s="186" t="s">
        <v>42</v>
      </c>
      <c r="AA55" s="186" t="s">
        <v>43</v>
      </c>
      <c r="AB55" s="406"/>
      <c r="AC55" s="186" t="s">
        <v>59</v>
      </c>
      <c r="AD55" s="406"/>
    </row>
    <row r="56" spans="1:30" ht="14.1" customHeight="1">
      <c r="A56" s="411"/>
      <c r="B56" s="415"/>
      <c r="C56" s="416"/>
      <c r="D56" s="187" t="s">
        <v>17</v>
      </c>
      <c r="E56" s="187" t="s">
        <v>18</v>
      </c>
      <c r="F56" s="188" t="s">
        <v>0</v>
      </c>
      <c r="G56" s="188" t="s">
        <v>1</v>
      </c>
      <c r="H56" s="189" t="s">
        <v>19</v>
      </c>
      <c r="I56" s="190" t="s">
        <v>2</v>
      </c>
      <c r="J56" s="188" t="s">
        <v>3</v>
      </c>
      <c r="K56" s="189"/>
      <c r="L56" s="188" t="s">
        <v>20</v>
      </c>
      <c r="M56" s="188" t="s">
        <v>21</v>
      </c>
      <c r="N56" s="419"/>
      <c r="O56" s="420"/>
      <c r="P56" s="420"/>
      <c r="Q56" s="402"/>
      <c r="R56" s="402"/>
      <c r="S56" s="184" t="s">
        <v>54</v>
      </c>
      <c r="T56" s="186" t="s">
        <v>44</v>
      </c>
      <c r="U56" s="403"/>
      <c r="V56" s="182"/>
      <c r="W56" s="404"/>
      <c r="X56" s="186" t="s">
        <v>44</v>
      </c>
      <c r="Y56" s="186" t="s">
        <v>45</v>
      </c>
      <c r="Z56" s="186" t="s">
        <v>46</v>
      </c>
      <c r="AA56" s="186" t="s">
        <v>72</v>
      </c>
      <c r="AB56" s="406"/>
      <c r="AC56" s="186"/>
      <c r="AD56" s="406"/>
    </row>
    <row r="57" spans="1:30" ht="14.1" customHeight="1">
      <c r="A57" s="412"/>
      <c r="B57" s="417"/>
      <c r="C57" s="418"/>
      <c r="D57" s="180"/>
      <c r="E57" s="180"/>
      <c r="F57" s="192"/>
      <c r="G57" s="192"/>
      <c r="H57" s="192"/>
      <c r="I57" s="193"/>
      <c r="J57" s="192"/>
      <c r="K57" s="192"/>
      <c r="L57" s="192"/>
      <c r="M57" s="192"/>
      <c r="N57" s="419"/>
      <c r="O57" s="420"/>
      <c r="P57" s="420"/>
      <c r="Q57" s="402"/>
      <c r="R57" s="402"/>
      <c r="S57" s="191" t="s">
        <v>55</v>
      </c>
      <c r="T57" s="195" t="s">
        <v>47</v>
      </c>
      <c r="U57" s="403"/>
      <c r="V57" s="182"/>
      <c r="W57" s="404"/>
      <c r="X57" s="195" t="s">
        <v>47</v>
      </c>
      <c r="Y57" s="195" t="s">
        <v>48</v>
      </c>
      <c r="Z57" s="195" t="s">
        <v>49</v>
      </c>
      <c r="AA57" s="195"/>
      <c r="AB57" s="407"/>
      <c r="AC57" s="195" t="s">
        <v>60</v>
      </c>
      <c r="AD57" s="407"/>
    </row>
    <row r="58" spans="1:30" ht="15" customHeight="1">
      <c r="A58" s="307">
        <v>20</v>
      </c>
      <c r="B58" s="400" t="s">
        <v>79</v>
      </c>
      <c r="C58" s="124">
        <v>35.186999999999998</v>
      </c>
      <c r="D58" s="310">
        <f>TRUNC(C58)+((C58-TRUNC(C58))/0.6)</f>
        <v>35.31166666666666</v>
      </c>
      <c r="E58" s="310">
        <f>TRUNC(C59)+((C59-TRUNC(C59))/0.6)</f>
        <v>139.73333333333332</v>
      </c>
      <c r="F58" s="311">
        <f>ROUND(((LOG10(TAN(PI()/4+(D58/2*PI()/180)))*7915.7046)-(3437.7468*((0.0816968^2*SIN(D58*PI()/180))+(0.0816968^4/3*((SIN(D58*PI()/180))^3))+(0.0816968^6/5*((SIN(D58*PI()/180))^5))))),2)</f>
        <v>2253.89</v>
      </c>
      <c r="G58" s="112"/>
      <c r="H58" s="312">
        <f>IF(E58&lt;0,E58+360,E58)</f>
        <v>139.73333333333332</v>
      </c>
      <c r="I58" s="113"/>
      <c r="J58" s="112"/>
      <c r="K58" s="112"/>
      <c r="L58" s="112"/>
      <c r="M58" s="112"/>
      <c r="N58" s="197"/>
      <c r="O58" s="116"/>
      <c r="P58" s="116"/>
      <c r="Q58" s="432">
        <v>213</v>
      </c>
      <c r="R58" s="432">
        <v>11.800000000000006</v>
      </c>
      <c r="S58" s="117"/>
      <c r="T58" s="117" t="s">
        <v>7</v>
      </c>
      <c r="U58" s="129"/>
      <c r="V58" s="118"/>
      <c r="W58" s="436">
        <v>44395.233912037038</v>
      </c>
      <c r="X58" s="117" t="s">
        <v>87</v>
      </c>
      <c r="Y58" s="198"/>
      <c r="Z58" s="117"/>
      <c r="AA58" s="117"/>
      <c r="AB58" s="119"/>
      <c r="AC58" s="202"/>
      <c r="AD58" s="443" t="s">
        <v>186</v>
      </c>
    </row>
    <row r="59" spans="1:30" ht="15" customHeight="1">
      <c r="A59" s="307"/>
      <c r="B59" s="401"/>
      <c r="C59" s="125">
        <v>139.44</v>
      </c>
      <c r="D59" s="310"/>
      <c r="E59" s="310"/>
      <c r="F59" s="311"/>
      <c r="G59" s="312">
        <f>ABS(D58-D60)*60</f>
        <v>2.1000000000002217</v>
      </c>
      <c r="H59" s="312"/>
      <c r="I59" s="334">
        <f>ABS(H58-H60)*60</f>
        <v>0.70000000000106866</v>
      </c>
      <c r="J59" s="335">
        <f>ABS(F58-F60)</f>
        <v>2.5599999999999454</v>
      </c>
      <c r="K59" s="336">
        <f>IF(AND(D58&lt;D60,H58=H60),0,IF(AND(D58&gt;D60,H58=H60),180,IF(AND(D58=D60,H58&lt;H60),90,IF(AND(D58=D60,H58&gt;H60),270,(ATAN(I59/J59)*180/PI())))))</f>
        <v>15.292987686008338</v>
      </c>
      <c r="L59" s="310">
        <f>IF(OR(K59=0,K59=90,K59=180,K59=270),K59,IF(AND(D58&lt;D60,H58&lt;H60),K59,IF(AND(D58&lt;D60,H58&gt;H60),360-K59,IF(AND(D58&gt;D60,H58&lt;H60),180-K59,IF(AND(D58&gt;D60,H58&gt;H60),180+K59)))))</f>
        <v>15.292987686008338</v>
      </c>
      <c r="M59" s="310">
        <f>(IF(I59=0,G59,IF(G59=0,COS(D60*PI()/180)*I59,G59/COS(K59*PI()/180))))</f>
        <v>2.1770914479767689</v>
      </c>
      <c r="N59" s="427">
        <f>IF(C61="","",ROUND(L59,1))</f>
        <v>15.3</v>
      </c>
      <c r="O59" s="428">
        <f>IF(C61="","",ROUND(M59,1))</f>
        <v>2.2000000000000002</v>
      </c>
      <c r="P59" s="429">
        <v>12</v>
      </c>
      <c r="Q59" s="432"/>
      <c r="R59" s="432"/>
      <c r="S59" s="122" t="s">
        <v>56</v>
      </c>
      <c r="T59" s="122" t="s">
        <v>23</v>
      </c>
      <c r="U59" s="430"/>
      <c r="V59" s="356">
        <f>(O59/P59+U59/60)/24</f>
        <v>7.6388888888888895E-3</v>
      </c>
      <c r="W59" s="436"/>
      <c r="X59" s="122" t="s">
        <v>88</v>
      </c>
      <c r="Y59" s="199" t="s">
        <v>89</v>
      </c>
      <c r="Z59" s="122" t="s">
        <v>32</v>
      </c>
      <c r="AA59" s="122">
        <v>3</v>
      </c>
      <c r="AB59" s="123" t="s">
        <v>86</v>
      </c>
      <c r="AC59" s="203" t="s">
        <v>83</v>
      </c>
      <c r="AD59" s="443"/>
    </row>
    <row r="60" spans="1:30" ht="15" customHeight="1">
      <c r="A60" s="307">
        <f>IF(B60="","",A58+1)</f>
        <v>21</v>
      </c>
      <c r="B60" s="444" t="s">
        <v>85</v>
      </c>
      <c r="C60" s="124">
        <v>35.207999999999998</v>
      </c>
      <c r="D60" s="310">
        <f>TRUNC(C60)+((C60-TRUNC(C60))/0.6)</f>
        <v>35.346666666666664</v>
      </c>
      <c r="E60" s="310">
        <f>TRUNC(C61)+((C61-TRUNC(C61))/0.6)</f>
        <v>139.745</v>
      </c>
      <c r="F60" s="311">
        <f>ROUND(((LOG10(TAN(PI()/4+(D60/2*PI()/180)))*7915.7046)-(3437.7468*((0.0816968^2*SIN(D60*PI()/180))+(0.0816968^4/3*((SIN(D60*PI()/180))^3))+(0.0816968^6/5*((SIN(D60*PI()/180))^5))))),2)</f>
        <v>2256.4499999999998</v>
      </c>
      <c r="G60" s="312"/>
      <c r="H60" s="312">
        <f>IF(E60&lt;0,E60+360,E60)</f>
        <v>139.745</v>
      </c>
      <c r="I60" s="334"/>
      <c r="J60" s="335"/>
      <c r="K60" s="336"/>
      <c r="L60" s="310"/>
      <c r="M60" s="310"/>
      <c r="N60" s="427"/>
      <c r="O60" s="428"/>
      <c r="P60" s="429"/>
      <c r="Q60" s="432">
        <f>IF(O59="","",Q58+O59)</f>
        <v>215.2</v>
      </c>
      <c r="R60" s="432">
        <f>IF(O59="","",R58-O59)</f>
        <v>9.600000000000005</v>
      </c>
      <c r="S60" s="117"/>
      <c r="T60" s="117" t="s">
        <v>7</v>
      </c>
      <c r="U60" s="431"/>
      <c r="V60" s="356"/>
      <c r="W60" s="436">
        <f>IF(P59="","",W58+V59)</f>
        <v>44395.24155092593</v>
      </c>
      <c r="X60" s="117" t="s">
        <v>87</v>
      </c>
      <c r="Y60" s="198"/>
      <c r="Z60" s="117"/>
      <c r="AA60" s="117"/>
      <c r="AB60" s="119"/>
      <c r="AC60" s="202"/>
      <c r="AD60" s="443" t="s">
        <v>187</v>
      </c>
    </row>
    <row r="61" spans="1:30" ht="15" customHeight="1">
      <c r="A61" s="307"/>
      <c r="B61" s="444"/>
      <c r="C61" s="125">
        <v>139.447</v>
      </c>
      <c r="D61" s="310"/>
      <c r="E61" s="310"/>
      <c r="F61" s="311"/>
      <c r="G61" s="312">
        <f>ABS(D60-D62)*60</f>
        <v>3.8000000000003809</v>
      </c>
      <c r="H61" s="312"/>
      <c r="I61" s="334">
        <f>ABS(H60-H62)*60</f>
        <v>1.8000000000000682</v>
      </c>
      <c r="J61" s="335">
        <f>ABS(F60-F62)</f>
        <v>4.6400000000003274</v>
      </c>
      <c r="K61" s="336">
        <f>IF(AND(D60&lt;D62,H60=H62),0,IF(AND(D60&gt;D62,H60=H62),180,IF(AND(D60=D62,H60&lt;H62),90,IF(AND(D60=D62,H60&gt;H62),270,(ATAN(I61/J61)*180/PI())))))</f>
        <v>21.202818643809035</v>
      </c>
      <c r="L61" s="310">
        <f>IF(OR(K61=0,K61=90,K61=180,K61=270),K61,IF(AND(D60&lt;D62,H60&lt;H62),K61,IF(AND(D60&lt;D62,H60&gt;H62),360-K61,IF(AND(D60&gt;D62,H60&lt;H62),180-K61,IF(AND(D60&gt;D62,H60&gt;H62),180+K61)))))</f>
        <v>21.202818643809035</v>
      </c>
      <c r="M61" s="310">
        <f>(IF(I61=0,G61,IF(G61=0,COS(D62*PI()/180)*I61,G61/COS(K61*PI()/180))))</f>
        <v>4.0759149451034693</v>
      </c>
      <c r="N61" s="427">
        <f>IF(C63="","",ROUND(L61,1))</f>
        <v>21.2</v>
      </c>
      <c r="O61" s="428">
        <f>IF(C63="","",ROUND(M61,1))</f>
        <v>4.0999999999999996</v>
      </c>
      <c r="P61" s="429">
        <v>12</v>
      </c>
      <c r="Q61" s="432"/>
      <c r="R61" s="432"/>
      <c r="S61" s="122">
        <v>16</v>
      </c>
      <c r="T61" s="122" t="s">
        <v>23</v>
      </c>
      <c r="U61" s="430"/>
      <c r="V61" s="356">
        <f>(O61/P61+U61/60)/24</f>
        <v>1.4236111111111109E-2</v>
      </c>
      <c r="W61" s="436"/>
      <c r="X61" s="122" t="s">
        <v>88</v>
      </c>
      <c r="Y61" s="199" t="s">
        <v>89</v>
      </c>
      <c r="Z61" s="122" t="s">
        <v>32</v>
      </c>
      <c r="AA61" s="122">
        <v>3</v>
      </c>
      <c r="AB61" s="123" t="s">
        <v>86</v>
      </c>
      <c r="AC61" s="203" t="s">
        <v>83</v>
      </c>
      <c r="AD61" s="443"/>
    </row>
    <row r="62" spans="1:30" ht="15" customHeight="1">
      <c r="A62" s="307">
        <f>IF(B62="","",A60+1)</f>
        <v>22</v>
      </c>
      <c r="B62" s="444" t="s">
        <v>80</v>
      </c>
      <c r="C62" s="124">
        <v>35.246000000000002</v>
      </c>
      <c r="D62" s="310">
        <f>TRUNC(C62)+((C62-TRUNC(C62))/0.6)</f>
        <v>35.410000000000004</v>
      </c>
      <c r="E62" s="310">
        <f>TRUNC(C63)+((C63-TRUNC(C63))/0.6)</f>
        <v>139.77500000000001</v>
      </c>
      <c r="F62" s="311">
        <f>ROUND(((LOG10(TAN(PI()/4+(D62/2*PI()/180)))*7915.7046)-(3437.7468*((0.0816968^2*SIN(D62*PI()/180))+(0.0816968^4/3*((SIN(D62*PI()/180))^3))+(0.0816968^6/5*((SIN(D62*PI()/180))^5))))),2)</f>
        <v>2261.09</v>
      </c>
      <c r="G62" s="312"/>
      <c r="H62" s="312">
        <f>IF(E62&lt;0,E62+360,E62)</f>
        <v>139.77500000000001</v>
      </c>
      <c r="I62" s="334"/>
      <c r="J62" s="335"/>
      <c r="K62" s="336"/>
      <c r="L62" s="310"/>
      <c r="M62" s="310"/>
      <c r="N62" s="427"/>
      <c r="O62" s="428"/>
      <c r="P62" s="429"/>
      <c r="Q62" s="432">
        <f>IF(O61="","",Q60+O61)</f>
        <v>219.29999999999998</v>
      </c>
      <c r="R62" s="432">
        <f>IF(O61="","",R60-O61)</f>
        <v>5.5000000000000053</v>
      </c>
      <c r="S62" s="117"/>
      <c r="T62" s="117" t="s">
        <v>7</v>
      </c>
      <c r="U62" s="431"/>
      <c r="V62" s="356"/>
      <c r="W62" s="436">
        <f>IF(P61="","",W60+V61)</f>
        <v>44395.255787037044</v>
      </c>
      <c r="X62" s="117" t="s">
        <v>87</v>
      </c>
      <c r="Y62" s="198"/>
      <c r="Z62" s="117"/>
      <c r="AA62" s="117"/>
      <c r="AB62" s="119"/>
      <c r="AC62" s="202"/>
      <c r="AD62" s="439" t="s">
        <v>95</v>
      </c>
    </row>
    <row r="63" spans="1:30" ht="15" customHeight="1">
      <c r="A63" s="307"/>
      <c r="B63" s="444"/>
      <c r="C63" s="125">
        <v>139.465</v>
      </c>
      <c r="D63" s="310"/>
      <c r="E63" s="310"/>
      <c r="F63" s="311"/>
      <c r="G63" s="312">
        <f>ABS(D62-D64)*60</f>
        <v>2.1499999999997499</v>
      </c>
      <c r="H63" s="312"/>
      <c r="I63" s="334">
        <f>ABS(H62-H64)*60</f>
        <v>3.1499999999988404</v>
      </c>
      <c r="J63" s="335">
        <f>ABS(F62-F64)</f>
        <v>2.6299999999996544</v>
      </c>
      <c r="K63" s="336">
        <f>IF(AND(D62&lt;D64,H62=H64),0,IF(AND(D62&gt;D64,H62=H64),180,IF(AND(D62=D64,H62&lt;H64),90,IF(AND(D62=D64,H62&gt;H64),270,(ATAN(I63/J63)*180/PI())))))</f>
        <v>50.140797928527306</v>
      </c>
      <c r="L63" s="310">
        <f>IF(OR(K63=0,K63=90,K63=180,K63=270),K63,IF(AND(D62&lt;D64,H62&lt;H64),K63,IF(AND(D62&lt;D64,H62&gt;H64),360-K63,IF(AND(D62&gt;D64,H62&lt;H64),180-K63,IF(AND(D62&gt;D64,H62&gt;H64),180+K63)))))</f>
        <v>309.85920207147268</v>
      </c>
      <c r="M63" s="310">
        <f>(IF(I63=0,G63,IF(G63=0,COS(D64*PI()/180)*I63,G63/COS(K63*PI()/180))))</f>
        <v>3.3546407486877512</v>
      </c>
      <c r="N63" s="427">
        <f>IF(C65="","",ROUND(L63,1))</f>
        <v>309.89999999999998</v>
      </c>
      <c r="O63" s="428">
        <f>IF(C65="","",ROUND(M63,1))</f>
        <v>3.4</v>
      </c>
      <c r="P63" s="429">
        <v>12</v>
      </c>
      <c r="Q63" s="432"/>
      <c r="R63" s="432"/>
      <c r="S63" s="122">
        <v>11</v>
      </c>
      <c r="T63" s="122" t="s">
        <v>23</v>
      </c>
      <c r="U63" s="430"/>
      <c r="V63" s="356">
        <f>(O63/P63+U63/60)/24</f>
        <v>1.1805555555555555E-2</v>
      </c>
      <c r="W63" s="436"/>
      <c r="X63" s="122" t="s">
        <v>88</v>
      </c>
      <c r="Y63" s="199" t="s">
        <v>89</v>
      </c>
      <c r="Z63" s="122" t="s">
        <v>32</v>
      </c>
      <c r="AA63" s="122">
        <v>3</v>
      </c>
      <c r="AB63" s="123" t="s">
        <v>86</v>
      </c>
      <c r="AC63" s="203" t="s">
        <v>83</v>
      </c>
      <c r="AD63" s="440"/>
    </row>
    <row r="64" spans="1:30" ht="15" customHeight="1">
      <c r="A64" s="307">
        <f>IF(B64="","",A62+1)</f>
        <v>23</v>
      </c>
      <c r="B64" s="400" t="s">
        <v>188</v>
      </c>
      <c r="C64" s="124">
        <v>35.267499999999998</v>
      </c>
      <c r="D64" s="310">
        <f>TRUNC(C64)+((C64-TRUNC(C64))/0.6)</f>
        <v>35.445833333333333</v>
      </c>
      <c r="E64" s="310">
        <f>TRUNC(C65)+((C65-TRUNC(C65))/0.6)</f>
        <v>139.72250000000003</v>
      </c>
      <c r="F64" s="311">
        <f>ROUND(((LOG10(TAN(PI()/4+(D64/2*PI()/180)))*7915.7046)-(3437.7468*((0.0816968^2*SIN(D64*PI()/180))+(0.0816968^4/3*((SIN(D64*PI()/180))^3))+(0.0816968^6/5*((SIN(D64*PI()/180))^5))))),2)</f>
        <v>2263.7199999999998</v>
      </c>
      <c r="G64" s="312"/>
      <c r="H64" s="312">
        <f>IF(E64&lt;0,E64+360,E64)</f>
        <v>139.72250000000003</v>
      </c>
      <c r="I64" s="334"/>
      <c r="J64" s="335"/>
      <c r="K64" s="336"/>
      <c r="L64" s="310"/>
      <c r="M64" s="310"/>
      <c r="N64" s="427"/>
      <c r="O64" s="428"/>
      <c r="P64" s="429"/>
      <c r="Q64" s="432">
        <f>IF(O63="","",Q62+O63)</f>
        <v>222.7</v>
      </c>
      <c r="R64" s="432">
        <f>IF(O63="","",R62-O63)</f>
        <v>2.1000000000000054</v>
      </c>
      <c r="S64" s="117"/>
      <c r="T64" s="117" t="s">
        <v>7</v>
      </c>
      <c r="U64" s="431"/>
      <c r="V64" s="356"/>
      <c r="W64" s="436">
        <f>IF(P63="","",W62+V63)</f>
        <v>44395.267592592601</v>
      </c>
      <c r="X64" s="117" t="s">
        <v>87</v>
      </c>
      <c r="Y64" s="198"/>
      <c r="Z64" s="117"/>
      <c r="AA64" s="117"/>
      <c r="AB64" s="119"/>
      <c r="AC64" s="202"/>
      <c r="AD64" s="439" t="s">
        <v>94</v>
      </c>
    </row>
    <row r="65" spans="1:30" ht="15" customHeight="1">
      <c r="A65" s="307"/>
      <c r="B65" s="401"/>
      <c r="C65" s="125">
        <v>139.43350000000001</v>
      </c>
      <c r="D65" s="310"/>
      <c r="E65" s="310"/>
      <c r="F65" s="311"/>
      <c r="G65" s="312">
        <f>ABS(D64-D66)*60</f>
        <v>0.700000000000216</v>
      </c>
      <c r="H65" s="312"/>
      <c r="I65" s="334">
        <f>ABS(H64-H66)*60</f>
        <v>0.75000000000272848</v>
      </c>
      <c r="J65" s="335">
        <f>ABS(F64-F66)</f>
        <v>0.8500000000003638</v>
      </c>
      <c r="K65" s="336">
        <f>IF(AND(D64&lt;D66,H64=H66),0,IF(AND(D64&gt;D66,H64=H66),180,IF(AND(D64=D66,H64&lt;H66),90,IF(AND(D64=D66,H64&gt;H66),270,(ATAN(I65/J65)*180/PI())))))</f>
        <v>41.423665625093889</v>
      </c>
      <c r="L65" s="310">
        <f>IF(OR(K65=0,K65=90,K65=180,K65=270),K65,IF(AND(D64&lt;D66,H64&lt;H66),K65,IF(AND(D64&lt;D66,H64&gt;H66),360-K65,IF(AND(D64&gt;D66,H64&lt;H66),180-K65,IF(AND(D64&gt;D66,H64&gt;H66),180+K65)))))</f>
        <v>318.57633437490608</v>
      </c>
      <c r="M65" s="310">
        <f>(IF(I65=0,G65,IF(G65=0,COS(D66*PI()/180)*I65,G65/COS(K65*PI()/180))))</f>
        <v>0.93353515695786371</v>
      </c>
      <c r="N65" s="427">
        <f>IF(C67="","",ROUND(L65,1))</f>
        <v>318.60000000000002</v>
      </c>
      <c r="O65" s="428">
        <f>IF(C67="","",ROUND(M65,1))</f>
        <v>0.9</v>
      </c>
      <c r="P65" s="429">
        <v>8</v>
      </c>
      <c r="Q65" s="432"/>
      <c r="R65" s="432"/>
      <c r="S65" s="122">
        <v>11</v>
      </c>
      <c r="T65" s="122" t="s">
        <v>23</v>
      </c>
      <c r="U65" s="430"/>
      <c r="V65" s="356">
        <f>(O65/P65+U65/60)/24</f>
        <v>4.6874999999999998E-3</v>
      </c>
      <c r="W65" s="436"/>
      <c r="X65" s="122" t="s">
        <v>88</v>
      </c>
      <c r="Y65" s="199" t="s">
        <v>89</v>
      </c>
      <c r="Z65" s="122" t="s">
        <v>32</v>
      </c>
      <c r="AA65" s="122">
        <v>3</v>
      </c>
      <c r="AB65" s="123" t="s">
        <v>86</v>
      </c>
      <c r="AC65" s="203" t="s">
        <v>83</v>
      </c>
      <c r="AD65" s="440"/>
    </row>
    <row r="66" spans="1:30" ht="15" customHeight="1">
      <c r="A66" s="307">
        <f>IF(B66="","",A64+1)</f>
        <v>24</v>
      </c>
      <c r="B66" s="400" t="s">
        <v>81</v>
      </c>
      <c r="C66" s="124">
        <v>35.274500000000003</v>
      </c>
      <c r="D66" s="310">
        <f>TRUNC(C66)+((C66-TRUNC(C66))/0.6)</f>
        <v>35.457500000000003</v>
      </c>
      <c r="E66" s="310">
        <f>TRUNC(C67)+((C67-TRUNC(C67))/0.6)</f>
        <v>139.70999999999998</v>
      </c>
      <c r="F66" s="311">
        <f>ROUND(((LOG10(TAN(PI()/4+(D66/2*PI()/180)))*7915.7046)-(3437.7468*((0.0816968^2*SIN(D66*PI()/180))+(0.0816968^4/3*((SIN(D66*PI()/180))^3))+(0.0816968^6/5*((SIN(D66*PI()/180))^5))))),2)</f>
        <v>2264.5700000000002</v>
      </c>
      <c r="G66" s="312"/>
      <c r="H66" s="312">
        <f>IF(E66&lt;0,E66+360,E66)</f>
        <v>139.70999999999998</v>
      </c>
      <c r="I66" s="334"/>
      <c r="J66" s="335"/>
      <c r="K66" s="336"/>
      <c r="L66" s="310"/>
      <c r="M66" s="310"/>
      <c r="N66" s="427"/>
      <c r="O66" s="428"/>
      <c r="P66" s="429"/>
      <c r="Q66" s="432">
        <f>IF(O65="","",Q64+O65)</f>
        <v>223.6</v>
      </c>
      <c r="R66" s="432">
        <f>IF(O65="","",R64-O65)</f>
        <v>1.2000000000000055</v>
      </c>
      <c r="S66" s="117"/>
      <c r="T66" s="117" t="s">
        <v>7</v>
      </c>
      <c r="U66" s="431"/>
      <c r="V66" s="356"/>
      <c r="W66" s="436">
        <f>IF(P65="","",W64+V65)</f>
        <v>44395.272280092599</v>
      </c>
      <c r="X66" s="117" t="s">
        <v>87</v>
      </c>
      <c r="Y66" s="198"/>
      <c r="Z66" s="117"/>
      <c r="AA66" s="117"/>
      <c r="AB66" s="119"/>
      <c r="AC66" s="202"/>
      <c r="AD66" s="439" t="s">
        <v>189</v>
      </c>
    </row>
    <row r="67" spans="1:30" ht="15" customHeight="1">
      <c r="A67" s="307"/>
      <c r="B67" s="401"/>
      <c r="C67" s="125">
        <v>139.42599999999999</v>
      </c>
      <c r="D67" s="310"/>
      <c r="E67" s="310"/>
      <c r="F67" s="311"/>
      <c r="G67" s="312">
        <f>ABS(D66-D68)*60</f>
        <v>0.49999999999954525</v>
      </c>
      <c r="H67" s="312"/>
      <c r="I67" s="334">
        <f>ABS(H66-H68)*60</f>
        <v>0.3999999999996362</v>
      </c>
      <c r="J67" s="335">
        <f>ABS(F66-F68)</f>
        <v>0.60999999999967258</v>
      </c>
      <c r="K67" s="336">
        <f>IF(AND(D66&lt;D68,H66=H68),0,IF(AND(D66&gt;D68,H66=H68),180,IF(AND(D66=D68,H66&lt;H68),90,IF(AND(D66=D68,H66&gt;H68),270,(ATAN(I67/J67)*180/PI())))))</f>
        <v>33.25436657470226</v>
      </c>
      <c r="L67" s="310">
        <f>IF(OR(K67=0,K67=90,K67=180,K67=270),K67,IF(AND(D66&lt;D68,H66&lt;H68),K67,IF(AND(D66&lt;D68,H66&gt;H68),360-K67,IF(AND(D66&gt;D68,H66&lt;H68),180-K67,IF(AND(D66&gt;D68,H66&gt;H68),180+K67)))))</f>
        <v>326.74563342529774</v>
      </c>
      <c r="M67" s="310">
        <f>(IF(I67=0,G67,IF(G67=0,COS(D68*PI()/180)*I67,G67/COS(K67*PI()/180))))</f>
        <v>0.59791135163338538</v>
      </c>
      <c r="N67" s="427">
        <f>IF(C69="","",ROUND(L67,1))</f>
        <v>326.7</v>
      </c>
      <c r="O67" s="428">
        <f>IF(C69="","",ROUND(M67,1))</f>
        <v>0.6</v>
      </c>
      <c r="P67" s="429">
        <v>5</v>
      </c>
      <c r="Q67" s="432"/>
      <c r="R67" s="432"/>
      <c r="S67" s="122">
        <v>6</v>
      </c>
      <c r="T67" s="122" t="s">
        <v>24</v>
      </c>
      <c r="U67" s="430"/>
      <c r="V67" s="356">
        <f>(O67/P67+U67/60)/24</f>
        <v>5.0000000000000001E-3</v>
      </c>
      <c r="W67" s="436"/>
      <c r="X67" s="122" t="s">
        <v>88</v>
      </c>
      <c r="Y67" s="199" t="s">
        <v>89</v>
      </c>
      <c r="Z67" s="122" t="s">
        <v>32</v>
      </c>
      <c r="AA67" s="122">
        <v>3</v>
      </c>
      <c r="AB67" s="123" t="s">
        <v>66</v>
      </c>
      <c r="AC67" s="203" t="s">
        <v>83</v>
      </c>
      <c r="AD67" s="440"/>
    </row>
    <row r="68" spans="1:30" ht="15" customHeight="1">
      <c r="A68" s="307">
        <f>IF(B68="","",A66+1)</f>
        <v>25</v>
      </c>
      <c r="B68" s="400" t="s">
        <v>57</v>
      </c>
      <c r="C68" s="124">
        <v>35.279499999999999</v>
      </c>
      <c r="D68" s="310">
        <f>TRUNC(C68)+((C68-TRUNC(C68))/0.6)</f>
        <v>35.465833333333329</v>
      </c>
      <c r="E68" s="310">
        <f>TRUNC(C69)+((C69-TRUNC(C69))/0.6)</f>
        <v>139.70333333333332</v>
      </c>
      <c r="F68" s="311">
        <f>ROUND(((LOG10(TAN(PI()/4+(D68/2*PI()/180)))*7915.7046)-(3437.7468*((0.0816968^2*SIN(D68*PI()/180))+(0.0816968^4/3*((SIN(D68*PI()/180))^3))+(0.0816968^6/5*((SIN(D68*PI()/180))^5))))),2)</f>
        <v>2265.1799999999998</v>
      </c>
      <c r="G68" s="312"/>
      <c r="H68" s="312">
        <f>IF(E68&lt;0,E68+360,E68)</f>
        <v>139.70333333333332</v>
      </c>
      <c r="I68" s="334"/>
      <c r="J68" s="335"/>
      <c r="K68" s="336"/>
      <c r="L68" s="310"/>
      <c r="M68" s="310"/>
      <c r="N68" s="427"/>
      <c r="O68" s="428"/>
      <c r="P68" s="429"/>
      <c r="Q68" s="432">
        <f>IF(O67="","",Q66+O67)</f>
        <v>224.2</v>
      </c>
      <c r="R68" s="432">
        <f>IF(O67="","",R66-O67)</f>
        <v>0.60000000000000553</v>
      </c>
      <c r="S68" s="117"/>
      <c r="T68" s="117" t="s">
        <v>7</v>
      </c>
      <c r="U68" s="431"/>
      <c r="V68" s="356"/>
      <c r="W68" s="436">
        <f>IF(P67="","",W66+V67)</f>
        <v>44395.277280092596</v>
      </c>
      <c r="X68" s="117" t="s">
        <v>87</v>
      </c>
      <c r="Y68" s="198"/>
      <c r="Z68" s="117"/>
      <c r="AA68" s="117"/>
      <c r="AB68" s="119"/>
      <c r="AC68" s="202"/>
      <c r="AD68" s="443" t="s">
        <v>90</v>
      </c>
    </row>
    <row r="69" spans="1:30" ht="15" customHeight="1">
      <c r="A69" s="307"/>
      <c r="B69" s="401"/>
      <c r="C69" s="125">
        <v>139.422</v>
      </c>
      <c r="D69" s="310"/>
      <c r="E69" s="310"/>
      <c r="F69" s="311"/>
      <c r="G69" s="312">
        <f>ABS(D68-D70)*60</f>
        <v>0.29999999999972715</v>
      </c>
      <c r="H69" s="312"/>
      <c r="I69" s="334">
        <f>ABS(H68-H70)*60</f>
        <v>0.5999999999994543</v>
      </c>
      <c r="J69" s="335">
        <f>ABS(F68-F70)</f>
        <v>0.35999999999967258</v>
      </c>
      <c r="K69" s="336">
        <f>IF(AND(D68&lt;D70,H68=H70),0,IF(AND(D68&gt;D70,H68=H70),180,IF(AND(D68=D70,H68&lt;H70),90,IF(AND(D68=D70,H68&gt;H70),270,(ATAN(I69/J69)*180/PI())))))</f>
        <v>59.036243467926482</v>
      </c>
      <c r="L69" s="310">
        <f>IF(OR(K69=0,K69=90,K69=180,K69=270),K69,IF(AND(D68&lt;D70,H68&lt;H70),K69,IF(AND(D68&lt;D70,H68&gt;H70),360-K69,IF(AND(D68&gt;D70,H68&lt;H70),180-K69,IF(AND(D68&gt;D70,H68&gt;H70),180+K69)))))</f>
        <v>239.03624346792648</v>
      </c>
      <c r="M69" s="310">
        <f>(IF(I69=0,G69,IF(G69=0,COS(D70*PI()/180)*I69,G69/COS(K69*PI()/180))))</f>
        <v>0.58309518948399974</v>
      </c>
      <c r="N69" s="427">
        <f>IF(C71="","",ROUND(L69,1))</f>
        <v>239</v>
      </c>
      <c r="O69" s="428">
        <f>IF(C71="","",ROUND(M69,1))</f>
        <v>0.6</v>
      </c>
      <c r="P69" s="429">
        <v>2</v>
      </c>
      <c r="Q69" s="432"/>
      <c r="R69" s="432"/>
      <c r="S69" s="122">
        <v>6</v>
      </c>
      <c r="T69" s="122" t="s">
        <v>23</v>
      </c>
      <c r="U69" s="430"/>
      <c r="V69" s="356">
        <f>(O69/P69+U69/60)/24</f>
        <v>1.2499999999999999E-2</v>
      </c>
      <c r="W69" s="436"/>
      <c r="X69" s="122" t="s">
        <v>88</v>
      </c>
      <c r="Y69" s="199" t="s">
        <v>89</v>
      </c>
      <c r="Z69" s="122" t="s">
        <v>32</v>
      </c>
      <c r="AA69" s="122">
        <v>3</v>
      </c>
      <c r="AB69" s="123" t="s">
        <v>66</v>
      </c>
      <c r="AC69" s="203" t="s">
        <v>83</v>
      </c>
      <c r="AD69" s="443"/>
    </row>
    <row r="70" spans="1:30" ht="15" customHeight="1">
      <c r="A70" s="307">
        <f>IF(B70="","",A68+1)</f>
        <v>26</v>
      </c>
      <c r="B70" s="457" t="s">
        <v>106</v>
      </c>
      <c r="C70" s="111">
        <v>35.276499999999999</v>
      </c>
      <c r="D70" s="310">
        <f>TRUNC(C70)+((C70-TRUNC(C70))/0.6)</f>
        <v>35.460833333333333</v>
      </c>
      <c r="E70" s="310">
        <f>TRUNC(C71)+((C71-TRUNC(C71))/0.6)</f>
        <v>139.69333333333333</v>
      </c>
      <c r="F70" s="311">
        <f>ROUND(((LOG10(TAN(PI()/4+(D70/2*PI()/180)))*7915.7046)-(3437.7468*((0.0816968^2*SIN(D70*PI()/180))+(0.0816968^4/3*((SIN(D70*PI()/180))^3))+(0.0816968^6/5*((SIN(D70*PI()/180))^5))))),2)</f>
        <v>2264.8200000000002</v>
      </c>
      <c r="G70" s="312"/>
      <c r="H70" s="312">
        <f>IF(E70&lt;0,E70+360,E70)</f>
        <v>139.69333333333333</v>
      </c>
      <c r="I70" s="334"/>
      <c r="J70" s="335"/>
      <c r="K70" s="336"/>
      <c r="L70" s="310"/>
      <c r="M70" s="310"/>
      <c r="N70" s="427"/>
      <c r="O70" s="428"/>
      <c r="P70" s="429"/>
      <c r="Q70" s="433">
        <f>IF(O69="","",Q68+O69)</f>
        <v>224.79999999999998</v>
      </c>
      <c r="R70" s="433">
        <f>IF(O69="","",R68-O69)</f>
        <v>5.5511151231257827E-15</v>
      </c>
      <c r="S70" s="117"/>
      <c r="T70" s="117" t="s">
        <v>25</v>
      </c>
      <c r="U70" s="431"/>
      <c r="V70" s="356"/>
      <c r="W70" s="436">
        <f>IF(P69="","",W68+V69)</f>
        <v>44395.289780092593</v>
      </c>
      <c r="X70" s="117" t="s">
        <v>87</v>
      </c>
      <c r="Y70" s="117"/>
      <c r="Z70" s="117"/>
      <c r="AA70" s="117"/>
      <c r="AB70" s="127"/>
      <c r="AC70" s="202"/>
      <c r="AD70" s="459" t="s">
        <v>208</v>
      </c>
    </row>
    <row r="71" spans="1:30" ht="15" customHeight="1">
      <c r="A71" s="307"/>
      <c r="B71" s="457"/>
      <c r="C71" s="120">
        <v>139.416</v>
      </c>
      <c r="D71" s="310"/>
      <c r="E71" s="310"/>
      <c r="F71" s="311"/>
      <c r="G71" s="312">
        <f>ABS(D70-D72)*60</f>
        <v>2127.65</v>
      </c>
      <c r="H71" s="312"/>
      <c r="I71" s="334">
        <f>ABS(H70-H72)*60</f>
        <v>8381.6</v>
      </c>
      <c r="J71" s="335">
        <f>ABS(F70-F72)</f>
        <v>2264.8200000000002</v>
      </c>
      <c r="K71" s="336">
        <f>IF(AND(D70&lt;D72,H70=H72),0,IF(AND(D70&gt;D72,H70=H72),180,IF(AND(D70=D72,H70&lt;H72),90,IF(AND(D70=D72,H70&gt;H72),270,(ATAN(I71/J71)*180/PI())))))</f>
        <v>74.87903338457356</v>
      </c>
      <c r="L71" s="310">
        <f>IF(OR(K71=0,K71=90,K71=180,K71=270),K71,IF(AND(D70&lt;D72,H70&lt;H72),K71,IF(AND(D70&lt;D72,H70&gt;H72),360-K71,IF(AND(D70&gt;D72,H70&lt;H72),180-K71,IF(AND(D70&gt;D72,H70&gt;H72),180+K71)))))</f>
        <v>254.87903338457357</v>
      </c>
      <c r="M71" s="310">
        <f>(IF(I71=0,G71,IF(G71=0,COS(D72*PI()/180)*I71,G71/COS(K71*PI()/180))))</f>
        <v>8156.3597423156043</v>
      </c>
      <c r="N71" s="427" t="str">
        <f>IF(C73="","",ROUND(L71,1))</f>
        <v/>
      </c>
      <c r="O71" s="428" t="str">
        <f>IF(C73="","",ROUND(M71,1))</f>
        <v/>
      </c>
      <c r="P71" s="429"/>
      <c r="Q71" s="433"/>
      <c r="R71" s="433"/>
      <c r="S71" s="122">
        <v>6</v>
      </c>
      <c r="T71" s="122" t="s">
        <v>24</v>
      </c>
      <c r="U71" s="430"/>
      <c r="V71" s="356" t="e">
        <f>(O71/P71+U71/60)/24</f>
        <v>#VALUE!</v>
      </c>
      <c r="W71" s="436"/>
      <c r="X71" s="122" t="s">
        <v>88</v>
      </c>
      <c r="Y71" s="199" t="s">
        <v>89</v>
      </c>
      <c r="Z71" s="122" t="s">
        <v>32</v>
      </c>
      <c r="AA71" s="122">
        <v>3</v>
      </c>
      <c r="AB71" s="126" t="s">
        <v>66</v>
      </c>
      <c r="AC71" s="203" t="s">
        <v>83</v>
      </c>
      <c r="AD71" s="459"/>
    </row>
    <row r="72" spans="1:30" ht="15" customHeight="1">
      <c r="A72" s="307" t="str">
        <f>IF(B72="","",A70+1)</f>
        <v/>
      </c>
      <c r="B72" s="444"/>
      <c r="C72" s="124"/>
      <c r="D72" s="310">
        <f>TRUNC(C72)+((C72-TRUNC(C72))/0.6)</f>
        <v>0</v>
      </c>
      <c r="E72" s="310">
        <f>TRUNC(C73)+((C73-TRUNC(C73))/0.6)</f>
        <v>0</v>
      </c>
      <c r="F72" s="311">
        <f>ROUND(((LOG10(TAN(PI()/4+(D72/2*PI()/180)))*7915.7046)-(3437.7468*((0.0816968^2*SIN(D72*PI()/180))+(0.0816968^4/3*((SIN(D72*PI()/180))^3))+(0.0816968^6/5*((SIN(D72*PI()/180))^5))))),2)</f>
        <v>0</v>
      </c>
      <c r="G72" s="312"/>
      <c r="H72" s="312">
        <f>IF(E72&lt;0,E72+360,E72)</f>
        <v>0</v>
      </c>
      <c r="I72" s="334"/>
      <c r="J72" s="335"/>
      <c r="K72" s="336"/>
      <c r="L72" s="310"/>
      <c r="M72" s="310"/>
      <c r="N72" s="427"/>
      <c r="O72" s="428"/>
      <c r="P72" s="429"/>
      <c r="Q72" s="433" t="str">
        <f>IF(O71="","",Q70+O71)</f>
        <v/>
      </c>
      <c r="R72" s="433" t="str">
        <f>IF(O71="","",R70-O71)</f>
        <v/>
      </c>
      <c r="S72" s="117"/>
      <c r="T72" s="117" t="s">
        <v>25</v>
      </c>
      <c r="U72" s="431"/>
      <c r="V72" s="356"/>
      <c r="W72" s="436" t="str">
        <f>IF(P71="","",W70+V71)</f>
        <v/>
      </c>
      <c r="X72" s="117"/>
      <c r="Y72" s="117"/>
      <c r="Z72" s="117"/>
      <c r="AA72" s="117"/>
      <c r="AB72" s="127"/>
      <c r="AC72" s="202"/>
      <c r="AD72" s="458"/>
    </row>
    <row r="73" spans="1:30" ht="15" customHeight="1">
      <c r="A73" s="307"/>
      <c r="B73" s="444"/>
      <c r="C73" s="125"/>
      <c r="D73" s="310"/>
      <c r="E73" s="310"/>
      <c r="F73" s="311"/>
      <c r="G73" s="312">
        <f>ABS(D72-D74)*60</f>
        <v>0</v>
      </c>
      <c r="H73" s="312"/>
      <c r="I73" s="334">
        <f>ABS(H72-H74)*60</f>
        <v>0</v>
      </c>
      <c r="J73" s="335">
        <f>ABS(F72-F74)</f>
        <v>0</v>
      </c>
      <c r="K73" s="336" t="e">
        <f>IF(AND(D72&lt;D74,H72=H74),0,IF(AND(D72&gt;D74,H72=H74),180,IF(AND(D72=D74,H72&lt;H74),90,IF(AND(D72=D74,H72&gt;H74),270,(ATAN(I73/J73)*180/PI())))))</f>
        <v>#DIV/0!</v>
      </c>
      <c r="L73" s="310" t="e">
        <f>IF(OR(K73=0,K73=90,K73=180,K73=270),K73,IF(AND(D72&lt;D74,H72&lt;H74),K73,IF(AND(D72&lt;D74,H72&gt;H74),360-K73,IF(AND(D72&gt;D74,H72&lt;H74),180-K73,IF(AND(D72&gt;D74,H72&gt;H74),180+K73)))))</f>
        <v>#DIV/0!</v>
      </c>
      <c r="M73" s="310">
        <f>(IF(I73=0,G73,IF(G73=0,COS(D74*PI()/180)*I73,G73/COS(K73*PI()/180))))</f>
        <v>0</v>
      </c>
      <c r="N73" s="427" t="str">
        <f>IF(C75="","",ROUND(L73,1))</f>
        <v/>
      </c>
      <c r="O73" s="428" t="str">
        <f>IF(C75="","",ROUND(M73,1))</f>
        <v/>
      </c>
      <c r="P73" s="429"/>
      <c r="Q73" s="433"/>
      <c r="R73" s="433"/>
      <c r="S73" s="122"/>
      <c r="T73" s="122" t="s">
        <v>24</v>
      </c>
      <c r="U73" s="430"/>
      <c r="V73" s="356" t="e">
        <f>(O73/P73+U73/60)/24</f>
        <v>#VALUE!</v>
      </c>
      <c r="W73" s="436"/>
      <c r="X73" s="122"/>
      <c r="Y73" s="199"/>
      <c r="Z73" s="122"/>
      <c r="AA73" s="122"/>
      <c r="AB73" s="126"/>
      <c r="AC73" s="203"/>
      <c r="AD73" s="458"/>
    </row>
    <row r="74" spans="1:30" ht="15" customHeight="1">
      <c r="A74" s="307" t="str">
        <f>IF(B74="","",A72+1)</f>
        <v/>
      </c>
      <c r="B74" s="444"/>
      <c r="C74" s="124"/>
      <c r="D74" s="310">
        <f>TRUNC(C74)+((C74-TRUNC(C74))/0.6)</f>
        <v>0</v>
      </c>
      <c r="E74" s="310">
        <f>TRUNC(C75)+((C75-TRUNC(C75))/0.6)</f>
        <v>0</v>
      </c>
      <c r="F74" s="311">
        <f>ROUND(((LOG10(TAN(PI()/4+(D74/2*PI()/180)))*7915.7046)-(3437.7468*((0.0816968^2*SIN(D74*PI()/180))+(0.0816968^4/3*((SIN(D74*PI()/180))^3))+(0.0816968^6/5*((SIN(D74*PI()/180))^5))))),2)</f>
        <v>0</v>
      </c>
      <c r="G74" s="312"/>
      <c r="H74" s="312">
        <f>IF(E74&lt;0,E74+360,E74)</f>
        <v>0</v>
      </c>
      <c r="I74" s="334"/>
      <c r="J74" s="335"/>
      <c r="K74" s="336"/>
      <c r="L74" s="310"/>
      <c r="M74" s="310"/>
      <c r="N74" s="427"/>
      <c r="O74" s="428"/>
      <c r="P74" s="429"/>
      <c r="Q74" s="432" t="str">
        <f>IF(O73="","",Q72+O73)</f>
        <v/>
      </c>
      <c r="R74" s="432" t="str">
        <f>IF(O73="","",R72-O73)</f>
        <v/>
      </c>
      <c r="S74" s="117"/>
      <c r="T74" s="117" t="s">
        <v>30</v>
      </c>
      <c r="U74" s="431"/>
      <c r="V74" s="356"/>
      <c r="W74" s="436" t="str">
        <f>IF(P73="","",W72+V73)</f>
        <v/>
      </c>
      <c r="X74" s="117"/>
      <c r="Y74" s="117"/>
      <c r="Z74" s="117"/>
      <c r="AA74" s="117"/>
      <c r="AB74" s="127"/>
      <c r="AC74" s="202"/>
      <c r="AD74" s="458"/>
    </row>
    <row r="75" spans="1:30" ht="15" customHeight="1">
      <c r="A75" s="307"/>
      <c r="B75" s="444"/>
      <c r="C75" s="125"/>
      <c r="D75" s="310"/>
      <c r="E75" s="310"/>
      <c r="F75" s="311"/>
      <c r="G75" s="312">
        <f>ABS(D74-D76)*60</f>
        <v>0</v>
      </c>
      <c r="H75" s="312"/>
      <c r="I75" s="334">
        <f>ABS(H74-H76)*60</f>
        <v>0</v>
      </c>
      <c r="J75" s="335">
        <f>ABS(F74-F76)</f>
        <v>0</v>
      </c>
      <c r="K75" s="336" t="e">
        <f>IF(AND(D74&lt;D76,H74=H76),0,IF(AND(D74&gt;D76,H74=H76),180,IF(AND(D74=D76,H74&lt;H76),90,IF(AND(D74=D76,H74&gt;H76),270,(ATAN(I75/J75)*180/PI())))))</f>
        <v>#DIV/0!</v>
      </c>
      <c r="L75" s="310" t="e">
        <f>IF(OR(K75=0,K75=90,K75=180,K75=270),K75,IF(AND(D74&lt;D76,H74&lt;H76),K75,IF(AND(D74&lt;D76,H74&gt;H76),360-K75,IF(AND(D74&gt;D76,H74&lt;H76),180-K75,IF(AND(D74&gt;D76,H74&gt;H76),180+K75)))))</f>
        <v>#DIV/0!</v>
      </c>
      <c r="M75" s="310">
        <f>(IF(I75=0,G75,IF(G75=0,COS(D76*PI()/180)*I75,G75/COS(K75*PI()/180))))</f>
        <v>0</v>
      </c>
      <c r="N75" s="427" t="str">
        <f>IF(C77="","",ROUND(L75,1))</f>
        <v/>
      </c>
      <c r="O75" s="428" t="str">
        <f>IF(C77="","",ROUND(M75,1))</f>
        <v/>
      </c>
      <c r="P75" s="429"/>
      <c r="Q75" s="432"/>
      <c r="R75" s="432"/>
      <c r="S75" s="122"/>
      <c r="T75" s="122" t="s">
        <v>24</v>
      </c>
      <c r="U75" s="430"/>
      <c r="V75" s="356" t="e">
        <f>(O75/P75+U75/60)/24</f>
        <v>#VALUE!</v>
      </c>
      <c r="W75" s="436"/>
      <c r="X75" s="122"/>
      <c r="Y75" s="199"/>
      <c r="Z75" s="122"/>
      <c r="AA75" s="122"/>
      <c r="AB75" s="126"/>
      <c r="AC75" s="203"/>
      <c r="AD75" s="458"/>
    </row>
    <row r="76" spans="1:30" ht="15" customHeight="1">
      <c r="A76" s="307" t="str">
        <f>IF(B76="","",A74+1)</f>
        <v/>
      </c>
      <c r="B76" s="444"/>
      <c r="C76" s="124"/>
      <c r="D76" s="310">
        <f>TRUNC(C76)+((C76-TRUNC(C76))/0.6)</f>
        <v>0</v>
      </c>
      <c r="E76" s="310">
        <f>TRUNC(C77)+((C77-TRUNC(C77))/0.6)</f>
        <v>0</v>
      </c>
      <c r="F76" s="311">
        <f>ROUND(((LOG10(TAN(PI()/4+(D76/2*PI()/180)))*7915.7046)-(3437.7468*((0.0816968^2*SIN(D76*PI()/180))+(0.0816968^4/3*((SIN(D76*PI()/180))^3))+(0.0816968^6/5*((SIN(D76*PI()/180))^5))))),2)</f>
        <v>0</v>
      </c>
      <c r="G76" s="312"/>
      <c r="H76" s="312">
        <f>IF(E76&lt;0,E76+360,E76)</f>
        <v>0</v>
      </c>
      <c r="I76" s="334"/>
      <c r="J76" s="335"/>
      <c r="K76" s="336"/>
      <c r="L76" s="310"/>
      <c r="M76" s="310"/>
      <c r="N76" s="427"/>
      <c r="O76" s="428"/>
      <c r="P76" s="429"/>
      <c r="Q76" s="432" t="str">
        <f>IF(O75="","",Q74+O75)</f>
        <v/>
      </c>
      <c r="R76" s="432" t="str">
        <f>IF(O75="","",R74-O75)</f>
        <v/>
      </c>
      <c r="S76" s="117"/>
      <c r="T76" s="117" t="s">
        <v>25</v>
      </c>
      <c r="U76" s="431"/>
      <c r="V76" s="356"/>
      <c r="W76" s="436" t="str">
        <f>IF(P75="","",W74+V75)</f>
        <v/>
      </c>
      <c r="X76" s="117"/>
      <c r="Y76" s="117"/>
      <c r="Z76" s="117"/>
      <c r="AA76" s="117"/>
      <c r="AB76" s="127"/>
      <c r="AC76" s="202"/>
      <c r="AD76" s="458"/>
    </row>
    <row r="77" spans="1:30" ht="15" customHeight="1">
      <c r="A77" s="307"/>
      <c r="B77" s="444"/>
      <c r="C77" s="125"/>
      <c r="D77" s="310"/>
      <c r="E77" s="310"/>
      <c r="F77" s="311"/>
      <c r="G77" s="312">
        <f>ABS(D76-D78)*60</f>
        <v>0</v>
      </c>
      <c r="H77" s="312"/>
      <c r="I77" s="334">
        <f>ABS(H76-H78)*60</f>
        <v>0</v>
      </c>
      <c r="J77" s="335">
        <f>ABS(F76-F78)</f>
        <v>0</v>
      </c>
      <c r="K77" s="336" t="e">
        <f>IF(AND(D76&lt;D78,H76=H78),0,IF(AND(D76&gt;D78,H76=H78),180,IF(AND(D76=D78,H76&lt;H78),90,IF(AND(D76=D78,H76&gt;H78),270,(ATAN(I77/J77)*180/PI())))))</f>
        <v>#DIV/0!</v>
      </c>
      <c r="L77" s="310" t="e">
        <f>IF(OR(K77=0,K77=90,K77=180,K77=270),K77,IF(AND(D76&lt;D78,H76&lt;H78),K77,IF(AND(D76&lt;D78,H76&gt;H78),360-K77,IF(AND(D76&gt;D78,H76&lt;H78),180-K77,IF(AND(D76&gt;D78,H76&gt;H78),180+K77)))))</f>
        <v>#DIV/0!</v>
      </c>
      <c r="M77" s="310">
        <f>(IF(I77=0,G77,IF(G77=0,COS(D78*PI()/180)*I77,G77/COS(K77*PI()/180))))</f>
        <v>0</v>
      </c>
      <c r="N77" s="427" t="str">
        <f>IF(C79="","",ROUND(L77,1))</f>
        <v/>
      </c>
      <c r="O77" s="428" t="str">
        <f>IF(C79="","",ROUND(M77,1))</f>
        <v/>
      </c>
      <c r="P77" s="429"/>
      <c r="Q77" s="432"/>
      <c r="R77" s="432"/>
      <c r="S77" s="122"/>
      <c r="T77" s="122" t="s">
        <v>23</v>
      </c>
      <c r="U77" s="430"/>
      <c r="V77" s="356" t="e">
        <f>(O77/P77+U77/60)/24</f>
        <v>#VALUE!</v>
      </c>
      <c r="W77" s="436"/>
      <c r="X77" s="122"/>
      <c r="Y77" s="199"/>
      <c r="Z77" s="122"/>
      <c r="AA77" s="122"/>
      <c r="AB77" s="126"/>
      <c r="AC77" s="203"/>
      <c r="AD77" s="458"/>
    </row>
    <row r="78" spans="1:30" ht="15" customHeight="1">
      <c r="A78" s="307" t="str">
        <f>IF(B78="","",A76+1)</f>
        <v/>
      </c>
      <c r="B78" s="444"/>
      <c r="C78" s="124"/>
      <c r="D78" s="310">
        <f>TRUNC(C78)+((C78-TRUNC(C78))/0.6)</f>
        <v>0</v>
      </c>
      <c r="E78" s="310">
        <f>TRUNC(C79)+((C79-TRUNC(C79))/0.6)</f>
        <v>0</v>
      </c>
      <c r="F78" s="311">
        <f>ROUND(((LOG10(TAN(PI()/4+(D78/2*PI()/180)))*7915.7046)-(3437.7468*((0.0816968^2*SIN(D78*PI()/180))+(0.0816968^4/3*((SIN(D78*PI()/180))^3))+(0.0816968^6/5*((SIN(D78*PI()/180))^5))))),2)</f>
        <v>0</v>
      </c>
      <c r="G78" s="312"/>
      <c r="H78" s="312">
        <f>IF(E78&lt;0,E78+360,E78)</f>
        <v>0</v>
      </c>
      <c r="I78" s="334"/>
      <c r="J78" s="335"/>
      <c r="K78" s="336"/>
      <c r="L78" s="310"/>
      <c r="M78" s="310"/>
      <c r="N78" s="427"/>
      <c r="O78" s="428"/>
      <c r="P78" s="429"/>
      <c r="Q78" s="432" t="str">
        <f>IF(O77="","",Q76+O77)</f>
        <v/>
      </c>
      <c r="R78" s="432" t="str">
        <f>IF(O77="","",R76-O77)</f>
        <v/>
      </c>
      <c r="S78" s="117"/>
      <c r="T78" s="117" t="s">
        <v>25</v>
      </c>
      <c r="U78" s="431"/>
      <c r="V78" s="356"/>
      <c r="W78" s="436" t="str">
        <f>IF(P77="","",W76+V77)</f>
        <v/>
      </c>
      <c r="X78" s="117"/>
      <c r="Y78" s="117"/>
      <c r="Z78" s="117"/>
      <c r="AA78" s="117"/>
      <c r="AB78" s="127"/>
      <c r="AC78" s="202"/>
      <c r="AD78" s="458"/>
    </row>
    <row r="79" spans="1:30" ht="15" customHeight="1">
      <c r="A79" s="307"/>
      <c r="B79" s="444"/>
      <c r="C79" s="125"/>
      <c r="D79" s="310"/>
      <c r="E79" s="310"/>
      <c r="F79" s="311"/>
      <c r="G79" s="312">
        <f>ABS(D78-D80)*60</f>
        <v>0</v>
      </c>
      <c r="H79" s="312"/>
      <c r="I79" s="334">
        <f>ABS(H78-H80)*60</f>
        <v>0</v>
      </c>
      <c r="J79" s="335">
        <f>ABS(F78-F80)</f>
        <v>0</v>
      </c>
      <c r="K79" s="336" t="e">
        <f>IF(AND(D78&lt;D80,H78=H80),0,IF(AND(D78&gt;D80,H78=H80),180,IF(AND(D78=D80,H78&lt;H80),90,IF(AND(D78=D80,H78&gt;H80),270,(ATAN(I79/J79)*180/PI())))))</f>
        <v>#DIV/0!</v>
      </c>
      <c r="L79" s="310" t="e">
        <f>IF(OR(K79=0,K79=90,K79=180,K79=270),K79,IF(AND(D78&lt;D80,H78&lt;H80),K79,IF(AND(D78&lt;D80,H78&gt;H80),360-K79,IF(AND(D78&gt;D80,H78&lt;H80),180-K79,IF(AND(D78&gt;D80,H78&gt;H80),180+K79)))))</f>
        <v>#DIV/0!</v>
      </c>
      <c r="M79" s="310">
        <f>(IF(I79=0,G79,IF(G79=0,COS(D80*PI()/180)*I79,G79/COS(K79*PI()/180))))</f>
        <v>0</v>
      </c>
      <c r="N79" s="427" t="str">
        <f>IF(C81="","",ROUND(L79,1))</f>
        <v/>
      </c>
      <c r="O79" s="428" t="str">
        <f>IF(C81="","",ROUND(M79,1))</f>
        <v/>
      </c>
      <c r="P79" s="429"/>
      <c r="Q79" s="432"/>
      <c r="R79" s="432"/>
      <c r="S79" s="122"/>
      <c r="T79" s="122" t="s">
        <v>22</v>
      </c>
      <c r="U79" s="430"/>
      <c r="V79" s="356" t="e">
        <f>(O79/P79+U79/60)/24</f>
        <v>#VALUE!</v>
      </c>
      <c r="W79" s="436"/>
      <c r="X79" s="122"/>
      <c r="Y79" s="199"/>
      <c r="Z79" s="122"/>
      <c r="AA79" s="122"/>
      <c r="AB79" s="126"/>
      <c r="AC79" s="203"/>
      <c r="AD79" s="458"/>
    </row>
    <row r="80" spans="1:30" ht="15" customHeight="1">
      <c r="A80" s="307" t="str">
        <f>IF(B80="","",A78+1)</f>
        <v/>
      </c>
      <c r="B80" s="444"/>
      <c r="C80" s="124"/>
      <c r="D80" s="310">
        <f>TRUNC(C80)+((C80-TRUNC(C80))/0.6)</f>
        <v>0</v>
      </c>
      <c r="E80" s="310">
        <f>TRUNC(C81)+((C81-TRUNC(C81))/0.6)</f>
        <v>0</v>
      </c>
      <c r="F80" s="311">
        <f>ROUND(((LOG10(TAN(PI()/4+(D80/2*PI()/180)))*7915.7046)-(3437.7468*((0.0816968^2*SIN(D80*PI()/180))+(0.0816968^4/3*((SIN(D80*PI()/180))^3))+(0.0816968^6/5*((SIN(D80*PI()/180))^5))))),2)</f>
        <v>0</v>
      </c>
      <c r="G80" s="312"/>
      <c r="H80" s="312">
        <f>IF(E80&lt;0,E80+360,E80)</f>
        <v>0</v>
      </c>
      <c r="I80" s="334"/>
      <c r="J80" s="335"/>
      <c r="K80" s="336"/>
      <c r="L80" s="310"/>
      <c r="M80" s="310"/>
      <c r="N80" s="427"/>
      <c r="O80" s="428"/>
      <c r="P80" s="429"/>
      <c r="Q80" s="432" t="str">
        <f>IF(O79="","",Q78+O79)</f>
        <v/>
      </c>
      <c r="R80" s="432" t="str">
        <f>IF(O79="","",R78-O79)</f>
        <v/>
      </c>
      <c r="S80" s="117"/>
      <c r="T80" s="117" t="s">
        <v>25</v>
      </c>
      <c r="U80" s="431"/>
      <c r="V80" s="356"/>
      <c r="W80" s="436" t="str">
        <f>IF(P79="","",W78+V79)</f>
        <v/>
      </c>
      <c r="X80" s="117"/>
      <c r="Y80" s="117"/>
      <c r="Z80" s="117"/>
      <c r="AA80" s="117"/>
      <c r="AB80" s="127"/>
      <c r="AC80" s="202"/>
      <c r="AD80" s="458"/>
    </row>
    <row r="81" spans="1:30" ht="15" customHeight="1">
      <c r="A81" s="307"/>
      <c r="B81" s="444"/>
      <c r="C81" s="125"/>
      <c r="D81" s="310"/>
      <c r="E81" s="310"/>
      <c r="F81" s="311"/>
      <c r="G81" s="312">
        <f>ABS(D80-D82)*60</f>
        <v>0</v>
      </c>
      <c r="H81" s="312"/>
      <c r="I81" s="334">
        <f>ABS(H80-H82)*60</f>
        <v>0</v>
      </c>
      <c r="J81" s="335">
        <f>ABS(F80-F82)</f>
        <v>0</v>
      </c>
      <c r="K81" s="336" t="e">
        <f>IF(AND(D80&lt;D82,H80=H82),0,IF(AND(D80&gt;D82,H80=H82),180,IF(AND(D80=D82,H80&lt;H82),90,IF(AND(D80=D82,H80&gt;H82),270,(ATAN(I81/J81)*180/PI())))))</f>
        <v>#DIV/0!</v>
      </c>
      <c r="L81" s="310" t="e">
        <f>IF(OR(K81=0,K81=90,K81=180,K81=270),K81,IF(AND(D80&lt;D82,H80&lt;H82),K81,IF(AND(D80&lt;D82,H80&gt;H82),360-K81,IF(AND(D80&gt;D82,H80&lt;H82),180-K81,IF(AND(D80&gt;D82,H80&gt;H82),180+K81)))))</f>
        <v>#DIV/0!</v>
      </c>
      <c r="M81" s="310">
        <f>(IF(I81=0,G81,IF(G81=0,COS(D82*PI()/180)*I81,G81/COS(K81*PI()/180))))</f>
        <v>0</v>
      </c>
      <c r="N81" s="427" t="str">
        <f>IF(C83="","",ROUND(L81,1))</f>
        <v/>
      </c>
      <c r="O81" s="428" t="str">
        <f>IF(C83="","",ROUND(M81,1))</f>
        <v/>
      </c>
      <c r="P81" s="429"/>
      <c r="Q81" s="432"/>
      <c r="R81" s="432"/>
      <c r="S81" s="122"/>
      <c r="T81" s="122" t="s">
        <v>22</v>
      </c>
      <c r="U81" s="430"/>
      <c r="V81" s="356" t="e">
        <f>(O81/P81+U81/60)/24</f>
        <v>#VALUE!</v>
      </c>
      <c r="W81" s="436"/>
      <c r="X81" s="122"/>
      <c r="Y81" s="199"/>
      <c r="Z81" s="122"/>
      <c r="AA81" s="122"/>
      <c r="AB81" s="126"/>
      <c r="AC81" s="203"/>
      <c r="AD81" s="458"/>
    </row>
    <row r="82" spans="1:30" ht="15" customHeight="1">
      <c r="A82" s="307" t="str">
        <f>IF(B82="","",A80+1)</f>
        <v/>
      </c>
      <c r="B82" s="444"/>
      <c r="C82" s="124"/>
      <c r="D82" s="310">
        <f>TRUNC(C82)+((C82-TRUNC(C82))/0.6)</f>
        <v>0</v>
      </c>
      <c r="E82" s="310">
        <f>TRUNC(C83)+((C83-TRUNC(C83))/0.6)</f>
        <v>0</v>
      </c>
      <c r="F82" s="311">
        <f>ROUND(((LOG10(TAN(PI()/4+(D82/2*PI()/180)))*7915.7046)-(3437.7468*((0.0816968^2*SIN(D82*PI()/180))+(0.0816968^4/3*((SIN(D82*PI()/180))^3))+(0.0816968^6/5*((SIN(D82*PI()/180))^5))))),2)</f>
        <v>0</v>
      </c>
      <c r="G82" s="312"/>
      <c r="H82" s="312">
        <f>IF(E82&lt;0,E82+360,E82)</f>
        <v>0</v>
      </c>
      <c r="I82" s="334"/>
      <c r="J82" s="335"/>
      <c r="K82" s="336"/>
      <c r="L82" s="310"/>
      <c r="M82" s="310"/>
      <c r="N82" s="427"/>
      <c r="O82" s="428"/>
      <c r="P82" s="429"/>
      <c r="Q82" s="432" t="str">
        <f>IF(O81="","",Q80+O81)</f>
        <v/>
      </c>
      <c r="R82" s="432" t="str">
        <f>IF(O81="","",R80-O81)</f>
        <v/>
      </c>
      <c r="S82" s="117"/>
      <c r="T82" s="117" t="s">
        <v>25</v>
      </c>
      <c r="U82" s="431"/>
      <c r="V82" s="356"/>
      <c r="W82" s="436" t="str">
        <f>IF(P81="","",W80+V81)</f>
        <v/>
      </c>
      <c r="X82" s="117"/>
      <c r="Y82" s="117"/>
      <c r="Z82" s="117"/>
      <c r="AA82" s="117"/>
      <c r="AB82" s="127"/>
      <c r="AC82" s="202"/>
      <c r="AD82" s="458"/>
    </row>
    <row r="83" spans="1:30" ht="15" customHeight="1">
      <c r="A83" s="307"/>
      <c r="B83" s="444"/>
      <c r="C83" s="125"/>
      <c r="D83" s="310"/>
      <c r="E83" s="310"/>
      <c r="F83" s="311"/>
      <c r="G83" s="312">
        <f>ABS(D82-D84)*60</f>
        <v>0</v>
      </c>
      <c r="H83" s="312"/>
      <c r="I83" s="334">
        <f>ABS(H82-H84)*60</f>
        <v>0</v>
      </c>
      <c r="J83" s="335">
        <f>ABS(F82-F84)</f>
        <v>0</v>
      </c>
      <c r="K83" s="336" t="e">
        <f>IF(AND(D82&lt;D84,H82=H84),0,IF(AND(D82&gt;D84,H82=H84),180,IF(AND(D82=D84,H82&lt;H84),90,IF(AND(D82=D84,H82&gt;H84),270,(ATAN(I83/J83)*180/PI())))))</f>
        <v>#DIV/0!</v>
      </c>
      <c r="L83" s="310" t="e">
        <f>IF(OR(K83=0,K83=90,K83=180,K83=270),K83,IF(AND(D82&lt;D84,H82&lt;H84),K83,IF(AND(D82&lt;D84,H82&gt;H84),360-K83,IF(AND(D82&gt;D84,H82&lt;H84),180-K83,IF(AND(D82&gt;D84,H82&gt;H84),180+K83)))))</f>
        <v>#DIV/0!</v>
      </c>
      <c r="M83" s="310">
        <f>(IF(I83=0,G83,IF(G83=0,COS(D84*PI()/180)*I83,G83/COS(K83*PI()/180))))</f>
        <v>0</v>
      </c>
      <c r="N83" s="427" t="str">
        <f>IF(C85="","",ROUND(L83,1))</f>
        <v/>
      </c>
      <c r="O83" s="428" t="str">
        <f>IF(C85="","",ROUND(M83,1))</f>
        <v/>
      </c>
      <c r="P83" s="429"/>
      <c r="Q83" s="432"/>
      <c r="R83" s="432"/>
      <c r="S83" s="122"/>
      <c r="T83" s="122" t="s">
        <v>27</v>
      </c>
      <c r="U83" s="430"/>
      <c r="V83" s="356" t="e">
        <f>(O83/P83+U83/60)/24</f>
        <v>#VALUE!</v>
      </c>
      <c r="W83" s="436"/>
      <c r="X83" s="122"/>
      <c r="Y83" s="199"/>
      <c r="Z83" s="122"/>
      <c r="AA83" s="122"/>
      <c r="AB83" s="126"/>
      <c r="AC83" s="203"/>
      <c r="AD83" s="458"/>
    </row>
    <row r="84" spans="1:30" ht="15" customHeight="1">
      <c r="A84" s="307" t="str">
        <f>IF(B84="","",A82+1)</f>
        <v/>
      </c>
      <c r="B84" s="444"/>
      <c r="C84" s="124"/>
      <c r="D84" s="310">
        <f>TRUNC(C84)+((C84-TRUNC(C84))/0.6)</f>
        <v>0</v>
      </c>
      <c r="E84" s="310">
        <f>TRUNC(C85)+((C85-TRUNC(C85))/0.6)</f>
        <v>0</v>
      </c>
      <c r="F84" s="311">
        <f>ROUND(((LOG10(TAN(PI()/4+(D84/2*PI()/180)))*7915.7046)-(3437.7468*((0.0816968^2*SIN(D84*PI()/180))+(0.0816968^4/3*((SIN(D84*PI()/180))^3))+(0.0816968^6/5*((SIN(D84*PI()/180))^5))))),2)</f>
        <v>0</v>
      </c>
      <c r="G84" s="312"/>
      <c r="H84" s="312">
        <f>IF(E84&lt;0,E84+360,E84)</f>
        <v>0</v>
      </c>
      <c r="I84" s="334"/>
      <c r="J84" s="335"/>
      <c r="K84" s="336"/>
      <c r="L84" s="310"/>
      <c r="M84" s="310"/>
      <c r="N84" s="427"/>
      <c r="O84" s="428"/>
      <c r="P84" s="429"/>
      <c r="Q84" s="432" t="str">
        <f>IF(O83="","",Q82+O83)</f>
        <v/>
      </c>
      <c r="R84" s="432" t="str">
        <f>IF(O83="","",R82-O83)</f>
        <v/>
      </c>
      <c r="S84" s="117"/>
      <c r="T84" s="117" t="s">
        <v>25</v>
      </c>
      <c r="U84" s="431"/>
      <c r="V84" s="356"/>
      <c r="W84" s="436" t="str">
        <f>IF(P83="","",W82+V83)</f>
        <v/>
      </c>
      <c r="X84" s="117"/>
      <c r="Y84" s="117"/>
      <c r="Z84" s="117"/>
      <c r="AA84" s="117"/>
      <c r="AB84" s="127"/>
      <c r="AC84" s="202"/>
      <c r="AD84" s="460"/>
    </row>
    <row r="85" spans="1:30" ht="15" customHeight="1">
      <c r="A85" s="307"/>
      <c r="B85" s="444"/>
      <c r="C85" s="125"/>
      <c r="D85" s="310"/>
      <c r="E85" s="310"/>
      <c r="F85" s="311"/>
      <c r="G85" s="312">
        <f>ABS(D84-D86)*60</f>
        <v>0</v>
      </c>
      <c r="H85" s="312"/>
      <c r="I85" s="334">
        <f>ABS(H84-H86)*60</f>
        <v>0</v>
      </c>
      <c r="J85" s="335">
        <f>ABS(F84-F86)</f>
        <v>0</v>
      </c>
      <c r="K85" s="336" t="e">
        <f>IF(AND(D84&lt;D86,H84=H86),0,IF(AND(D84&gt;D86,H84=H86),180,IF(AND(D84=D86,H84&lt;H86),90,IF(AND(D84=D86,H84&gt;H86),270,(ATAN(I85/J85)*180/PI())))))</f>
        <v>#DIV/0!</v>
      </c>
      <c r="L85" s="310" t="e">
        <f>IF(OR(K85=0,K85=90,K85=180,K85=270),K85,IF(AND(D84&lt;D86,H84&lt;H86),K85,IF(AND(D84&lt;D86,H84&gt;H86),360-K85,IF(AND(D84&gt;D86,H84&lt;H86),180-K85,IF(AND(D84&gt;D86,H84&gt;H86),180+K85)))))</f>
        <v>#DIV/0!</v>
      </c>
      <c r="M85" s="310">
        <f>(IF(I85=0,G85,IF(G85=0,COS(D86*PI()/180)*I85,G85/COS(K85*PI()/180))))</f>
        <v>0</v>
      </c>
      <c r="N85" s="427" t="str">
        <f>IF(C87="","",ROUND(L85,1))</f>
        <v/>
      </c>
      <c r="O85" s="428" t="str">
        <f>IF(C87="","",ROUND(M85,1))</f>
        <v/>
      </c>
      <c r="P85" s="429"/>
      <c r="Q85" s="432"/>
      <c r="R85" s="432"/>
      <c r="S85" s="122"/>
      <c r="T85" s="122" t="s">
        <v>27</v>
      </c>
      <c r="U85" s="430"/>
      <c r="V85" s="356" t="e">
        <f>(O85/P85+U85/60)/24</f>
        <v>#VALUE!</v>
      </c>
      <c r="W85" s="436"/>
      <c r="X85" s="122"/>
      <c r="Y85" s="199"/>
      <c r="Z85" s="122"/>
      <c r="AA85" s="122"/>
      <c r="AB85" s="126"/>
      <c r="AC85" s="203"/>
      <c r="AD85" s="460"/>
    </row>
    <row r="86" spans="1:30" ht="15" customHeight="1">
      <c r="A86" s="307" t="str">
        <f>IF(B86="","",A84+1)</f>
        <v/>
      </c>
      <c r="B86" s="444"/>
      <c r="C86" s="124"/>
      <c r="D86" s="310">
        <f>TRUNC(C86)+((C86-TRUNC(C86))/0.6)</f>
        <v>0</v>
      </c>
      <c r="E86" s="310">
        <f>TRUNC(C87)+((C87-TRUNC(C87))/0.6)</f>
        <v>0</v>
      </c>
      <c r="F86" s="311">
        <f>ROUND(((LOG10(TAN(PI()/4+(D86/2*PI()/180)))*7915.7046)-(3437.7468*((0.0816968^2*SIN(D86*PI()/180))+(0.0816968^4/3*((SIN(D86*PI()/180))^3))+(0.0816968^6/5*((SIN(D86*PI()/180))^5))))),2)</f>
        <v>0</v>
      </c>
      <c r="G86" s="312"/>
      <c r="H86" s="312">
        <f>IF(E86&lt;0,E86+360,E86)</f>
        <v>0</v>
      </c>
      <c r="I86" s="334"/>
      <c r="J86" s="335"/>
      <c r="K86" s="336"/>
      <c r="L86" s="310"/>
      <c r="M86" s="310"/>
      <c r="N86" s="427"/>
      <c r="O86" s="428"/>
      <c r="P86" s="429"/>
      <c r="Q86" s="432" t="str">
        <f>IF(O85="","",Q84+O85)</f>
        <v/>
      </c>
      <c r="R86" s="432" t="str">
        <f>IF(O85="","",R84-O85)</f>
        <v/>
      </c>
      <c r="S86" s="117"/>
      <c r="T86" s="117" t="s">
        <v>26</v>
      </c>
      <c r="U86" s="431"/>
      <c r="V86" s="356"/>
      <c r="W86" s="436" t="str">
        <f>IF(P85="","",W84+V85)</f>
        <v/>
      </c>
      <c r="X86" s="117"/>
      <c r="Y86" s="117"/>
      <c r="Z86" s="117"/>
      <c r="AA86" s="117"/>
      <c r="AB86" s="127"/>
      <c r="AC86" s="202"/>
      <c r="AD86" s="458"/>
    </row>
    <row r="87" spans="1:30" ht="15" customHeight="1">
      <c r="A87" s="307"/>
      <c r="B87" s="444"/>
      <c r="C87" s="125"/>
      <c r="D87" s="310"/>
      <c r="E87" s="310"/>
      <c r="F87" s="311"/>
      <c r="G87" s="312">
        <f>ABS(D86-D88)*60</f>
        <v>0</v>
      </c>
      <c r="H87" s="312"/>
      <c r="I87" s="334">
        <f>ABS(H86-H88)*60</f>
        <v>0</v>
      </c>
      <c r="J87" s="335">
        <f>ABS(F86-F88)</f>
        <v>0</v>
      </c>
      <c r="K87" s="336" t="e">
        <f>IF(AND(D86&lt;D88,H86=H88),0,IF(AND(D86&gt;D88,H86=H88),180,IF(AND(D86=D88,H86&lt;H88),90,IF(AND(D86=D88,H86&gt;H88),270,(ATAN(I87/J87)*180/PI())))))</f>
        <v>#DIV/0!</v>
      </c>
      <c r="L87" s="310" t="e">
        <f>IF(OR(K87=0,K87=90,K87=180,K87=270),K87,IF(AND(D86&lt;D88,H86&lt;H88),K87,IF(AND(D86&lt;D88,H86&gt;H88),360-K87,IF(AND(D86&gt;D88,H86&lt;H88),180-K87,IF(AND(D86&gt;D88,H86&gt;H88),180+K87)))))</f>
        <v>#DIV/0!</v>
      </c>
      <c r="M87" s="310">
        <f>(IF(I87=0,G87,IF(G87=0,COS(D88*PI()/180)*I87,G87/COS(K87*PI()/180))))</f>
        <v>0</v>
      </c>
      <c r="N87" s="427" t="str">
        <f>IF(C89="","",ROUND(L87,1))</f>
        <v/>
      </c>
      <c r="O87" s="428" t="str">
        <f>IF(C89="","",ROUND(M87,1))</f>
        <v/>
      </c>
      <c r="P87" s="429"/>
      <c r="Q87" s="432"/>
      <c r="R87" s="432"/>
      <c r="S87" s="122"/>
      <c r="T87" s="122" t="s">
        <v>29</v>
      </c>
      <c r="U87" s="430"/>
      <c r="V87" s="356" t="e">
        <f>(O87/P87+U87/60)/24</f>
        <v>#VALUE!</v>
      </c>
      <c r="W87" s="436"/>
      <c r="X87" s="122"/>
      <c r="Y87" s="199"/>
      <c r="Z87" s="122"/>
      <c r="AA87" s="122"/>
      <c r="AB87" s="126"/>
      <c r="AC87" s="203"/>
      <c r="AD87" s="458"/>
    </row>
    <row r="88" spans="1:30" ht="15" customHeight="1">
      <c r="A88" s="307" t="str">
        <f>IF(B88="","",A86+1)</f>
        <v/>
      </c>
      <c r="B88" s="461"/>
      <c r="C88" s="124"/>
      <c r="D88" s="310">
        <f>TRUNC(C88)+((C88-TRUNC(C88))/0.6)</f>
        <v>0</v>
      </c>
      <c r="E88" s="310">
        <f>TRUNC(C89)+((C89-TRUNC(C89))/0.6)</f>
        <v>0</v>
      </c>
      <c r="F88" s="311">
        <f>ROUND(((LOG10(TAN(PI()/4+(D88/2*PI()/180)))*7915.7046)-(3437.7468*((0.0816968^2*SIN(D88*PI()/180))+(0.0816968^4/3*((SIN(D88*PI()/180))^3))+(0.0816968^6/5*((SIN(D88*PI()/180))^5))))),2)</f>
        <v>0</v>
      </c>
      <c r="G88" s="312"/>
      <c r="H88" s="312">
        <f>IF(E88&lt;0,E88+360,E88)</f>
        <v>0</v>
      </c>
      <c r="I88" s="334"/>
      <c r="J88" s="335"/>
      <c r="K88" s="336"/>
      <c r="L88" s="310"/>
      <c r="M88" s="310"/>
      <c r="N88" s="427"/>
      <c r="O88" s="428"/>
      <c r="P88" s="429"/>
      <c r="Q88" s="432" t="str">
        <f>IF(O87="","",Q86+O87)</f>
        <v/>
      </c>
      <c r="R88" s="432" t="str">
        <f>IF(O87="","",R86-O87)</f>
        <v/>
      </c>
      <c r="S88" s="117"/>
      <c r="T88" s="117" t="s">
        <v>26</v>
      </c>
      <c r="U88" s="431"/>
      <c r="V88" s="356"/>
      <c r="W88" s="436" t="str">
        <f>IF(P87="","",W86+V87)</f>
        <v/>
      </c>
      <c r="X88" s="117"/>
      <c r="Y88" s="117"/>
      <c r="Z88" s="117"/>
      <c r="AA88" s="117"/>
      <c r="AB88" s="127"/>
      <c r="AC88" s="202"/>
      <c r="AD88" s="460" t="s">
        <v>28</v>
      </c>
    </row>
    <row r="89" spans="1:30" ht="15" customHeight="1">
      <c r="A89" s="307"/>
      <c r="B89" s="462"/>
      <c r="C89" s="125"/>
      <c r="D89" s="310"/>
      <c r="E89" s="310"/>
      <c r="F89" s="311"/>
      <c r="G89" s="312">
        <f>ABS(D88-D90)*60</f>
        <v>0</v>
      </c>
      <c r="H89" s="312"/>
      <c r="I89" s="334">
        <f>ABS(H88-H90)*60</f>
        <v>0</v>
      </c>
      <c r="J89" s="335">
        <f>ABS(F88-F90)</f>
        <v>0</v>
      </c>
      <c r="K89" s="336" t="e">
        <f>IF(AND(D88&lt;D90,H88=H90),0,IF(AND(D88&gt;D90,H88=H90),180,IF(AND(D88=D90,H88&lt;H90),90,IF(AND(D88=D90,H88&gt;H90),270,(ATAN(I89/J89)*180/PI())))))</f>
        <v>#DIV/0!</v>
      </c>
      <c r="L89" s="310" t="e">
        <f>IF(OR(K89=0,K89=90,K89=180,K89=270),K89,IF(AND(D88&lt;D90,H88&lt;H90),K89,IF(AND(D88&lt;D90,H88&gt;H90),360-K89,IF(AND(D88&gt;D90,H88&lt;H90),180-K89,IF(AND(D88&gt;D90,H88&gt;H90),180+K89)))))</f>
        <v>#DIV/0!</v>
      </c>
      <c r="M89" s="310">
        <f>(IF(I89=0,G89,IF(G89=0,COS(D90*PI()/180)*I89,G89/COS(K89*PI()/180))))</f>
        <v>0</v>
      </c>
      <c r="N89" s="427" t="str">
        <f>IF(C91="","",ROUND(L89,1))</f>
        <v/>
      </c>
      <c r="O89" s="428" t="str">
        <f>IF(C91="","",ROUND(M89,1))</f>
        <v/>
      </c>
      <c r="P89" s="429"/>
      <c r="Q89" s="432"/>
      <c r="R89" s="432"/>
      <c r="S89" s="122"/>
      <c r="T89" s="122" t="s">
        <v>29</v>
      </c>
      <c r="U89" s="430"/>
      <c r="V89" s="356" t="e">
        <f>(O89/P89+U89/60)/24</f>
        <v>#VALUE!</v>
      </c>
      <c r="W89" s="436"/>
      <c r="X89" s="122"/>
      <c r="Y89" s="199"/>
      <c r="Z89" s="122"/>
      <c r="AA89" s="122"/>
      <c r="AB89" s="126"/>
      <c r="AC89" s="203"/>
      <c r="AD89" s="460"/>
    </row>
    <row r="90" spans="1:30" ht="15" customHeight="1">
      <c r="A90" s="307" t="str">
        <f>IF(B90="","",A88+1)</f>
        <v/>
      </c>
      <c r="B90" s="461"/>
      <c r="C90" s="124"/>
      <c r="D90" s="310">
        <f>TRUNC(C90)+((C90-TRUNC(C90))/0.6)</f>
        <v>0</v>
      </c>
      <c r="E90" s="310">
        <f>TRUNC(C91)+((C91-TRUNC(C91))/0.6)</f>
        <v>0</v>
      </c>
      <c r="F90" s="311">
        <f>ROUND(((LOG10(TAN(PI()/4+(D90/2*PI()/180)))*7915.7046)-(3437.7468*((0.0816968^2*SIN(D90*PI()/180))+(0.0816968^4/3*((SIN(D90*PI()/180))^3))+(0.0816968^6/5*((SIN(D90*PI()/180))^5))))),2)</f>
        <v>0</v>
      </c>
      <c r="G90" s="312"/>
      <c r="H90" s="312">
        <f>IF(E90&lt;0,E90+360,E90)</f>
        <v>0</v>
      </c>
      <c r="I90" s="334"/>
      <c r="J90" s="335"/>
      <c r="K90" s="336"/>
      <c r="L90" s="310"/>
      <c r="M90" s="310"/>
      <c r="N90" s="427"/>
      <c r="O90" s="428"/>
      <c r="P90" s="429"/>
      <c r="Q90" s="432" t="str">
        <f>IF(O89="","",Q88+O89)</f>
        <v/>
      </c>
      <c r="R90" s="432" t="str">
        <f>IF(O89="","",R88-O89)</f>
        <v/>
      </c>
      <c r="S90" s="117"/>
      <c r="T90" s="117" t="s">
        <v>25</v>
      </c>
      <c r="U90" s="431"/>
      <c r="V90" s="356"/>
      <c r="W90" s="436" t="str">
        <f>IF(P89="","",W88+V89)</f>
        <v/>
      </c>
      <c r="X90" s="117"/>
      <c r="Y90" s="117"/>
      <c r="Z90" s="117"/>
      <c r="AA90" s="117"/>
      <c r="AB90" s="127"/>
      <c r="AC90" s="202"/>
      <c r="AD90" s="458" t="s">
        <v>28</v>
      </c>
    </row>
    <row r="91" spans="1:30" ht="15" customHeight="1">
      <c r="A91" s="307"/>
      <c r="B91" s="462"/>
      <c r="C91" s="125"/>
      <c r="D91" s="310"/>
      <c r="E91" s="310"/>
      <c r="F91" s="311"/>
      <c r="G91" s="312">
        <f>ABS(D90-D92)*60</f>
        <v>0</v>
      </c>
      <c r="H91" s="312"/>
      <c r="I91" s="334">
        <f>ABS(H90-H92)*60</f>
        <v>0</v>
      </c>
      <c r="J91" s="335">
        <f>ABS(F90-F92)</f>
        <v>0</v>
      </c>
      <c r="K91" s="336" t="e">
        <f>IF(AND(D90&lt;D92,H90=H92),0,IF(AND(D90&gt;D92,H90=H92),180,IF(AND(D90=D92,H90&lt;H92),90,IF(AND(D90=D92,H90&gt;H92),270,(ATAN(I91/J91)*180/PI())))))</f>
        <v>#DIV/0!</v>
      </c>
      <c r="L91" s="310" t="e">
        <f>IF(OR(K91=0,K91=90,K91=180,K91=270),K91,IF(AND(D90&lt;D92,H90&lt;H92),K91,IF(AND(D90&lt;D92,H90&gt;H92),360-K91,IF(AND(D90&gt;D92,H90&lt;H92),180-K91,IF(AND(D90&gt;D92,H90&gt;H92),180+K91)))))</f>
        <v>#DIV/0!</v>
      </c>
      <c r="M91" s="310">
        <f>(IF(I91=0,G91,IF(G91=0,COS(D92*PI()/180)*I91,G91/COS(K91*PI()/180))))</f>
        <v>0</v>
      </c>
      <c r="N91" s="427" t="str">
        <f>IF(C93="","",ROUND(L91,1))</f>
        <v/>
      </c>
      <c r="O91" s="428" t="str">
        <f>IF(C93="","",ROUND(M91,1))</f>
        <v/>
      </c>
      <c r="P91" s="429"/>
      <c r="Q91" s="432"/>
      <c r="R91" s="432"/>
      <c r="S91" s="122"/>
      <c r="T91" s="122" t="s">
        <v>27</v>
      </c>
      <c r="U91" s="430"/>
      <c r="V91" s="356" t="e">
        <f>(O91/P91+U91/60)/24</f>
        <v>#VALUE!</v>
      </c>
      <c r="W91" s="436"/>
      <c r="X91" s="122"/>
      <c r="Y91" s="199"/>
      <c r="Z91" s="122"/>
      <c r="AA91" s="122"/>
      <c r="AB91" s="126"/>
      <c r="AC91" s="203"/>
      <c r="AD91" s="458"/>
    </row>
    <row r="92" spans="1:30" ht="15" customHeight="1">
      <c r="A92" s="307" t="str">
        <f t="shared" ref="A92" si="3">IF(B92="","",A90+1)</f>
        <v/>
      </c>
      <c r="B92" s="461"/>
      <c r="C92" s="124"/>
      <c r="D92" s="310">
        <f>TRUNC(C92)+((C92-TRUNC(C92))/0.6)</f>
        <v>0</v>
      </c>
      <c r="E92" s="310">
        <f>TRUNC(C93)+((C93-TRUNC(C93))/0.6)</f>
        <v>0</v>
      </c>
      <c r="F92" s="311">
        <f>ROUND(((LOG10(TAN(PI()/4+(D92/2*PI()/180)))*7915.7046)-(3437.7468*((0.0816968^2*SIN(D92*PI()/180))+(0.0816968^4/3*((SIN(D92*PI()/180))^3))+(0.0816968^6/5*((SIN(D92*PI()/180))^5))))),2)</f>
        <v>0</v>
      </c>
      <c r="G92" s="312"/>
      <c r="H92" s="312">
        <f>IF(E92&lt;0,E92+360,E92)</f>
        <v>0</v>
      </c>
      <c r="I92" s="334"/>
      <c r="J92" s="335"/>
      <c r="K92" s="336"/>
      <c r="L92" s="310"/>
      <c r="M92" s="310"/>
      <c r="N92" s="427"/>
      <c r="O92" s="428"/>
      <c r="P92" s="429"/>
      <c r="Q92" s="432" t="str">
        <f>IF(O91="","",Q90+O91)</f>
        <v/>
      </c>
      <c r="R92" s="432" t="str">
        <f>IF(O91="","",R90-O91)</f>
        <v/>
      </c>
      <c r="S92" s="117"/>
      <c r="T92" s="117" t="s">
        <v>25</v>
      </c>
      <c r="U92" s="431"/>
      <c r="V92" s="356"/>
      <c r="W92" s="436" t="str">
        <f>IF(P91="","",W90+V91)</f>
        <v/>
      </c>
      <c r="X92" s="117"/>
      <c r="Y92" s="117"/>
      <c r="Z92" s="117"/>
      <c r="AA92" s="117"/>
      <c r="AB92" s="127"/>
      <c r="AC92" s="202"/>
      <c r="AD92" s="458"/>
    </row>
    <row r="93" spans="1:30" ht="15" customHeight="1">
      <c r="A93" s="307"/>
      <c r="B93" s="462"/>
      <c r="C93" s="125"/>
      <c r="D93" s="310"/>
      <c r="E93" s="310"/>
      <c r="F93" s="311"/>
      <c r="G93" s="312">
        <f>ABS(D92-D94)*60</f>
        <v>0</v>
      </c>
      <c r="H93" s="312"/>
      <c r="I93" s="334">
        <f>ABS(H92-H94)*60</f>
        <v>0</v>
      </c>
      <c r="J93" s="335">
        <f>ABS(F92-F94)</f>
        <v>0</v>
      </c>
      <c r="K93" s="336" t="e">
        <f>IF(AND(D92&lt;D94,H92=H94),0,IF(AND(D92&gt;D94,H92=H94),180,IF(AND(D92=D94,H92&lt;H94),90,IF(AND(D92=D94,H92&gt;H94),270,(ATAN(I93/J93)*180/PI())))))</f>
        <v>#DIV/0!</v>
      </c>
      <c r="L93" s="310" t="e">
        <f>IF(OR(K93=0,K93=90,K93=180,K93=270),K93,IF(AND(D92&lt;D94,H92&lt;H94),K93,IF(AND(D92&lt;D94,H92&gt;H94),360-K93,IF(AND(D92&gt;D94,H92&lt;H94),180-K93,IF(AND(D92&gt;D94,H92&gt;H94),180+K93)))))</f>
        <v>#DIV/0!</v>
      </c>
      <c r="M93" s="310">
        <f>(IF(I93=0,G93,IF(G93=0,COS(D94*PI()/180)*I93,G93/COS(K93*PI()/180))))</f>
        <v>0</v>
      </c>
      <c r="N93" s="427" t="str">
        <f>IF(C95="","",ROUND(L93,1))</f>
        <v/>
      </c>
      <c r="O93" s="428" t="str">
        <f>IF(C95="","",ROUND(M93,1))</f>
        <v/>
      </c>
      <c r="P93" s="429"/>
      <c r="Q93" s="432"/>
      <c r="R93" s="432"/>
      <c r="S93" s="122"/>
      <c r="T93" s="122" t="s">
        <v>22</v>
      </c>
      <c r="U93" s="430"/>
      <c r="V93" s="356" t="e">
        <f>(O93/P93+U93/60)/24</f>
        <v>#VALUE!</v>
      </c>
      <c r="W93" s="436"/>
      <c r="X93" s="122"/>
      <c r="Y93" s="199"/>
      <c r="Z93" s="122"/>
      <c r="AA93" s="122"/>
      <c r="AB93" s="126"/>
      <c r="AC93" s="203"/>
      <c r="AD93" s="458"/>
    </row>
    <row r="94" spans="1:30" ht="15" customHeight="1">
      <c r="A94" s="307" t="str">
        <f t="shared" ref="A94" si="4">IF(B94="","",A92+1)</f>
        <v/>
      </c>
      <c r="B94" s="400"/>
      <c r="C94" s="124"/>
      <c r="D94" s="310">
        <f>TRUNC(C94)+((C94-TRUNC(C94))/0.6)</f>
        <v>0</v>
      </c>
      <c r="E94" s="310">
        <f>TRUNC(C95)+((C95-TRUNC(C95))/0.6)</f>
        <v>0</v>
      </c>
      <c r="F94" s="311">
        <f>ROUND(((LOG10(TAN(PI()/4+(D94/2*PI()/180)))*7915.7046)-(3437.7468*((0.0816968^2*SIN(D94*PI()/180))+(0.0816968^4/3*((SIN(D94*PI()/180))^3))+(0.0816968^6/5*((SIN(D94*PI()/180))^5))))),2)</f>
        <v>0</v>
      </c>
      <c r="G94" s="312"/>
      <c r="H94" s="312">
        <f>IF(E94&lt;0,E94+360,E94)</f>
        <v>0</v>
      </c>
      <c r="I94" s="334"/>
      <c r="J94" s="335"/>
      <c r="K94" s="336"/>
      <c r="L94" s="310"/>
      <c r="M94" s="310"/>
      <c r="N94" s="427"/>
      <c r="O94" s="428"/>
      <c r="P94" s="429"/>
      <c r="Q94" s="432" t="str">
        <f>IF(O93="","",Q92+O93)</f>
        <v/>
      </c>
      <c r="R94" s="432" t="str">
        <f>IF(O93="","",R92-O93)</f>
        <v/>
      </c>
      <c r="S94" s="117"/>
      <c r="T94" s="117" t="s">
        <v>25</v>
      </c>
      <c r="U94" s="431"/>
      <c r="V94" s="356"/>
      <c r="W94" s="436" t="str">
        <f>IF(P93="","",W92+V93)</f>
        <v/>
      </c>
      <c r="X94" s="117"/>
      <c r="Y94" s="117"/>
      <c r="Z94" s="117"/>
      <c r="AA94" s="117"/>
      <c r="AB94" s="127"/>
      <c r="AC94" s="202"/>
      <c r="AD94" s="454" t="s">
        <v>71</v>
      </c>
    </row>
    <row r="95" spans="1:30" ht="15" customHeight="1">
      <c r="A95" s="307"/>
      <c r="B95" s="401"/>
      <c r="C95" s="125"/>
      <c r="D95" s="310"/>
      <c r="E95" s="310"/>
      <c r="F95" s="311"/>
      <c r="G95" s="312">
        <f>ABS(D94-D96)*60</f>
        <v>0</v>
      </c>
      <c r="H95" s="312"/>
      <c r="I95" s="334">
        <f>ABS(H94-H96)*60</f>
        <v>0</v>
      </c>
      <c r="J95" s="335">
        <f>ABS(F94-F96)</f>
        <v>0</v>
      </c>
      <c r="K95" s="336" t="e">
        <f>IF(AND(D94&lt;D96,H94=H96),0,IF(AND(D94&gt;D96,H94=H96),180,IF(AND(D94=D96,H94&lt;H96),90,IF(AND(D94=D96,H94&gt;H96),270,(ATAN(I95/J95)*180/PI())))))</f>
        <v>#DIV/0!</v>
      </c>
      <c r="L95" s="310" t="e">
        <f>IF(OR(K95=0,K95=90,K95=180,K95=270),K95,IF(AND(D94&lt;D96,H94&lt;H96),K95,IF(AND(D94&lt;D96,H94&gt;H96),360-K95,IF(AND(D94&gt;D96,H94&lt;H96),180-K95,IF(AND(D94&gt;D96,H94&gt;H96),180+K95)))))</f>
        <v>#DIV/0!</v>
      </c>
      <c r="M95" s="310">
        <f>(IF(I95=0,G95,IF(G95=0,COS(D96*PI()/180)*I95,G95/COS(K95*PI()/180))))</f>
        <v>0</v>
      </c>
      <c r="N95" s="427" t="str">
        <f>IF(C97="","",ROUND(L95,1))</f>
        <v/>
      </c>
      <c r="O95" s="428" t="str">
        <f>IF(C97="","",ROUND(M95,1))</f>
        <v/>
      </c>
      <c r="P95" s="429"/>
      <c r="Q95" s="432"/>
      <c r="R95" s="432"/>
      <c r="S95" s="122"/>
      <c r="T95" s="122" t="s">
        <v>23</v>
      </c>
      <c r="U95" s="430"/>
      <c r="V95" s="356" t="e">
        <f>(O95/P95+U95/60)/24</f>
        <v>#VALUE!</v>
      </c>
      <c r="W95" s="436"/>
      <c r="X95" s="122"/>
      <c r="Y95" s="199"/>
      <c r="Z95" s="122"/>
      <c r="AA95" s="122"/>
      <c r="AB95" s="126"/>
      <c r="AC95" s="203"/>
      <c r="AD95" s="455"/>
    </row>
    <row r="96" spans="1:30" ht="15" customHeight="1">
      <c r="A96" s="307" t="str">
        <f t="shared" ref="A96" si="5">IF(B96="","",A94+1)</f>
        <v/>
      </c>
      <c r="B96" s="444"/>
      <c r="C96" s="124"/>
      <c r="D96" s="310">
        <f>TRUNC(C96)+((C96-TRUNC(C96))/0.6)</f>
        <v>0</v>
      </c>
      <c r="E96" s="310">
        <f>TRUNC(C97)+((C97-TRUNC(C97))/0.6)</f>
        <v>0</v>
      </c>
      <c r="F96" s="311">
        <f>ROUND(((LOG10(TAN(PI()/4+(D96/2*PI()/180)))*7915.7046)-(3437.7468*((0.0816968^2*SIN(D96*PI()/180))+(0.0816968^4/3*((SIN(D96*PI()/180))^3))+(0.0816968^6/5*((SIN(D96*PI()/180))^5))))),2)</f>
        <v>0</v>
      </c>
      <c r="G96" s="312"/>
      <c r="H96" s="312">
        <f>IF(E96&lt;0,E96+360,E96)</f>
        <v>0</v>
      </c>
      <c r="I96" s="334"/>
      <c r="J96" s="335"/>
      <c r="K96" s="336"/>
      <c r="L96" s="310"/>
      <c r="M96" s="310"/>
      <c r="N96" s="427"/>
      <c r="O96" s="428"/>
      <c r="P96" s="429"/>
      <c r="Q96" s="432" t="str">
        <f>IF(O95="","",Q94+O95)</f>
        <v/>
      </c>
      <c r="R96" s="432" t="str">
        <f>IF(O95="","",R94-O95)</f>
        <v/>
      </c>
      <c r="S96" s="117"/>
      <c r="T96" s="117"/>
      <c r="U96" s="431"/>
      <c r="V96" s="356"/>
      <c r="W96" s="436" t="str">
        <f>IF(P95="","",W94+V95)</f>
        <v/>
      </c>
      <c r="X96" s="117"/>
      <c r="Y96" s="117"/>
      <c r="Z96" s="117"/>
      <c r="AA96" s="117"/>
      <c r="AB96" s="127"/>
      <c r="AC96" s="202"/>
      <c r="AD96" s="455"/>
    </row>
    <row r="97" spans="1:30" s="94" customFormat="1" ht="15" customHeight="1">
      <c r="A97" s="307"/>
      <c r="B97" s="444"/>
      <c r="C97" s="125"/>
      <c r="D97" s="310"/>
      <c r="E97" s="310"/>
      <c r="F97" s="311"/>
      <c r="G97" s="128"/>
      <c r="H97" s="312"/>
      <c r="I97" s="128"/>
      <c r="J97" s="128"/>
      <c r="K97" s="128"/>
      <c r="L97" s="128"/>
      <c r="M97" s="128"/>
      <c r="N97" s="197"/>
      <c r="O97" s="116"/>
      <c r="P97" s="116"/>
      <c r="Q97" s="432"/>
      <c r="R97" s="432"/>
      <c r="S97" s="122"/>
      <c r="T97" s="122"/>
      <c r="U97" s="129"/>
      <c r="V97" s="118"/>
      <c r="W97" s="436"/>
      <c r="X97" s="122"/>
      <c r="Y97" s="199"/>
      <c r="Z97" s="122"/>
      <c r="AA97" s="122"/>
      <c r="AB97" s="126"/>
      <c r="AC97" s="203"/>
      <c r="AD97" s="456"/>
    </row>
    <row r="98" spans="1:30" ht="13.5" customHeight="1">
      <c r="A98" s="397"/>
      <c r="B98" s="397"/>
      <c r="C98" s="397"/>
      <c r="D98" s="397"/>
      <c r="E98" s="397"/>
      <c r="F98" s="397"/>
      <c r="G98" s="397"/>
      <c r="H98" s="397"/>
      <c r="I98" s="397"/>
      <c r="J98" s="397"/>
      <c r="K98" s="397"/>
      <c r="L98" s="397"/>
      <c r="M98" s="397"/>
      <c r="N98" s="397"/>
      <c r="O98" s="397"/>
      <c r="P98" s="397"/>
      <c r="Q98" s="397"/>
      <c r="R98" s="397"/>
      <c r="S98" s="397"/>
      <c r="T98" s="397"/>
      <c r="U98" s="397"/>
      <c r="V98" s="397"/>
      <c r="W98" s="397"/>
      <c r="X98" s="397"/>
      <c r="Y98" s="397"/>
      <c r="Z98" s="397"/>
      <c r="AA98" s="397"/>
      <c r="AB98" s="397"/>
      <c r="AC98" s="397"/>
      <c r="AD98" s="397"/>
    </row>
    <row r="99" spans="1:30" s="107" customFormat="1" ht="13.5" customHeight="1">
      <c r="A99" s="397"/>
      <c r="B99" s="397"/>
      <c r="C99" s="397"/>
      <c r="D99" s="397"/>
      <c r="E99" s="397"/>
      <c r="F99" s="397"/>
      <c r="G99" s="397"/>
      <c r="H99" s="397"/>
      <c r="I99" s="397"/>
      <c r="J99" s="397"/>
      <c r="K99" s="397"/>
      <c r="L99" s="397"/>
      <c r="M99" s="397"/>
      <c r="N99" s="397"/>
      <c r="O99" s="397"/>
      <c r="P99" s="397"/>
      <c r="Q99" s="397"/>
      <c r="R99" s="397"/>
      <c r="S99" s="397"/>
      <c r="T99" s="397"/>
      <c r="U99" s="397"/>
      <c r="V99" s="397"/>
      <c r="W99" s="397"/>
      <c r="X99" s="397"/>
      <c r="Y99" s="397"/>
      <c r="Z99" s="397"/>
      <c r="AA99" s="397"/>
      <c r="AB99" s="397"/>
      <c r="AC99" s="397"/>
      <c r="AD99" s="397"/>
    </row>
    <row r="100" spans="1:30" s="107" customFormat="1" ht="13.5" customHeight="1">
      <c r="A100" s="397"/>
      <c r="B100" s="397"/>
      <c r="C100" s="397"/>
      <c r="D100" s="397"/>
      <c r="E100" s="397"/>
      <c r="F100" s="397"/>
      <c r="G100" s="397"/>
      <c r="H100" s="397"/>
      <c r="I100" s="397"/>
      <c r="J100" s="397"/>
      <c r="K100" s="397"/>
      <c r="L100" s="397"/>
      <c r="M100" s="397"/>
      <c r="N100" s="397"/>
      <c r="O100" s="397"/>
      <c r="P100" s="397"/>
      <c r="Q100" s="397"/>
      <c r="R100" s="397"/>
      <c r="S100" s="397"/>
      <c r="T100" s="397"/>
      <c r="U100" s="397"/>
      <c r="V100" s="397"/>
      <c r="W100" s="397"/>
      <c r="X100" s="397"/>
      <c r="Y100" s="397"/>
      <c r="Z100" s="397"/>
      <c r="AA100" s="397"/>
      <c r="AB100" s="397"/>
      <c r="AC100" s="397"/>
      <c r="AD100" s="397"/>
    </row>
    <row r="101" spans="1:30" ht="14.1" customHeight="1">
      <c r="A101" s="410" t="s">
        <v>11</v>
      </c>
      <c r="B101" s="413" t="s">
        <v>12</v>
      </c>
      <c r="C101" s="414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419" t="s">
        <v>4</v>
      </c>
      <c r="O101" s="420" t="s">
        <v>5</v>
      </c>
      <c r="P101" s="420" t="s">
        <v>13</v>
      </c>
      <c r="Q101" s="402" t="s">
        <v>14</v>
      </c>
      <c r="R101" s="402" t="s">
        <v>6</v>
      </c>
      <c r="S101" s="179" t="s">
        <v>52</v>
      </c>
      <c r="T101" s="183" t="s">
        <v>33</v>
      </c>
      <c r="U101" s="403" t="s">
        <v>15</v>
      </c>
      <c r="V101" s="182"/>
      <c r="W101" s="404" t="s">
        <v>16</v>
      </c>
      <c r="X101" s="183" t="s">
        <v>34</v>
      </c>
      <c r="Y101" s="183" t="s">
        <v>33</v>
      </c>
      <c r="Z101" s="183" t="s">
        <v>35</v>
      </c>
      <c r="AA101" s="183" t="s">
        <v>36</v>
      </c>
      <c r="AB101" s="405" t="s">
        <v>37</v>
      </c>
      <c r="AC101" s="183" t="s">
        <v>58</v>
      </c>
      <c r="AD101" s="405" t="s">
        <v>38</v>
      </c>
    </row>
    <row r="102" spans="1:30" ht="14.1" customHeight="1">
      <c r="A102" s="411"/>
      <c r="B102" s="415"/>
      <c r="C102" s="416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419"/>
      <c r="O102" s="420"/>
      <c r="P102" s="420"/>
      <c r="Q102" s="402"/>
      <c r="R102" s="402"/>
      <c r="S102" s="184" t="s">
        <v>53</v>
      </c>
      <c r="T102" s="186" t="s">
        <v>39</v>
      </c>
      <c r="U102" s="403"/>
      <c r="V102" s="182"/>
      <c r="W102" s="404"/>
      <c r="X102" s="186" t="s">
        <v>40</v>
      </c>
      <c r="Y102" s="186" t="s">
        <v>41</v>
      </c>
      <c r="Z102" s="186" t="s">
        <v>42</v>
      </c>
      <c r="AA102" s="186" t="s">
        <v>43</v>
      </c>
      <c r="AB102" s="406"/>
      <c r="AC102" s="186" t="s">
        <v>59</v>
      </c>
      <c r="AD102" s="406"/>
    </row>
    <row r="103" spans="1:30" ht="14.1" customHeight="1">
      <c r="A103" s="411"/>
      <c r="B103" s="415"/>
      <c r="C103" s="416"/>
      <c r="D103" s="187" t="s">
        <v>17</v>
      </c>
      <c r="E103" s="187" t="s">
        <v>18</v>
      </c>
      <c r="F103" s="188" t="s">
        <v>0</v>
      </c>
      <c r="G103" s="188" t="s">
        <v>1</v>
      </c>
      <c r="H103" s="189" t="s">
        <v>19</v>
      </c>
      <c r="I103" s="190" t="s">
        <v>2</v>
      </c>
      <c r="J103" s="188" t="s">
        <v>3</v>
      </c>
      <c r="K103" s="189"/>
      <c r="L103" s="188" t="s">
        <v>20</v>
      </c>
      <c r="M103" s="188" t="s">
        <v>21</v>
      </c>
      <c r="N103" s="419"/>
      <c r="O103" s="420"/>
      <c r="P103" s="420"/>
      <c r="Q103" s="402"/>
      <c r="R103" s="402"/>
      <c r="S103" s="184" t="s">
        <v>54</v>
      </c>
      <c r="T103" s="186" t="s">
        <v>44</v>
      </c>
      <c r="U103" s="403"/>
      <c r="V103" s="182"/>
      <c r="W103" s="404"/>
      <c r="X103" s="186" t="s">
        <v>44</v>
      </c>
      <c r="Y103" s="186" t="s">
        <v>45</v>
      </c>
      <c r="Z103" s="186" t="s">
        <v>46</v>
      </c>
      <c r="AA103" s="186" t="s">
        <v>72</v>
      </c>
      <c r="AB103" s="406"/>
      <c r="AC103" s="186"/>
      <c r="AD103" s="406"/>
    </row>
    <row r="104" spans="1:30" ht="14.1" customHeight="1">
      <c r="A104" s="412"/>
      <c r="B104" s="417"/>
      <c r="C104" s="418"/>
      <c r="D104" s="180"/>
      <c r="E104" s="180"/>
      <c r="F104" s="192"/>
      <c r="G104" s="192"/>
      <c r="H104" s="192"/>
      <c r="I104" s="193"/>
      <c r="J104" s="192"/>
      <c r="K104" s="192"/>
      <c r="L104" s="192"/>
      <c r="M104" s="192"/>
      <c r="N104" s="419"/>
      <c r="O104" s="420"/>
      <c r="P104" s="420"/>
      <c r="Q104" s="402"/>
      <c r="R104" s="402"/>
      <c r="S104" s="191" t="s">
        <v>55</v>
      </c>
      <c r="T104" s="195" t="s">
        <v>47</v>
      </c>
      <c r="U104" s="403"/>
      <c r="V104" s="182"/>
      <c r="W104" s="404"/>
      <c r="X104" s="195" t="s">
        <v>47</v>
      </c>
      <c r="Y104" s="195" t="s">
        <v>48</v>
      </c>
      <c r="Z104" s="195" t="s">
        <v>49</v>
      </c>
      <c r="AA104" s="195"/>
      <c r="AB104" s="407"/>
      <c r="AC104" s="195" t="s">
        <v>60</v>
      </c>
      <c r="AD104" s="407"/>
    </row>
    <row r="105" spans="1:30" ht="14.1" customHeight="1">
      <c r="A105" s="307" t="str">
        <f>IF(B105="","",1)</f>
        <v/>
      </c>
      <c r="B105" s="400"/>
      <c r="C105" s="124"/>
      <c r="D105" s="310">
        <f>TRUNC(C105)+((C105-TRUNC(C105))/0.6)</f>
        <v>0</v>
      </c>
      <c r="E105" s="310">
        <f>TRUNC(C106)+((C106-TRUNC(C106))/0.6)</f>
        <v>0</v>
      </c>
      <c r="F105" s="311">
        <f>ROUND(((LOG10(TAN(PI()/4+(D105/2*PI()/180)))*7915.7046)-(3437.7468*((0.0816968^2*SIN(D105*PI()/180))+(0.0816968^4/3*((SIN(D105*PI()/180))^3))+(0.0816968^6/5*((SIN(D105*PI()/180))^5))))),2)</f>
        <v>0</v>
      </c>
      <c r="G105" s="112"/>
      <c r="H105" s="312">
        <f>IF(E105&lt;0,E105+360,E105)</f>
        <v>0</v>
      </c>
      <c r="I105" s="113"/>
      <c r="J105" s="112"/>
      <c r="K105" s="112"/>
      <c r="L105" s="112"/>
      <c r="M105" s="112"/>
      <c r="N105" s="197"/>
      <c r="O105" s="116"/>
      <c r="P105" s="116"/>
      <c r="Q105" s="432" t="str">
        <f>IF(O106="","",0)</f>
        <v/>
      </c>
      <c r="R105" s="432" t="str">
        <f>IF(O104="","",R103-O104)</f>
        <v/>
      </c>
      <c r="S105" s="117"/>
      <c r="T105" s="117" t="s">
        <v>7</v>
      </c>
      <c r="U105" s="129"/>
      <c r="V105" s="118"/>
      <c r="W105" s="436"/>
      <c r="X105" s="117"/>
      <c r="Y105" s="117"/>
      <c r="Z105" s="117"/>
      <c r="AA105" s="117"/>
      <c r="AB105" s="127"/>
      <c r="AC105" s="202"/>
      <c r="AD105" s="463"/>
    </row>
    <row r="106" spans="1:30" ht="14.1" customHeight="1">
      <c r="A106" s="307"/>
      <c r="B106" s="401"/>
      <c r="C106" s="125"/>
      <c r="D106" s="310"/>
      <c r="E106" s="310"/>
      <c r="F106" s="311"/>
      <c r="G106" s="312">
        <f>ABS(D105-D107)*60</f>
        <v>0</v>
      </c>
      <c r="H106" s="312"/>
      <c r="I106" s="334">
        <f>ABS(H105-H107)*60</f>
        <v>0</v>
      </c>
      <c r="J106" s="335">
        <f>ABS(F105-F107)</f>
        <v>0</v>
      </c>
      <c r="K106" s="336" t="e">
        <f>IF(AND(D105&lt;D107,H105=H107),0,IF(AND(D105&gt;D107,H105=H107),180,IF(AND(D105=D107,H105&lt;H107),90,IF(AND(D105=D107,H105&gt;H107),270,(ATAN(I106/J106)*180/PI())))))</f>
        <v>#DIV/0!</v>
      </c>
      <c r="L106" s="310" t="e">
        <f>IF(OR(K106=0,K106=90,K106=180,K106=270),K106,IF(AND(D105&lt;D107,H105&lt;H107),K106,IF(AND(D105&lt;D107,H105&gt;H107),360-K106,IF(AND(D105&gt;D107,H105&lt;H107),180-K106,IF(AND(D105&gt;D107,H105&gt;H107),180+K106)))))</f>
        <v>#DIV/0!</v>
      </c>
      <c r="M106" s="310">
        <f>(IF(I106=0,G106,IF(G106=0,COS(D107*PI()/180)*I106,G106/COS(K106*PI()/180))))</f>
        <v>0</v>
      </c>
      <c r="N106" s="427" t="str">
        <f>IF(C108="","",ROUND(L106,1))</f>
        <v/>
      </c>
      <c r="O106" s="428" t="str">
        <f>IF(C108="","",ROUND(M106,1))</f>
        <v/>
      </c>
      <c r="P106" s="429"/>
      <c r="Q106" s="432"/>
      <c r="R106" s="432"/>
      <c r="S106" s="122"/>
      <c r="T106" s="122" t="s">
        <v>23</v>
      </c>
      <c r="U106" s="430"/>
      <c r="V106" s="356" t="e">
        <f>(O106/P106+U106/60)/24</f>
        <v>#VALUE!</v>
      </c>
      <c r="W106" s="436"/>
      <c r="X106" s="122"/>
      <c r="Y106" s="199"/>
      <c r="Z106" s="122"/>
      <c r="AA106" s="122"/>
      <c r="AB106" s="126"/>
      <c r="AC106" s="203"/>
      <c r="AD106" s="458"/>
    </row>
    <row r="107" spans="1:30" ht="14.1" customHeight="1">
      <c r="A107" s="307" t="str">
        <f>IF(B107="","",A105+1)</f>
        <v/>
      </c>
      <c r="B107" s="461"/>
      <c r="C107" s="124"/>
      <c r="D107" s="310">
        <f>TRUNC(C107)+((C107-TRUNC(C107))/0.6)</f>
        <v>0</v>
      </c>
      <c r="E107" s="310">
        <f>TRUNC(C108)+((C108-TRUNC(C108))/0.6)</f>
        <v>0</v>
      </c>
      <c r="F107" s="311">
        <f>ROUND(((LOG10(TAN(PI()/4+(D107/2*PI()/180)))*7915.7046)-(3437.7468*((0.0816968^2*SIN(D107*PI()/180))+(0.0816968^4/3*((SIN(D107*PI()/180))^3))+(0.0816968^6/5*((SIN(D107*PI()/180))^5))))),2)</f>
        <v>0</v>
      </c>
      <c r="G107" s="312"/>
      <c r="H107" s="312">
        <f>IF(E107&lt;0,E107+360,E107)</f>
        <v>0</v>
      </c>
      <c r="I107" s="334"/>
      <c r="J107" s="335"/>
      <c r="K107" s="336"/>
      <c r="L107" s="310"/>
      <c r="M107" s="310"/>
      <c r="N107" s="427"/>
      <c r="O107" s="428"/>
      <c r="P107" s="429"/>
      <c r="Q107" s="432" t="str">
        <f>IF(O106="","",Q105+O106)</f>
        <v/>
      </c>
      <c r="R107" s="432" t="str">
        <f>IF(O106="","",R105-O106)</f>
        <v/>
      </c>
      <c r="S107" s="117"/>
      <c r="T107" s="117" t="s">
        <v>7</v>
      </c>
      <c r="U107" s="431"/>
      <c r="V107" s="356"/>
      <c r="W107" s="436" t="str">
        <f>IF(P106="","",W105+V106)</f>
        <v/>
      </c>
      <c r="X107" s="117"/>
      <c r="Y107" s="117"/>
      <c r="Z107" s="117"/>
      <c r="AA107" s="117"/>
      <c r="AB107" s="127"/>
      <c r="AC107" s="202"/>
      <c r="AD107" s="458"/>
    </row>
    <row r="108" spans="1:30" ht="14.1" customHeight="1">
      <c r="A108" s="307"/>
      <c r="B108" s="462"/>
      <c r="C108" s="125"/>
      <c r="D108" s="310"/>
      <c r="E108" s="310"/>
      <c r="F108" s="311"/>
      <c r="G108" s="312">
        <f>ABS(D107-D109)*60</f>
        <v>0</v>
      </c>
      <c r="H108" s="312"/>
      <c r="I108" s="334">
        <f>ABS(H107-H109)*60</f>
        <v>0</v>
      </c>
      <c r="J108" s="335">
        <f>ABS(F107-F109)</f>
        <v>0</v>
      </c>
      <c r="K108" s="336" t="e">
        <f>IF(AND(D107&lt;D109,H107=H109),0,IF(AND(D107&gt;D109,H107=H109),180,IF(AND(D107=D109,H107&lt;H109),90,IF(AND(D107=D109,H107&gt;H109),270,(ATAN(I108/J108)*180/PI())))))</f>
        <v>#DIV/0!</v>
      </c>
      <c r="L108" s="310" t="e">
        <f>IF(OR(K108=0,K108=90,K108=180,K108=270),K108,IF(AND(D107&lt;D109,H107&lt;H109),K108,IF(AND(D107&lt;D109,H107&gt;H109),360-K108,IF(AND(D107&gt;D109,H107&lt;H109),180-K108,IF(AND(D107&gt;D109,H107&gt;H109),180+K108)))))</f>
        <v>#DIV/0!</v>
      </c>
      <c r="M108" s="310">
        <f>(IF(I108=0,G108,IF(G108=0,COS(D109*PI()/180)*I108,G108/COS(K108*PI()/180))))</f>
        <v>0</v>
      </c>
      <c r="N108" s="427" t="str">
        <f>IF(C110="","",ROUND(L108,1))</f>
        <v/>
      </c>
      <c r="O108" s="428" t="str">
        <f>IF(C110="","",ROUND(M108,1))</f>
        <v/>
      </c>
      <c r="P108" s="429"/>
      <c r="Q108" s="432"/>
      <c r="R108" s="432"/>
      <c r="S108" s="122"/>
      <c r="T108" s="122" t="s">
        <v>23</v>
      </c>
      <c r="U108" s="430"/>
      <c r="V108" s="356" t="e">
        <f>(O108/P108+U108/60)/24</f>
        <v>#VALUE!</v>
      </c>
      <c r="W108" s="436"/>
      <c r="X108" s="122"/>
      <c r="Y108" s="199"/>
      <c r="Z108" s="122"/>
      <c r="AA108" s="122"/>
      <c r="AB108" s="126"/>
      <c r="AC108" s="203"/>
      <c r="AD108" s="458"/>
    </row>
    <row r="109" spans="1:30" ht="14.1" customHeight="1">
      <c r="A109" s="307" t="str">
        <f>IF(B109="","",A107+1)</f>
        <v/>
      </c>
      <c r="B109" s="444"/>
      <c r="C109" s="124"/>
      <c r="D109" s="310">
        <f>TRUNC(C109)+((C109-TRUNC(C109))/0.6)</f>
        <v>0</v>
      </c>
      <c r="E109" s="310">
        <f>TRUNC(C110)+((C110-TRUNC(C110))/0.6)</f>
        <v>0</v>
      </c>
      <c r="F109" s="311">
        <f>ROUND(((LOG10(TAN(PI()/4+(D109/2*PI()/180)))*7915.7046)-(3437.7468*((0.0816968^2*SIN(D109*PI()/180))+(0.0816968^4/3*((SIN(D109*PI()/180))^3))+(0.0816968^6/5*((SIN(D109*PI()/180))^5))))),2)</f>
        <v>0</v>
      </c>
      <c r="G109" s="312"/>
      <c r="H109" s="312">
        <f>IF(E109&lt;0,E109+360,E109)</f>
        <v>0</v>
      </c>
      <c r="I109" s="334"/>
      <c r="J109" s="335"/>
      <c r="K109" s="336"/>
      <c r="L109" s="310"/>
      <c r="M109" s="310"/>
      <c r="N109" s="427"/>
      <c r="O109" s="428"/>
      <c r="P109" s="429"/>
      <c r="Q109" s="432" t="str">
        <f>IF(O108="","",Q107+O108)</f>
        <v/>
      </c>
      <c r="R109" s="432" t="str">
        <f>IF(O108="","",R107-O108)</f>
        <v/>
      </c>
      <c r="S109" s="117"/>
      <c r="T109" s="117" t="s">
        <v>7</v>
      </c>
      <c r="U109" s="431"/>
      <c r="V109" s="356"/>
      <c r="W109" s="436" t="str">
        <f>IF(P108="","",W107+V108)</f>
        <v/>
      </c>
      <c r="X109" s="117"/>
      <c r="Y109" s="117"/>
      <c r="Z109" s="117"/>
      <c r="AA109" s="117"/>
      <c r="AB109" s="127"/>
      <c r="AC109" s="202"/>
      <c r="AD109" s="458"/>
    </row>
    <row r="110" spans="1:30" ht="14.1" customHeight="1">
      <c r="A110" s="307"/>
      <c r="B110" s="444"/>
      <c r="C110" s="125"/>
      <c r="D110" s="310"/>
      <c r="E110" s="310"/>
      <c r="F110" s="311"/>
      <c r="G110" s="312">
        <f>ABS(D109-D111)*60</f>
        <v>0</v>
      </c>
      <c r="H110" s="312"/>
      <c r="I110" s="334">
        <f>ABS(H109-H111)*60</f>
        <v>0</v>
      </c>
      <c r="J110" s="335">
        <f>ABS(F109-F111)</f>
        <v>0</v>
      </c>
      <c r="K110" s="336" t="e">
        <f>IF(AND(D109&lt;D111,H109=H111),0,IF(AND(D109&gt;D111,H109=H111),180,IF(AND(D109=D111,H109&lt;H111),90,IF(AND(D109=D111,H109&gt;H111),270,(ATAN(I110/J110)*180/PI())))))</f>
        <v>#DIV/0!</v>
      </c>
      <c r="L110" s="310" t="e">
        <f>IF(OR(K110=0,K110=90,K110=180,K110=270),K110,IF(AND(D109&lt;D111,H109&lt;H111),K110,IF(AND(D109&lt;D111,H109&gt;H111),360-K110,IF(AND(D109&gt;D111,H109&lt;H111),180-K110,IF(AND(D109&gt;D111,H109&gt;H111),180+K110)))))</f>
        <v>#DIV/0!</v>
      </c>
      <c r="M110" s="310">
        <f>(IF(I110=0,G110,IF(G110=0,COS(D111*PI()/180)*I110,G110/COS(K110*PI()/180))))</f>
        <v>0</v>
      </c>
      <c r="N110" s="427" t="str">
        <f>IF(C112="","",ROUND(L110,1))</f>
        <v/>
      </c>
      <c r="O110" s="428" t="str">
        <f>IF(C112="","",ROUND(M110,1))</f>
        <v/>
      </c>
      <c r="P110" s="429"/>
      <c r="Q110" s="432"/>
      <c r="R110" s="432"/>
      <c r="S110" s="122"/>
      <c r="T110" s="122" t="s">
        <v>23</v>
      </c>
      <c r="U110" s="430"/>
      <c r="V110" s="356" t="e">
        <f>(O110/P110+U110/60)/24</f>
        <v>#VALUE!</v>
      </c>
      <c r="W110" s="436"/>
      <c r="X110" s="122"/>
      <c r="Y110" s="199"/>
      <c r="Z110" s="122"/>
      <c r="AA110" s="122"/>
      <c r="AB110" s="126"/>
      <c r="AC110" s="203"/>
      <c r="AD110" s="458"/>
    </row>
    <row r="111" spans="1:30" ht="14.1" customHeight="1">
      <c r="A111" s="307" t="str">
        <f>IF(B111="","",A109+1)</f>
        <v/>
      </c>
      <c r="B111" s="444"/>
      <c r="C111" s="124"/>
      <c r="D111" s="310">
        <f>TRUNC(C111)+((C111-TRUNC(C111))/0.6)</f>
        <v>0</v>
      </c>
      <c r="E111" s="310">
        <f>TRUNC(C112)+((C112-TRUNC(C112))/0.6)</f>
        <v>0</v>
      </c>
      <c r="F111" s="311">
        <f>ROUND(((LOG10(TAN(PI()/4+(D111/2*PI()/180)))*7915.7046)-(3437.7468*((0.0816968^2*SIN(D111*PI()/180))+(0.0816968^4/3*((SIN(D111*PI()/180))^3))+(0.0816968^6/5*((SIN(D111*PI()/180))^5))))),2)</f>
        <v>0</v>
      </c>
      <c r="G111" s="312"/>
      <c r="H111" s="312">
        <f>IF(E111&lt;0,E111+360,E111)</f>
        <v>0</v>
      </c>
      <c r="I111" s="334"/>
      <c r="J111" s="335"/>
      <c r="K111" s="336"/>
      <c r="L111" s="310"/>
      <c r="M111" s="310"/>
      <c r="N111" s="427"/>
      <c r="O111" s="428"/>
      <c r="P111" s="429"/>
      <c r="Q111" s="432" t="str">
        <f>IF(O110="","",Q109+O110)</f>
        <v/>
      </c>
      <c r="R111" s="432" t="str">
        <f>IF(O110="","",R109-O110)</f>
        <v/>
      </c>
      <c r="S111" s="117"/>
      <c r="T111" s="117" t="s">
        <v>7</v>
      </c>
      <c r="U111" s="431"/>
      <c r="V111" s="356"/>
      <c r="W111" s="436" t="str">
        <f>IF(P110="","",W109+V110)</f>
        <v/>
      </c>
      <c r="X111" s="117"/>
      <c r="Y111" s="117"/>
      <c r="Z111" s="117"/>
      <c r="AA111" s="117"/>
      <c r="AB111" s="127"/>
      <c r="AC111" s="202"/>
      <c r="AD111" s="458"/>
    </row>
    <row r="112" spans="1:30" ht="14.1" customHeight="1">
      <c r="A112" s="307"/>
      <c r="B112" s="444"/>
      <c r="C112" s="125"/>
      <c r="D112" s="310"/>
      <c r="E112" s="310"/>
      <c r="F112" s="311"/>
      <c r="G112" s="312">
        <f>ABS(D111-D113)*60</f>
        <v>0</v>
      </c>
      <c r="H112" s="312"/>
      <c r="I112" s="334">
        <f>ABS(H111-H113)*60</f>
        <v>0</v>
      </c>
      <c r="J112" s="335">
        <f>ABS(F111-F113)</f>
        <v>0</v>
      </c>
      <c r="K112" s="336" t="e">
        <f>IF(AND(D111&lt;D113,H111=H113),0,IF(AND(D111&gt;D113,H111=H113),180,IF(AND(D111=D113,H111&lt;H113),90,IF(AND(D111=D113,H111&gt;H113),270,(ATAN(I112/J112)*180/PI())))))</f>
        <v>#DIV/0!</v>
      </c>
      <c r="L112" s="310" t="e">
        <f>IF(OR(K112=0,K112=90,K112=180,K112=270),K112,IF(AND(D111&lt;D113,H111&lt;H113),K112,IF(AND(D111&lt;D113,H111&gt;H113),360-K112,IF(AND(D111&gt;D113,H111&lt;H113),180-K112,IF(AND(D111&gt;D113,H111&gt;H113),180+K112)))))</f>
        <v>#DIV/0!</v>
      </c>
      <c r="M112" s="310">
        <f>(IF(I112=0,G112,IF(G112=0,COS(D113*PI()/180)*I112,G112/COS(K112*PI()/180))))</f>
        <v>0</v>
      </c>
      <c r="N112" s="427" t="str">
        <f>IF(C114="","",ROUND(L112,1))</f>
        <v/>
      </c>
      <c r="O112" s="428" t="str">
        <f>IF(C114="","",ROUND(M112,1))</f>
        <v/>
      </c>
      <c r="P112" s="429"/>
      <c r="Q112" s="432"/>
      <c r="R112" s="432"/>
      <c r="S112" s="122"/>
      <c r="T112" s="122" t="s">
        <v>23</v>
      </c>
      <c r="U112" s="430"/>
      <c r="V112" s="356" t="e">
        <f>(O112/P112+U112/60)/24</f>
        <v>#VALUE!</v>
      </c>
      <c r="W112" s="436"/>
      <c r="X112" s="122"/>
      <c r="Y112" s="199"/>
      <c r="Z112" s="122"/>
      <c r="AA112" s="122"/>
      <c r="AB112" s="126"/>
      <c r="AC112" s="203"/>
      <c r="AD112" s="458"/>
    </row>
    <row r="113" spans="1:30" ht="14.1" customHeight="1">
      <c r="A113" s="307" t="str">
        <f>IF(B113="","",A111+1)</f>
        <v/>
      </c>
      <c r="B113" s="444"/>
      <c r="C113" s="124"/>
      <c r="D113" s="310">
        <f>TRUNC(C113)+((C113-TRUNC(C113))/0.6)</f>
        <v>0</v>
      </c>
      <c r="E113" s="310">
        <f>TRUNC(C114)+((C114-TRUNC(C114))/0.6)</f>
        <v>0</v>
      </c>
      <c r="F113" s="311">
        <f>ROUND(((LOG10(TAN(PI()/4+(D113/2*PI()/180)))*7915.7046)-(3437.7468*((0.0816968^2*SIN(D113*PI()/180))+(0.0816968^4/3*((SIN(D113*PI()/180))^3))+(0.0816968^6/5*((SIN(D113*PI()/180))^5))))),2)</f>
        <v>0</v>
      </c>
      <c r="G113" s="312"/>
      <c r="H113" s="312">
        <f>IF(E113&lt;0,E113+360,E113)</f>
        <v>0</v>
      </c>
      <c r="I113" s="334"/>
      <c r="J113" s="335"/>
      <c r="K113" s="336"/>
      <c r="L113" s="310"/>
      <c r="M113" s="310"/>
      <c r="N113" s="427"/>
      <c r="O113" s="428"/>
      <c r="P113" s="429"/>
      <c r="Q113" s="432" t="str">
        <f>IF(O112="","",Q111+O112)</f>
        <v/>
      </c>
      <c r="R113" s="432" t="str">
        <f>IF(O112="","",R111-O112)</f>
        <v/>
      </c>
      <c r="S113" s="117"/>
      <c r="T113" s="117" t="s">
        <v>7</v>
      </c>
      <c r="U113" s="431"/>
      <c r="V113" s="356"/>
      <c r="W113" s="436" t="str">
        <f>IF(P112="","",W111+V112)</f>
        <v/>
      </c>
      <c r="X113" s="117"/>
      <c r="Y113" s="117"/>
      <c r="Z113" s="117"/>
      <c r="AA113" s="117"/>
      <c r="AB113" s="127"/>
      <c r="AC113" s="202"/>
      <c r="AD113" s="458"/>
    </row>
    <row r="114" spans="1:30" ht="14.1" customHeight="1">
      <c r="A114" s="307"/>
      <c r="B114" s="444"/>
      <c r="C114" s="125"/>
      <c r="D114" s="310"/>
      <c r="E114" s="310"/>
      <c r="F114" s="311"/>
      <c r="G114" s="312">
        <f>ABS(D113-D115)*60</f>
        <v>0</v>
      </c>
      <c r="H114" s="312"/>
      <c r="I114" s="334">
        <f>ABS(H113-H115)*60</f>
        <v>0</v>
      </c>
      <c r="J114" s="335">
        <f>ABS(F113-F115)</f>
        <v>0</v>
      </c>
      <c r="K114" s="336" t="e">
        <f>IF(AND(D113&lt;D115,H113=H115),0,IF(AND(D113&gt;D115,H113=H115),180,IF(AND(D113=D115,H113&lt;H115),90,IF(AND(D113=D115,H113&gt;H115),270,(ATAN(I114/J114)*180/PI())))))</f>
        <v>#DIV/0!</v>
      </c>
      <c r="L114" s="310" t="e">
        <f>IF(OR(K114=0,K114=90,K114=180,K114=270),K114,IF(AND(D113&lt;D115,H113&lt;H115),K114,IF(AND(D113&lt;D115,H113&gt;H115),360-K114,IF(AND(D113&gt;D115,H113&lt;H115),180-K114,IF(AND(D113&gt;D115,H113&gt;H115),180+K114)))))</f>
        <v>#DIV/0!</v>
      </c>
      <c r="M114" s="310">
        <f>(IF(I114=0,G114,IF(G114=0,COS(D115*PI()/180)*I114,G114/COS(K114*PI()/180))))</f>
        <v>0</v>
      </c>
      <c r="N114" s="427" t="str">
        <f>IF(C116="","",ROUND(L114,1))</f>
        <v/>
      </c>
      <c r="O114" s="428" t="str">
        <f>IF(C116="","",ROUND(M114,1))</f>
        <v/>
      </c>
      <c r="P114" s="429"/>
      <c r="Q114" s="432"/>
      <c r="R114" s="432"/>
      <c r="S114" s="122"/>
      <c r="T114" s="122" t="s">
        <v>24</v>
      </c>
      <c r="U114" s="430"/>
      <c r="V114" s="356" t="e">
        <f>(O114/P114+U114/60)/24</f>
        <v>#VALUE!</v>
      </c>
      <c r="W114" s="436"/>
      <c r="X114" s="122"/>
      <c r="Y114" s="199"/>
      <c r="Z114" s="122"/>
      <c r="AA114" s="122"/>
      <c r="AB114" s="126"/>
      <c r="AC114" s="203"/>
      <c r="AD114" s="458"/>
    </row>
    <row r="115" spans="1:30" ht="14.1" customHeight="1">
      <c r="A115" s="307" t="str">
        <f>IF(B115="","",A113+1)</f>
        <v/>
      </c>
      <c r="B115" s="444"/>
      <c r="C115" s="124"/>
      <c r="D115" s="310">
        <f>TRUNC(C115)+((C115-TRUNC(C115))/0.6)</f>
        <v>0</v>
      </c>
      <c r="E115" s="310">
        <f>TRUNC(C116)+((C116-TRUNC(C116))/0.6)</f>
        <v>0</v>
      </c>
      <c r="F115" s="311">
        <f>ROUND(((LOG10(TAN(PI()/4+(D115/2*PI()/180)))*7915.7046)-(3437.7468*((0.0816968^2*SIN(D115*PI()/180))+(0.0816968^4/3*((SIN(D115*PI()/180))^3))+(0.0816968^6/5*((SIN(D115*PI()/180))^5))))),2)</f>
        <v>0</v>
      </c>
      <c r="G115" s="312"/>
      <c r="H115" s="312">
        <f>IF(E115&lt;0,E115+360,E115)</f>
        <v>0</v>
      </c>
      <c r="I115" s="334"/>
      <c r="J115" s="335"/>
      <c r="K115" s="336"/>
      <c r="L115" s="310"/>
      <c r="M115" s="310"/>
      <c r="N115" s="427"/>
      <c r="O115" s="428"/>
      <c r="P115" s="429"/>
      <c r="Q115" s="432" t="str">
        <f>IF(O114="","",Q113+O114)</f>
        <v/>
      </c>
      <c r="R115" s="432" t="str">
        <f>IF(O114="","",R113-O114)</f>
        <v/>
      </c>
      <c r="S115" s="117"/>
      <c r="T115" s="117" t="s">
        <v>7</v>
      </c>
      <c r="U115" s="431"/>
      <c r="V115" s="356"/>
      <c r="W115" s="436" t="str">
        <f>IF(P114="","",W113+V114)</f>
        <v/>
      </c>
      <c r="X115" s="117"/>
      <c r="Y115" s="117"/>
      <c r="Z115" s="117"/>
      <c r="AA115" s="117"/>
      <c r="AB115" s="127"/>
      <c r="AC115" s="202"/>
      <c r="AD115" s="458"/>
    </row>
    <row r="116" spans="1:30" ht="14.1" customHeight="1">
      <c r="A116" s="307"/>
      <c r="B116" s="444"/>
      <c r="C116" s="125"/>
      <c r="D116" s="310"/>
      <c r="E116" s="310"/>
      <c r="F116" s="311"/>
      <c r="G116" s="312">
        <f>ABS(D115-D117)*60</f>
        <v>0</v>
      </c>
      <c r="H116" s="312"/>
      <c r="I116" s="334">
        <f>ABS(H115-H117)*60</f>
        <v>0</v>
      </c>
      <c r="J116" s="335">
        <f>ABS(F115-F117)</f>
        <v>0</v>
      </c>
      <c r="K116" s="336" t="e">
        <f>IF(AND(D115&lt;D117,H115=H117),0,IF(AND(D115&gt;D117,H115=H117),180,IF(AND(D115=D117,H115&lt;H117),90,IF(AND(D115=D117,H115&gt;H117),270,(ATAN(I116/J116)*180/PI())))))</f>
        <v>#DIV/0!</v>
      </c>
      <c r="L116" s="310" t="e">
        <f>IF(OR(K116=0,K116=90,K116=180,K116=270),K116,IF(AND(D115&lt;D117,H115&lt;H117),K116,IF(AND(D115&lt;D117,H115&gt;H117),360-K116,IF(AND(D115&gt;D117,H115&lt;H117),180-K116,IF(AND(D115&gt;D117,H115&gt;H117),180+K116)))))</f>
        <v>#DIV/0!</v>
      </c>
      <c r="M116" s="310">
        <f>(IF(I116=0,G116,IF(G116=0,COS(D117*PI()/180)*I116,G116/COS(K116*PI()/180))))</f>
        <v>0</v>
      </c>
      <c r="N116" s="427" t="str">
        <f>IF(C118="","",ROUND(L116,1))</f>
        <v/>
      </c>
      <c r="O116" s="428" t="str">
        <f>IF(C118="","",ROUND(M116,1))</f>
        <v/>
      </c>
      <c r="P116" s="429"/>
      <c r="Q116" s="432"/>
      <c r="R116" s="432"/>
      <c r="S116" s="122"/>
      <c r="T116" s="122" t="s">
        <v>23</v>
      </c>
      <c r="U116" s="430"/>
      <c r="V116" s="356" t="e">
        <f>(O116/P116+U116/60)/24</f>
        <v>#VALUE!</v>
      </c>
      <c r="W116" s="436"/>
      <c r="X116" s="122"/>
      <c r="Y116" s="199"/>
      <c r="Z116" s="122"/>
      <c r="AA116" s="122"/>
      <c r="AB116" s="126"/>
      <c r="AC116" s="203"/>
      <c r="AD116" s="458"/>
    </row>
    <row r="117" spans="1:30" ht="14.1" customHeight="1">
      <c r="A117" s="307" t="str">
        <f>IF(B117="","",A115+1)</f>
        <v/>
      </c>
      <c r="B117" s="444"/>
      <c r="C117" s="124"/>
      <c r="D117" s="310">
        <f>TRUNC(C117)+((C117-TRUNC(C117))/0.6)</f>
        <v>0</v>
      </c>
      <c r="E117" s="310">
        <f>TRUNC(C118)+((C118-TRUNC(C118))/0.6)</f>
        <v>0</v>
      </c>
      <c r="F117" s="311">
        <f>ROUND(((LOG10(TAN(PI()/4+(D117/2*PI()/180)))*7915.7046)-(3437.7468*((0.0816968^2*SIN(D117*PI()/180))+(0.0816968^4/3*((SIN(D117*PI()/180))^3))+(0.0816968^6/5*((SIN(D117*PI()/180))^5))))),2)</f>
        <v>0</v>
      </c>
      <c r="G117" s="312"/>
      <c r="H117" s="312">
        <f>IF(E117&lt;0,E117+360,E117)</f>
        <v>0</v>
      </c>
      <c r="I117" s="334"/>
      <c r="J117" s="335"/>
      <c r="K117" s="336"/>
      <c r="L117" s="310"/>
      <c r="M117" s="310"/>
      <c r="N117" s="427"/>
      <c r="O117" s="428"/>
      <c r="P117" s="429"/>
      <c r="Q117" s="432" t="str">
        <f>IF(O116="","",Q115+O116)</f>
        <v/>
      </c>
      <c r="R117" s="432" t="str">
        <f>IF(O116="","",R115-O116)</f>
        <v/>
      </c>
      <c r="S117" s="117"/>
      <c r="T117" s="117" t="s">
        <v>25</v>
      </c>
      <c r="U117" s="431"/>
      <c r="V117" s="356"/>
      <c r="W117" s="436" t="str">
        <f>IF(P116="","",W115+V116)</f>
        <v/>
      </c>
      <c r="X117" s="117"/>
      <c r="Y117" s="117"/>
      <c r="Z117" s="117"/>
      <c r="AA117" s="117"/>
      <c r="AB117" s="127"/>
      <c r="AC117" s="202"/>
      <c r="AD117" s="458"/>
    </row>
    <row r="118" spans="1:30" ht="14.1" customHeight="1">
      <c r="A118" s="307"/>
      <c r="B118" s="444"/>
      <c r="C118" s="125"/>
      <c r="D118" s="310"/>
      <c r="E118" s="310"/>
      <c r="F118" s="311"/>
      <c r="G118" s="312">
        <f>ABS(D117-D119)*60</f>
        <v>0</v>
      </c>
      <c r="H118" s="312"/>
      <c r="I118" s="334">
        <f>ABS(H117-H119)*60</f>
        <v>0</v>
      </c>
      <c r="J118" s="335">
        <f>ABS(F117-F119)</f>
        <v>0</v>
      </c>
      <c r="K118" s="336" t="e">
        <f>IF(AND(D117&lt;D119,H117=H119),0,IF(AND(D117&gt;D119,H117=H119),180,IF(AND(D117=D119,H117&lt;H119),90,IF(AND(D117=D119,H117&gt;H119),270,(ATAN(I118/J118)*180/PI())))))</f>
        <v>#DIV/0!</v>
      </c>
      <c r="L118" s="310" t="e">
        <f>IF(OR(K118=0,K118=90,K118=180,K118=270),K118,IF(AND(D117&lt;D119,H117&lt;H119),K118,IF(AND(D117&lt;D119,H117&gt;H119),360-K118,IF(AND(D117&gt;D119,H117&lt;H119),180-K118,IF(AND(D117&gt;D119,H117&gt;H119),180+K118)))))</f>
        <v>#DIV/0!</v>
      </c>
      <c r="M118" s="310">
        <f>(IF(I118=0,G118,IF(G118=0,COS(D119*PI()/180)*I118,G118/COS(K118*PI()/180))))</f>
        <v>0</v>
      </c>
      <c r="N118" s="427" t="str">
        <f>IF(C120="","",ROUND(L118,1))</f>
        <v/>
      </c>
      <c r="O118" s="428" t="str">
        <f>IF(C120="","",ROUND(M118,1))</f>
        <v/>
      </c>
      <c r="P118" s="429"/>
      <c r="Q118" s="432"/>
      <c r="R118" s="432"/>
      <c r="S118" s="122"/>
      <c r="T118" s="122" t="s">
        <v>24</v>
      </c>
      <c r="U118" s="430"/>
      <c r="V118" s="356" t="e">
        <f>(O118/P118+U118/60)/24</f>
        <v>#VALUE!</v>
      </c>
      <c r="W118" s="436"/>
      <c r="X118" s="122"/>
      <c r="Y118" s="199"/>
      <c r="Z118" s="122"/>
      <c r="AA118" s="122"/>
      <c r="AB118" s="126"/>
      <c r="AC118" s="203"/>
      <c r="AD118" s="458"/>
    </row>
    <row r="119" spans="1:30" ht="14.1" customHeight="1">
      <c r="A119" s="307" t="str">
        <f>IF(B119="","",A117+1)</f>
        <v/>
      </c>
      <c r="B119" s="444"/>
      <c r="C119" s="124"/>
      <c r="D119" s="310">
        <f>TRUNC(C119)+((C119-TRUNC(C119))/0.6)</f>
        <v>0</v>
      </c>
      <c r="E119" s="310">
        <f>TRUNC(C120)+((C120-TRUNC(C120))/0.6)</f>
        <v>0</v>
      </c>
      <c r="F119" s="311">
        <f>ROUND(((LOG10(TAN(PI()/4+(D119/2*PI()/180)))*7915.7046)-(3437.7468*((0.0816968^2*SIN(D119*PI()/180))+(0.0816968^4/3*((SIN(D119*PI()/180))^3))+(0.0816968^6/5*((SIN(D119*PI()/180))^5))))),2)</f>
        <v>0</v>
      </c>
      <c r="G119" s="312"/>
      <c r="H119" s="312">
        <f>IF(E119&lt;0,E119+360,E119)</f>
        <v>0</v>
      </c>
      <c r="I119" s="334"/>
      <c r="J119" s="335"/>
      <c r="K119" s="336"/>
      <c r="L119" s="310"/>
      <c r="M119" s="310"/>
      <c r="N119" s="427"/>
      <c r="O119" s="428"/>
      <c r="P119" s="429"/>
      <c r="Q119" s="432" t="str">
        <f>IF(O118="","",Q117+O118)</f>
        <v/>
      </c>
      <c r="R119" s="432" t="str">
        <f>IF(O118="","",R117-O118)</f>
        <v/>
      </c>
      <c r="S119" s="117"/>
      <c r="T119" s="117" t="s">
        <v>25</v>
      </c>
      <c r="U119" s="431"/>
      <c r="V119" s="356"/>
      <c r="W119" s="436" t="str">
        <f>IF(P118="","",W117+V118)</f>
        <v/>
      </c>
      <c r="X119" s="117"/>
      <c r="Y119" s="117"/>
      <c r="Z119" s="117"/>
      <c r="AA119" s="117"/>
      <c r="AB119" s="127"/>
      <c r="AC119" s="202"/>
      <c r="AD119" s="458"/>
    </row>
    <row r="120" spans="1:30" ht="14.1" customHeight="1">
      <c r="A120" s="307"/>
      <c r="B120" s="444"/>
      <c r="C120" s="125"/>
      <c r="D120" s="310"/>
      <c r="E120" s="310"/>
      <c r="F120" s="311"/>
      <c r="G120" s="312">
        <f>ABS(D119-D121)*60</f>
        <v>0</v>
      </c>
      <c r="H120" s="312"/>
      <c r="I120" s="334">
        <f>ABS(H119-H121)*60</f>
        <v>0</v>
      </c>
      <c r="J120" s="335">
        <f>ABS(F119-F121)</f>
        <v>0</v>
      </c>
      <c r="K120" s="336" t="e">
        <f>IF(AND(D119&lt;D121,H119=H121),0,IF(AND(D119&gt;D121,H119=H121),180,IF(AND(D119=D121,H119&lt;H121),90,IF(AND(D119=D121,H119&gt;H121),270,(ATAN(I120/J120)*180/PI())))))</f>
        <v>#DIV/0!</v>
      </c>
      <c r="L120" s="310" t="e">
        <f>IF(OR(K120=0,K120=90,K120=180,K120=270),K120,IF(AND(D119&lt;D121,H119&lt;H121),K120,IF(AND(D119&lt;D121,H119&gt;H121),360-K120,IF(AND(D119&gt;D121,H119&lt;H121),180-K120,IF(AND(D119&gt;D121,H119&gt;H121),180+K120)))))</f>
        <v>#DIV/0!</v>
      </c>
      <c r="M120" s="310">
        <f>(IF(I120=0,G120,IF(G120=0,COS(D121*PI()/180)*I120,G120/COS(K120*PI()/180))))</f>
        <v>0</v>
      </c>
      <c r="N120" s="427" t="str">
        <f>IF(C122="","",ROUND(L120,1))</f>
        <v/>
      </c>
      <c r="O120" s="428" t="str">
        <f>IF(C122="","",ROUND(M120,1))</f>
        <v/>
      </c>
      <c r="P120" s="429"/>
      <c r="Q120" s="432"/>
      <c r="R120" s="432"/>
      <c r="S120" s="122"/>
      <c r="T120" s="122" t="s">
        <v>24</v>
      </c>
      <c r="U120" s="430"/>
      <c r="V120" s="356" t="e">
        <f>(O120/P120+U120/60)/24</f>
        <v>#VALUE!</v>
      </c>
      <c r="W120" s="436"/>
      <c r="X120" s="122"/>
      <c r="Y120" s="199"/>
      <c r="Z120" s="122"/>
      <c r="AA120" s="122"/>
      <c r="AB120" s="126"/>
      <c r="AC120" s="203"/>
      <c r="AD120" s="458"/>
    </row>
    <row r="121" spans="1:30" ht="14.1" customHeight="1">
      <c r="A121" s="307" t="str">
        <f>IF(B121="","",A119+1)</f>
        <v/>
      </c>
      <c r="B121" s="444"/>
      <c r="C121" s="124"/>
      <c r="D121" s="310">
        <f>TRUNC(C121)+((C121-TRUNC(C121))/0.6)</f>
        <v>0</v>
      </c>
      <c r="E121" s="310">
        <f>TRUNC(C122)+((C122-TRUNC(C122))/0.6)</f>
        <v>0</v>
      </c>
      <c r="F121" s="311">
        <f>ROUND(((LOG10(TAN(PI()/4+(D121/2*PI()/180)))*7915.7046)-(3437.7468*((0.0816968^2*SIN(D121*PI()/180))+(0.0816968^4/3*((SIN(D121*PI()/180))^3))+(0.0816968^6/5*((SIN(D121*PI()/180))^5))))),2)</f>
        <v>0</v>
      </c>
      <c r="G121" s="312"/>
      <c r="H121" s="312">
        <f>IF(E121&lt;0,E121+360,E121)</f>
        <v>0</v>
      </c>
      <c r="I121" s="334"/>
      <c r="J121" s="335"/>
      <c r="K121" s="336"/>
      <c r="L121" s="310"/>
      <c r="M121" s="310"/>
      <c r="N121" s="427"/>
      <c r="O121" s="428"/>
      <c r="P121" s="429"/>
      <c r="Q121" s="432" t="str">
        <f>IF(O120="","",Q119+O120)</f>
        <v/>
      </c>
      <c r="R121" s="432" t="str">
        <f>IF(O120="","",R119-O120)</f>
        <v/>
      </c>
      <c r="S121" s="117"/>
      <c r="T121" s="117" t="s">
        <v>30</v>
      </c>
      <c r="U121" s="431"/>
      <c r="V121" s="356"/>
      <c r="W121" s="436" t="str">
        <f>IF(P120="","",W119+V120)</f>
        <v/>
      </c>
      <c r="X121" s="117"/>
      <c r="Y121" s="117"/>
      <c r="Z121" s="117"/>
      <c r="AA121" s="117"/>
      <c r="AB121" s="127"/>
      <c r="AC121" s="202"/>
      <c r="AD121" s="458"/>
    </row>
    <row r="122" spans="1:30" ht="14.1" customHeight="1">
      <c r="A122" s="307"/>
      <c r="B122" s="444"/>
      <c r="C122" s="125"/>
      <c r="D122" s="310"/>
      <c r="E122" s="310"/>
      <c r="F122" s="311"/>
      <c r="G122" s="312">
        <f>ABS(D121-D123)*60</f>
        <v>0</v>
      </c>
      <c r="H122" s="312"/>
      <c r="I122" s="334">
        <f>ABS(H121-H123)*60</f>
        <v>0</v>
      </c>
      <c r="J122" s="335">
        <f>ABS(F121-F123)</f>
        <v>0</v>
      </c>
      <c r="K122" s="336" t="e">
        <f>IF(AND(D121&lt;D123,H121=H123),0,IF(AND(D121&gt;D123,H121=H123),180,IF(AND(D121=D123,H121&lt;H123),90,IF(AND(D121=D123,H121&gt;H123),270,(ATAN(I122/J122)*180/PI())))))</f>
        <v>#DIV/0!</v>
      </c>
      <c r="L122" s="310" t="e">
        <f>IF(OR(K122=0,K122=90,K122=180,K122=270),K122,IF(AND(D121&lt;D123,H121&lt;H123),K122,IF(AND(D121&lt;D123,H121&gt;H123),360-K122,IF(AND(D121&gt;D123,H121&lt;H123),180-K122,IF(AND(D121&gt;D123,H121&gt;H123),180+K122)))))</f>
        <v>#DIV/0!</v>
      </c>
      <c r="M122" s="310">
        <f>(IF(I122=0,G122,IF(G122=0,COS(D123*PI()/180)*I122,G122/COS(K122*PI()/180))))</f>
        <v>0</v>
      </c>
      <c r="N122" s="427" t="str">
        <f>IF(C124="","",ROUND(L122,1))</f>
        <v/>
      </c>
      <c r="O122" s="428" t="str">
        <f>IF(C124="","",ROUND(M122,1))</f>
        <v/>
      </c>
      <c r="P122" s="429"/>
      <c r="Q122" s="432"/>
      <c r="R122" s="432"/>
      <c r="S122" s="122"/>
      <c r="T122" s="122" t="s">
        <v>24</v>
      </c>
      <c r="U122" s="430"/>
      <c r="V122" s="356" t="e">
        <f>(O122/P122+U122/60)/24</f>
        <v>#VALUE!</v>
      </c>
      <c r="W122" s="436"/>
      <c r="X122" s="122"/>
      <c r="Y122" s="199"/>
      <c r="Z122" s="122"/>
      <c r="AA122" s="122"/>
      <c r="AB122" s="126"/>
      <c r="AC122" s="203"/>
      <c r="AD122" s="458"/>
    </row>
    <row r="123" spans="1:30" ht="14.1" customHeight="1">
      <c r="A123" s="307" t="str">
        <f>IF(B123="","",A121+1)</f>
        <v/>
      </c>
      <c r="B123" s="444"/>
      <c r="C123" s="124"/>
      <c r="D123" s="310">
        <f>TRUNC(C123)+((C123-TRUNC(C123))/0.6)</f>
        <v>0</v>
      </c>
      <c r="E123" s="310">
        <f>TRUNC(C124)+((C124-TRUNC(C124))/0.6)</f>
        <v>0</v>
      </c>
      <c r="F123" s="311">
        <f>ROUND(((LOG10(TAN(PI()/4+(D123/2*PI()/180)))*7915.7046)-(3437.7468*((0.0816968^2*SIN(D123*PI()/180))+(0.0816968^4/3*((SIN(D123*PI()/180))^3))+(0.0816968^6/5*((SIN(D123*PI()/180))^5))))),2)</f>
        <v>0</v>
      </c>
      <c r="G123" s="312"/>
      <c r="H123" s="312">
        <f>IF(E123&lt;0,E123+360,E123)</f>
        <v>0</v>
      </c>
      <c r="I123" s="334"/>
      <c r="J123" s="335"/>
      <c r="K123" s="336"/>
      <c r="L123" s="310"/>
      <c r="M123" s="310"/>
      <c r="N123" s="427"/>
      <c r="O123" s="428"/>
      <c r="P123" s="429"/>
      <c r="Q123" s="432" t="str">
        <f>IF(O122="","",Q121+O122)</f>
        <v/>
      </c>
      <c r="R123" s="432" t="str">
        <f>IF(O122="","",R121-O122)</f>
        <v/>
      </c>
      <c r="S123" s="117"/>
      <c r="T123" s="117" t="s">
        <v>25</v>
      </c>
      <c r="U123" s="431"/>
      <c r="V123" s="356"/>
      <c r="W123" s="436" t="str">
        <f>IF(P122="","",W121+V122)</f>
        <v/>
      </c>
      <c r="X123" s="117"/>
      <c r="Y123" s="117"/>
      <c r="Z123" s="117"/>
      <c r="AA123" s="117"/>
      <c r="AB123" s="127"/>
      <c r="AC123" s="202"/>
      <c r="AD123" s="458"/>
    </row>
    <row r="124" spans="1:30" ht="14.1" customHeight="1">
      <c r="A124" s="307"/>
      <c r="B124" s="444"/>
      <c r="C124" s="125"/>
      <c r="D124" s="310"/>
      <c r="E124" s="310"/>
      <c r="F124" s="311"/>
      <c r="G124" s="312">
        <f>ABS(D123-D125)*60</f>
        <v>0</v>
      </c>
      <c r="H124" s="312"/>
      <c r="I124" s="334">
        <f>ABS(H123-H125)*60</f>
        <v>0</v>
      </c>
      <c r="J124" s="335">
        <f>ABS(F123-F125)</f>
        <v>0</v>
      </c>
      <c r="K124" s="336" t="e">
        <f>IF(AND(D123&lt;D125,H123=H125),0,IF(AND(D123&gt;D125,H123=H125),180,IF(AND(D123=D125,H123&lt;H125),90,IF(AND(D123=D125,H123&gt;H125),270,(ATAN(I124/J124)*180/PI())))))</f>
        <v>#DIV/0!</v>
      </c>
      <c r="L124" s="310" t="e">
        <f>IF(OR(K124=0,K124=90,K124=180,K124=270),K124,IF(AND(D123&lt;D125,H123&lt;H125),K124,IF(AND(D123&lt;D125,H123&gt;H125),360-K124,IF(AND(D123&gt;D125,H123&lt;H125),180-K124,IF(AND(D123&gt;D125,H123&gt;H125),180+K124)))))</f>
        <v>#DIV/0!</v>
      </c>
      <c r="M124" s="310">
        <f>(IF(I124=0,G124,IF(G124=0,COS(D125*PI()/180)*I124,G124/COS(K124*PI()/180))))</f>
        <v>0</v>
      </c>
      <c r="N124" s="427" t="str">
        <f>IF(C126="","",ROUND(L124,1))</f>
        <v/>
      </c>
      <c r="O124" s="428" t="str">
        <f>IF(C126="","",ROUND(M124,1))</f>
        <v/>
      </c>
      <c r="P124" s="429"/>
      <c r="Q124" s="432"/>
      <c r="R124" s="432"/>
      <c r="S124" s="122"/>
      <c r="T124" s="122" t="s">
        <v>23</v>
      </c>
      <c r="U124" s="430"/>
      <c r="V124" s="356" t="e">
        <f>(O124/P124+U124/60)/24</f>
        <v>#VALUE!</v>
      </c>
      <c r="W124" s="436"/>
      <c r="X124" s="122"/>
      <c r="Y124" s="199"/>
      <c r="Z124" s="122"/>
      <c r="AA124" s="122"/>
      <c r="AB124" s="126"/>
      <c r="AC124" s="203"/>
      <c r="AD124" s="458"/>
    </row>
    <row r="125" spans="1:30" ht="14.1" customHeight="1">
      <c r="A125" s="307" t="str">
        <f>IF(B125="","",A123+1)</f>
        <v/>
      </c>
      <c r="B125" s="444"/>
      <c r="C125" s="124"/>
      <c r="D125" s="310">
        <f>TRUNC(C125)+((C125-TRUNC(C125))/0.6)</f>
        <v>0</v>
      </c>
      <c r="E125" s="310">
        <f>TRUNC(C126)+((C126-TRUNC(C126))/0.6)</f>
        <v>0</v>
      </c>
      <c r="F125" s="311">
        <f>ROUND(((LOG10(TAN(PI()/4+(D125/2*PI()/180)))*7915.7046)-(3437.7468*((0.0816968^2*SIN(D125*PI()/180))+(0.0816968^4/3*((SIN(D125*PI()/180))^3))+(0.0816968^6/5*((SIN(D125*PI()/180))^5))))),2)</f>
        <v>0</v>
      </c>
      <c r="G125" s="312"/>
      <c r="H125" s="312">
        <f>IF(E125&lt;0,E125+360,E125)</f>
        <v>0</v>
      </c>
      <c r="I125" s="334"/>
      <c r="J125" s="335"/>
      <c r="K125" s="336"/>
      <c r="L125" s="310"/>
      <c r="M125" s="310"/>
      <c r="N125" s="427"/>
      <c r="O125" s="428"/>
      <c r="P125" s="429"/>
      <c r="Q125" s="432" t="str">
        <f>IF(O124="","",Q123+O124)</f>
        <v/>
      </c>
      <c r="R125" s="432" t="str">
        <f>IF(O124="","",R123-O124)</f>
        <v/>
      </c>
      <c r="S125" s="117"/>
      <c r="T125" s="117" t="s">
        <v>25</v>
      </c>
      <c r="U125" s="431"/>
      <c r="V125" s="356"/>
      <c r="W125" s="436" t="str">
        <f>IF(P124="","",W123+V124)</f>
        <v/>
      </c>
      <c r="X125" s="117"/>
      <c r="Y125" s="117"/>
      <c r="Z125" s="117"/>
      <c r="AA125" s="117"/>
      <c r="AB125" s="127"/>
      <c r="AC125" s="202"/>
      <c r="AD125" s="458"/>
    </row>
    <row r="126" spans="1:30" ht="14.1" customHeight="1">
      <c r="A126" s="307"/>
      <c r="B126" s="444"/>
      <c r="C126" s="125"/>
      <c r="D126" s="310"/>
      <c r="E126" s="310"/>
      <c r="F126" s="311"/>
      <c r="G126" s="312">
        <f>ABS(D125-D127)*60</f>
        <v>0</v>
      </c>
      <c r="H126" s="312"/>
      <c r="I126" s="334">
        <f>ABS(H125-H127)*60</f>
        <v>0</v>
      </c>
      <c r="J126" s="335">
        <f>ABS(F125-F127)</f>
        <v>0</v>
      </c>
      <c r="K126" s="336" t="e">
        <f>IF(AND(D125&lt;D127,H125=H127),0,IF(AND(D125&gt;D127,H125=H127),180,IF(AND(D125=D127,H125&lt;H127),90,IF(AND(D125=D127,H125&gt;H127),270,(ATAN(I126/J126)*180/PI())))))</f>
        <v>#DIV/0!</v>
      </c>
      <c r="L126" s="310" t="e">
        <f>IF(OR(K126=0,K126=90,K126=180,K126=270),K126,IF(AND(D125&lt;D127,H125&lt;H127),K126,IF(AND(D125&lt;D127,H125&gt;H127),360-K126,IF(AND(D125&gt;D127,H125&lt;H127),180-K126,IF(AND(D125&gt;D127,H125&gt;H127),180+K126)))))</f>
        <v>#DIV/0!</v>
      </c>
      <c r="M126" s="310">
        <f>(IF(I126=0,G126,IF(G126=0,COS(D127*PI()/180)*I126,G126/COS(K126*PI()/180))))</f>
        <v>0</v>
      </c>
      <c r="N126" s="427" t="str">
        <f>IF(C128="","",ROUND(L126,1))</f>
        <v/>
      </c>
      <c r="O126" s="428" t="str">
        <f>IF(C128="","",ROUND(M126,1))</f>
        <v/>
      </c>
      <c r="P126" s="429"/>
      <c r="Q126" s="432"/>
      <c r="R126" s="432"/>
      <c r="S126" s="122"/>
      <c r="T126" s="122" t="s">
        <v>22</v>
      </c>
      <c r="U126" s="430"/>
      <c r="V126" s="356" t="e">
        <f>(O126/P126+U126/60)/24</f>
        <v>#VALUE!</v>
      </c>
      <c r="W126" s="436"/>
      <c r="X126" s="122"/>
      <c r="Y126" s="199"/>
      <c r="Z126" s="122"/>
      <c r="AA126" s="122"/>
      <c r="AB126" s="126"/>
      <c r="AC126" s="203"/>
      <c r="AD126" s="458"/>
    </row>
    <row r="127" spans="1:30" ht="14.1" customHeight="1">
      <c r="A127" s="307" t="str">
        <f>IF(B127="","",A125+1)</f>
        <v/>
      </c>
      <c r="B127" s="444"/>
      <c r="C127" s="124"/>
      <c r="D127" s="310">
        <f>TRUNC(C127)+((C127-TRUNC(C127))/0.6)</f>
        <v>0</v>
      </c>
      <c r="E127" s="310">
        <f>TRUNC(C128)+((C128-TRUNC(C128))/0.6)</f>
        <v>0</v>
      </c>
      <c r="F127" s="311">
        <f>ROUND(((LOG10(TAN(PI()/4+(D127/2*PI()/180)))*7915.7046)-(3437.7468*((0.0816968^2*SIN(D127*PI()/180))+(0.0816968^4/3*((SIN(D127*PI()/180))^3))+(0.0816968^6/5*((SIN(D127*PI()/180))^5))))),2)</f>
        <v>0</v>
      </c>
      <c r="G127" s="312"/>
      <c r="H127" s="312">
        <f>IF(E127&lt;0,E127+360,E127)</f>
        <v>0</v>
      </c>
      <c r="I127" s="334"/>
      <c r="J127" s="335"/>
      <c r="K127" s="336"/>
      <c r="L127" s="310"/>
      <c r="M127" s="310"/>
      <c r="N127" s="427"/>
      <c r="O127" s="428"/>
      <c r="P127" s="429"/>
      <c r="Q127" s="432" t="str">
        <f>IF(O126="","",Q125+O126)</f>
        <v/>
      </c>
      <c r="R127" s="432" t="str">
        <f>IF(O126="","",R125-O126)</f>
        <v/>
      </c>
      <c r="S127" s="117"/>
      <c r="T127" s="117" t="s">
        <v>25</v>
      </c>
      <c r="U127" s="431"/>
      <c r="V127" s="356"/>
      <c r="W127" s="436" t="str">
        <f>IF(P126="","",W125+V126)</f>
        <v/>
      </c>
      <c r="X127" s="117"/>
      <c r="Y127" s="117"/>
      <c r="Z127" s="117"/>
      <c r="AA127" s="117"/>
      <c r="AB127" s="127"/>
      <c r="AC127" s="202"/>
      <c r="AD127" s="458"/>
    </row>
    <row r="128" spans="1:30" ht="14.1" customHeight="1">
      <c r="A128" s="307"/>
      <c r="B128" s="444"/>
      <c r="C128" s="125"/>
      <c r="D128" s="310"/>
      <c r="E128" s="310"/>
      <c r="F128" s="311"/>
      <c r="G128" s="312">
        <f>ABS(D127-D129)*60</f>
        <v>0</v>
      </c>
      <c r="H128" s="312"/>
      <c r="I128" s="334">
        <f>ABS(H127-H129)*60</f>
        <v>0</v>
      </c>
      <c r="J128" s="335">
        <f>ABS(F127-F129)</f>
        <v>0</v>
      </c>
      <c r="K128" s="336" t="e">
        <f>IF(AND(D127&lt;D129,H127=H129),0,IF(AND(D127&gt;D129,H127=H129),180,IF(AND(D127=D129,H127&lt;H129),90,IF(AND(D127=D129,H127&gt;H129),270,(ATAN(I128/J128)*180/PI())))))</f>
        <v>#DIV/0!</v>
      </c>
      <c r="L128" s="310" t="e">
        <f>IF(OR(K128=0,K128=90,K128=180,K128=270),K128,IF(AND(D127&lt;D129,H127&lt;H129),K128,IF(AND(D127&lt;D129,H127&gt;H129),360-K128,IF(AND(D127&gt;D129,H127&lt;H129),180-K128,IF(AND(D127&gt;D129,H127&gt;H129),180+K128)))))</f>
        <v>#DIV/0!</v>
      </c>
      <c r="M128" s="310">
        <f>(IF(I128=0,G128,IF(G128=0,COS(D129*PI()/180)*I128,G128/COS(K128*PI()/180))))</f>
        <v>0</v>
      </c>
      <c r="N128" s="427" t="str">
        <f>IF(C130="","",ROUND(L128,1))</f>
        <v/>
      </c>
      <c r="O128" s="428" t="str">
        <f>IF(C130="","",ROUND(M128,1))</f>
        <v/>
      </c>
      <c r="P128" s="429"/>
      <c r="Q128" s="432"/>
      <c r="R128" s="432"/>
      <c r="S128" s="122"/>
      <c r="T128" s="122" t="s">
        <v>22</v>
      </c>
      <c r="U128" s="430"/>
      <c r="V128" s="356" t="e">
        <f>(O128/P128+U128/60)/24</f>
        <v>#VALUE!</v>
      </c>
      <c r="W128" s="436"/>
      <c r="X128" s="122"/>
      <c r="Y128" s="199"/>
      <c r="Z128" s="122"/>
      <c r="AA128" s="122"/>
      <c r="AB128" s="126"/>
      <c r="AC128" s="203"/>
      <c r="AD128" s="458"/>
    </row>
    <row r="129" spans="1:30" ht="14.1" customHeight="1">
      <c r="A129" s="307" t="str">
        <f>IF(B129="","",A127+1)</f>
        <v/>
      </c>
      <c r="B129" s="444"/>
      <c r="C129" s="124"/>
      <c r="D129" s="310">
        <f>TRUNC(C129)+((C129-TRUNC(C129))/0.6)</f>
        <v>0</v>
      </c>
      <c r="E129" s="310">
        <f>TRUNC(C130)+((C130-TRUNC(C130))/0.6)</f>
        <v>0</v>
      </c>
      <c r="F129" s="311">
        <f>ROUND(((LOG10(TAN(PI()/4+(D129/2*PI()/180)))*7915.7046)-(3437.7468*((0.0816968^2*SIN(D129*PI()/180))+(0.0816968^4/3*((SIN(D129*PI()/180))^3))+(0.0816968^6/5*((SIN(D129*PI()/180))^5))))),2)</f>
        <v>0</v>
      </c>
      <c r="G129" s="312"/>
      <c r="H129" s="312">
        <f>IF(E129&lt;0,E129+360,E129)</f>
        <v>0</v>
      </c>
      <c r="I129" s="334"/>
      <c r="J129" s="335"/>
      <c r="K129" s="336"/>
      <c r="L129" s="310"/>
      <c r="M129" s="310"/>
      <c r="N129" s="427"/>
      <c r="O129" s="428"/>
      <c r="P129" s="429"/>
      <c r="Q129" s="432" t="str">
        <f>IF(O128="","",Q127+O128)</f>
        <v/>
      </c>
      <c r="R129" s="432" t="str">
        <f>IF(O128="","",R127-O128)</f>
        <v/>
      </c>
      <c r="S129" s="117"/>
      <c r="T129" s="117" t="s">
        <v>25</v>
      </c>
      <c r="U129" s="431"/>
      <c r="V129" s="356"/>
      <c r="W129" s="436" t="str">
        <f>IF(P128="","",W127+V128)</f>
        <v/>
      </c>
      <c r="X129" s="117"/>
      <c r="Y129" s="117"/>
      <c r="Z129" s="117"/>
      <c r="AA129" s="117"/>
      <c r="AB129" s="127"/>
      <c r="AC129" s="202"/>
      <c r="AD129" s="458"/>
    </row>
    <row r="130" spans="1:30" ht="14.1" customHeight="1">
      <c r="A130" s="307"/>
      <c r="B130" s="444"/>
      <c r="C130" s="125"/>
      <c r="D130" s="310"/>
      <c r="E130" s="310"/>
      <c r="F130" s="311"/>
      <c r="G130" s="312">
        <f>ABS(D129-D131)*60</f>
        <v>0</v>
      </c>
      <c r="H130" s="312"/>
      <c r="I130" s="334">
        <f>ABS(H129-H131)*60</f>
        <v>0</v>
      </c>
      <c r="J130" s="335">
        <f>ABS(F129-F131)</f>
        <v>0</v>
      </c>
      <c r="K130" s="336" t="e">
        <f>IF(AND(D129&lt;D131,H129=H131),0,IF(AND(D129&gt;D131,H129=H131),180,IF(AND(D129=D131,H129&lt;H131),90,IF(AND(D129=D131,H129&gt;H131),270,(ATAN(I130/J130)*180/PI())))))</f>
        <v>#DIV/0!</v>
      </c>
      <c r="L130" s="310" t="e">
        <f>IF(OR(K130=0,K130=90,K130=180,K130=270),K130,IF(AND(D129&lt;D131,H129&lt;H131),K130,IF(AND(D129&lt;D131,H129&gt;H131),360-K130,IF(AND(D129&gt;D131,H129&lt;H131),180-K130,IF(AND(D129&gt;D131,H129&gt;H131),180+K130)))))</f>
        <v>#DIV/0!</v>
      </c>
      <c r="M130" s="310">
        <f>(IF(I130=0,G130,IF(G130=0,COS(D131*PI()/180)*I130,G130/COS(K130*PI()/180))))</f>
        <v>0</v>
      </c>
      <c r="N130" s="427" t="str">
        <f>IF(C132="","",ROUND(L130,1))</f>
        <v/>
      </c>
      <c r="O130" s="428" t="str">
        <f>IF(C132="","",ROUND(M130,1))</f>
        <v/>
      </c>
      <c r="P130" s="429"/>
      <c r="Q130" s="432"/>
      <c r="R130" s="432"/>
      <c r="S130" s="122"/>
      <c r="T130" s="122" t="s">
        <v>27</v>
      </c>
      <c r="U130" s="430"/>
      <c r="V130" s="356" t="e">
        <f>(O130/P130+U130/60)/24</f>
        <v>#VALUE!</v>
      </c>
      <c r="W130" s="436"/>
      <c r="X130" s="122"/>
      <c r="Y130" s="199"/>
      <c r="Z130" s="122"/>
      <c r="AA130" s="122"/>
      <c r="AB130" s="126"/>
      <c r="AC130" s="203"/>
      <c r="AD130" s="458"/>
    </row>
    <row r="131" spans="1:30" ht="14.1" customHeight="1">
      <c r="A131" s="307" t="str">
        <f>IF(B131="","",A129+1)</f>
        <v/>
      </c>
      <c r="B131" s="444"/>
      <c r="C131" s="124"/>
      <c r="D131" s="310">
        <f>TRUNC(C131)+((C131-TRUNC(C131))/0.6)</f>
        <v>0</v>
      </c>
      <c r="E131" s="310">
        <f>TRUNC(C132)+((C132-TRUNC(C132))/0.6)</f>
        <v>0</v>
      </c>
      <c r="F131" s="311">
        <f>ROUND(((LOG10(TAN(PI()/4+(D131/2*PI()/180)))*7915.7046)-(3437.7468*((0.0816968^2*SIN(D131*PI()/180))+(0.0816968^4/3*((SIN(D131*PI()/180))^3))+(0.0816968^6/5*((SIN(D131*PI()/180))^5))))),2)</f>
        <v>0</v>
      </c>
      <c r="G131" s="312"/>
      <c r="H131" s="312">
        <f>IF(E131&lt;0,E131+360,E131)</f>
        <v>0</v>
      </c>
      <c r="I131" s="334"/>
      <c r="J131" s="335"/>
      <c r="K131" s="336"/>
      <c r="L131" s="310"/>
      <c r="M131" s="310"/>
      <c r="N131" s="427"/>
      <c r="O131" s="428"/>
      <c r="P131" s="429"/>
      <c r="Q131" s="432" t="str">
        <f>IF(O130="","",Q129+O130)</f>
        <v/>
      </c>
      <c r="R131" s="432" t="str">
        <f>IF(O130="","",R129-O130)</f>
        <v/>
      </c>
      <c r="S131" s="117"/>
      <c r="T131" s="117" t="s">
        <v>25</v>
      </c>
      <c r="U131" s="431"/>
      <c r="V131" s="356"/>
      <c r="W131" s="436" t="str">
        <f>IF(P130="","",W129+V130)</f>
        <v/>
      </c>
      <c r="X131" s="117"/>
      <c r="Y131" s="117"/>
      <c r="Z131" s="117"/>
      <c r="AA131" s="117"/>
      <c r="AB131" s="127"/>
      <c r="AC131" s="202"/>
      <c r="AD131" s="460"/>
    </row>
    <row r="132" spans="1:30" ht="14.1" customHeight="1">
      <c r="A132" s="307"/>
      <c r="B132" s="444"/>
      <c r="C132" s="125"/>
      <c r="D132" s="310"/>
      <c r="E132" s="310"/>
      <c r="F132" s="311"/>
      <c r="G132" s="312">
        <f>ABS(D131-D133)*60</f>
        <v>0</v>
      </c>
      <c r="H132" s="312"/>
      <c r="I132" s="334">
        <f>ABS(H131-H133)*60</f>
        <v>0</v>
      </c>
      <c r="J132" s="335">
        <f>ABS(F131-F133)</f>
        <v>0</v>
      </c>
      <c r="K132" s="336" t="e">
        <f>IF(AND(D131&lt;D133,H131=H133),0,IF(AND(D131&gt;D133,H131=H133),180,IF(AND(D131=D133,H131&lt;H133),90,IF(AND(D131=D133,H131&gt;H133),270,(ATAN(I132/J132)*180/PI())))))</f>
        <v>#DIV/0!</v>
      </c>
      <c r="L132" s="310" t="e">
        <f>IF(OR(K132=0,K132=90,K132=180,K132=270),K132,IF(AND(D131&lt;D133,H131&lt;H133),K132,IF(AND(D131&lt;D133,H131&gt;H133),360-K132,IF(AND(D131&gt;D133,H131&lt;H133),180-K132,IF(AND(D131&gt;D133,H131&gt;H133),180+K132)))))</f>
        <v>#DIV/0!</v>
      </c>
      <c r="M132" s="310">
        <f>(IF(I132=0,G132,IF(G132=0,COS(D133*PI()/180)*I132,G132/COS(K132*PI()/180))))</f>
        <v>0</v>
      </c>
      <c r="N132" s="427" t="str">
        <f>IF(C134="","",ROUND(L132,1))</f>
        <v/>
      </c>
      <c r="O132" s="428" t="str">
        <f>IF(C134="","",ROUND(M132,1))</f>
        <v/>
      </c>
      <c r="P132" s="429"/>
      <c r="Q132" s="432"/>
      <c r="R132" s="432"/>
      <c r="S132" s="122"/>
      <c r="T132" s="122" t="s">
        <v>27</v>
      </c>
      <c r="U132" s="430"/>
      <c r="V132" s="356" t="e">
        <f>(O132/P132+U132/60)/24</f>
        <v>#VALUE!</v>
      </c>
      <c r="W132" s="436"/>
      <c r="X132" s="122"/>
      <c r="Y132" s="199"/>
      <c r="Z132" s="122"/>
      <c r="AA132" s="122"/>
      <c r="AB132" s="126"/>
      <c r="AC132" s="203"/>
      <c r="AD132" s="460"/>
    </row>
    <row r="133" spans="1:30" ht="14.1" customHeight="1">
      <c r="A133" s="307" t="str">
        <f>IF(B133="","",A131+1)</f>
        <v/>
      </c>
      <c r="B133" s="444"/>
      <c r="C133" s="124"/>
      <c r="D133" s="310">
        <f>TRUNC(C133)+((C133-TRUNC(C133))/0.6)</f>
        <v>0</v>
      </c>
      <c r="E133" s="310">
        <f>TRUNC(C134)+((C134-TRUNC(C134))/0.6)</f>
        <v>0</v>
      </c>
      <c r="F133" s="311">
        <f>ROUND(((LOG10(TAN(PI()/4+(D133/2*PI()/180)))*7915.7046)-(3437.7468*((0.0816968^2*SIN(D133*PI()/180))+(0.0816968^4/3*((SIN(D133*PI()/180))^3))+(0.0816968^6/5*((SIN(D133*PI()/180))^5))))),2)</f>
        <v>0</v>
      </c>
      <c r="G133" s="312"/>
      <c r="H133" s="312">
        <f>IF(E133&lt;0,E133+360,E133)</f>
        <v>0</v>
      </c>
      <c r="I133" s="334"/>
      <c r="J133" s="335"/>
      <c r="K133" s="336"/>
      <c r="L133" s="310"/>
      <c r="M133" s="310"/>
      <c r="N133" s="427"/>
      <c r="O133" s="428"/>
      <c r="P133" s="429"/>
      <c r="Q133" s="432" t="str">
        <f>IF(O132="","",Q131+O132)</f>
        <v/>
      </c>
      <c r="R133" s="432" t="str">
        <f>IF(O132="","",R131-O132)</f>
        <v/>
      </c>
      <c r="S133" s="117"/>
      <c r="T133" s="117" t="s">
        <v>26</v>
      </c>
      <c r="U133" s="431"/>
      <c r="V133" s="356"/>
      <c r="W133" s="436" t="str">
        <f>IF(P132="","",W131+V132)</f>
        <v/>
      </c>
      <c r="X133" s="117"/>
      <c r="Y133" s="117"/>
      <c r="Z133" s="117"/>
      <c r="AA133" s="117"/>
      <c r="AB133" s="127"/>
      <c r="AC133" s="202"/>
      <c r="AD133" s="458"/>
    </row>
    <row r="134" spans="1:30" ht="14.1" customHeight="1">
      <c r="A134" s="307"/>
      <c r="B134" s="444"/>
      <c r="C134" s="125"/>
      <c r="D134" s="310"/>
      <c r="E134" s="310"/>
      <c r="F134" s="311"/>
      <c r="G134" s="312">
        <f>ABS(D133-D135)*60</f>
        <v>0</v>
      </c>
      <c r="H134" s="312"/>
      <c r="I134" s="334">
        <f>ABS(H133-H135)*60</f>
        <v>0</v>
      </c>
      <c r="J134" s="335">
        <f>ABS(F133-F135)</f>
        <v>0</v>
      </c>
      <c r="K134" s="336" t="e">
        <f>IF(AND(D133&lt;D135,H133=H135),0,IF(AND(D133&gt;D135,H133=H135),180,IF(AND(D133=D135,H133&lt;H135),90,IF(AND(D133=D135,H133&gt;H135),270,(ATAN(I134/J134)*180/PI())))))</f>
        <v>#DIV/0!</v>
      </c>
      <c r="L134" s="310" t="e">
        <f>IF(OR(K134=0,K134=90,K134=180,K134=270),K134,IF(AND(D133&lt;D135,H133&lt;H135),K134,IF(AND(D133&lt;D135,H133&gt;H135),360-K134,IF(AND(D133&gt;D135,H133&lt;H135),180-K134,IF(AND(D133&gt;D135,H133&gt;H135),180+K134)))))</f>
        <v>#DIV/0!</v>
      </c>
      <c r="M134" s="310">
        <f>(IF(I134=0,G134,IF(G134=0,COS(D135*PI()/180)*I134,G134/COS(K134*PI()/180))))</f>
        <v>0</v>
      </c>
      <c r="N134" s="427" t="str">
        <f>IF(C136="","",ROUND(L134,1))</f>
        <v/>
      </c>
      <c r="O134" s="428" t="str">
        <f>IF(C136="","",ROUND(M134,1))</f>
        <v/>
      </c>
      <c r="P134" s="429"/>
      <c r="Q134" s="432"/>
      <c r="R134" s="432"/>
      <c r="S134" s="122"/>
      <c r="T134" s="122" t="s">
        <v>29</v>
      </c>
      <c r="U134" s="430"/>
      <c r="V134" s="356" t="e">
        <f>(O134/P134+U134/60)/24</f>
        <v>#VALUE!</v>
      </c>
      <c r="W134" s="436"/>
      <c r="X134" s="122"/>
      <c r="Y134" s="199"/>
      <c r="Z134" s="122"/>
      <c r="AA134" s="122"/>
      <c r="AB134" s="126"/>
      <c r="AC134" s="203"/>
      <c r="AD134" s="458"/>
    </row>
    <row r="135" spans="1:30" ht="14.1" customHeight="1">
      <c r="A135" s="307" t="str">
        <f>IF(B135="","",A133+1)</f>
        <v/>
      </c>
      <c r="B135" s="461"/>
      <c r="C135" s="124"/>
      <c r="D135" s="310">
        <f>TRUNC(C135)+((C135-TRUNC(C135))/0.6)</f>
        <v>0</v>
      </c>
      <c r="E135" s="310">
        <f>TRUNC(C136)+((C136-TRUNC(C136))/0.6)</f>
        <v>0</v>
      </c>
      <c r="F135" s="311">
        <f>ROUND(((LOG10(TAN(PI()/4+(D135/2*PI()/180)))*7915.7046)-(3437.7468*((0.0816968^2*SIN(D135*PI()/180))+(0.0816968^4/3*((SIN(D135*PI()/180))^3))+(0.0816968^6/5*((SIN(D135*PI()/180))^5))))),2)</f>
        <v>0</v>
      </c>
      <c r="G135" s="312"/>
      <c r="H135" s="312">
        <f>IF(E135&lt;0,E135+360,E135)</f>
        <v>0</v>
      </c>
      <c r="I135" s="334"/>
      <c r="J135" s="335"/>
      <c r="K135" s="336"/>
      <c r="L135" s="310"/>
      <c r="M135" s="310"/>
      <c r="N135" s="427"/>
      <c r="O135" s="428"/>
      <c r="P135" s="429"/>
      <c r="Q135" s="432" t="str">
        <f>IF(O134="","",Q133+O134)</f>
        <v/>
      </c>
      <c r="R135" s="432" t="str">
        <f>IF(O134="","",R133-O134)</f>
        <v/>
      </c>
      <c r="S135" s="117"/>
      <c r="T135" s="117" t="s">
        <v>26</v>
      </c>
      <c r="U135" s="431"/>
      <c r="V135" s="356"/>
      <c r="W135" s="436" t="str">
        <f>IF(P134="","",W133+V134)</f>
        <v/>
      </c>
      <c r="X135" s="117"/>
      <c r="Y135" s="117"/>
      <c r="Z135" s="117"/>
      <c r="AA135" s="117"/>
      <c r="AB135" s="127"/>
      <c r="AC135" s="202"/>
      <c r="AD135" s="460" t="s">
        <v>28</v>
      </c>
    </row>
    <row r="136" spans="1:30" ht="14.1" customHeight="1">
      <c r="A136" s="307"/>
      <c r="B136" s="462"/>
      <c r="C136" s="125"/>
      <c r="D136" s="310"/>
      <c r="E136" s="310"/>
      <c r="F136" s="311"/>
      <c r="G136" s="312">
        <f>ABS(D135-D137)*60</f>
        <v>0</v>
      </c>
      <c r="H136" s="312"/>
      <c r="I136" s="334">
        <f>ABS(H135-H137)*60</f>
        <v>0</v>
      </c>
      <c r="J136" s="335">
        <f>ABS(F135-F137)</f>
        <v>0</v>
      </c>
      <c r="K136" s="336" t="e">
        <f>IF(AND(D135&lt;D137,H135=H137),0,IF(AND(D135&gt;D137,H135=H137),180,IF(AND(D135=D137,H135&lt;H137),90,IF(AND(D135=D137,H135&gt;H137),270,(ATAN(I136/J136)*180/PI())))))</f>
        <v>#DIV/0!</v>
      </c>
      <c r="L136" s="310" t="e">
        <f>IF(OR(K136=0,K136=90,K136=180,K136=270),K136,IF(AND(D135&lt;D137,H135&lt;H137),K136,IF(AND(D135&lt;D137,H135&gt;H137),360-K136,IF(AND(D135&gt;D137,H135&lt;H137),180-K136,IF(AND(D135&gt;D137,H135&gt;H137),180+K136)))))</f>
        <v>#DIV/0!</v>
      </c>
      <c r="M136" s="310">
        <f>(IF(I136=0,G136,IF(G136=0,COS(D137*PI()/180)*I136,G136/COS(K136*PI()/180))))</f>
        <v>0</v>
      </c>
      <c r="N136" s="427" t="str">
        <f>IF(C138="","",ROUND(L136,1))</f>
        <v/>
      </c>
      <c r="O136" s="428" t="str">
        <f>IF(C138="","",ROUND(M136,1))</f>
        <v/>
      </c>
      <c r="P136" s="429"/>
      <c r="Q136" s="432"/>
      <c r="R136" s="432"/>
      <c r="S136" s="122"/>
      <c r="T136" s="122" t="s">
        <v>29</v>
      </c>
      <c r="U136" s="430"/>
      <c r="V136" s="356" t="e">
        <f>(O136/P136+U136/60)/24</f>
        <v>#VALUE!</v>
      </c>
      <c r="W136" s="436"/>
      <c r="X136" s="122"/>
      <c r="Y136" s="199"/>
      <c r="Z136" s="122"/>
      <c r="AA136" s="122"/>
      <c r="AB136" s="126"/>
      <c r="AC136" s="203"/>
      <c r="AD136" s="460"/>
    </row>
    <row r="137" spans="1:30" ht="14.1" customHeight="1">
      <c r="A137" s="307" t="str">
        <f>IF(B137="","",A135+1)</f>
        <v/>
      </c>
      <c r="B137" s="461"/>
      <c r="C137" s="124"/>
      <c r="D137" s="310">
        <f>TRUNC(C137)+((C137-TRUNC(C137))/0.6)</f>
        <v>0</v>
      </c>
      <c r="E137" s="310">
        <f>TRUNC(C138)+((C138-TRUNC(C138))/0.6)</f>
        <v>0</v>
      </c>
      <c r="F137" s="311">
        <f>ROUND(((LOG10(TAN(PI()/4+(D137/2*PI()/180)))*7915.7046)-(3437.7468*((0.0816968^2*SIN(D137*PI()/180))+(0.0816968^4/3*((SIN(D137*PI()/180))^3))+(0.0816968^6/5*((SIN(D137*PI()/180))^5))))),2)</f>
        <v>0</v>
      </c>
      <c r="G137" s="312"/>
      <c r="H137" s="312">
        <f>IF(E137&lt;0,E137+360,E137)</f>
        <v>0</v>
      </c>
      <c r="I137" s="334"/>
      <c r="J137" s="335"/>
      <c r="K137" s="336"/>
      <c r="L137" s="310"/>
      <c r="M137" s="310"/>
      <c r="N137" s="427"/>
      <c r="O137" s="428"/>
      <c r="P137" s="429"/>
      <c r="Q137" s="432" t="str">
        <f>IF(O136="","",Q135+O136)</f>
        <v/>
      </c>
      <c r="R137" s="432" t="str">
        <f>IF(O136="","",R135-O136)</f>
        <v/>
      </c>
      <c r="S137" s="117"/>
      <c r="T137" s="117" t="s">
        <v>25</v>
      </c>
      <c r="U137" s="431"/>
      <c r="V137" s="356"/>
      <c r="W137" s="436" t="str">
        <f>IF(P136="","",W135+V136)</f>
        <v/>
      </c>
      <c r="X137" s="117"/>
      <c r="Y137" s="117"/>
      <c r="Z137" s="117"/>
      <c r="AA137" s="117"/>
      <c r="AB137" s="127"/>
      <c r="AC137" s="202"/>
      <c r="AD137" s="458" t="s">
        <v>28</v>
      </c>
    </row>
    <row r="138" spans="1:30" ht="14.1" customHeight="1">
      <c r="A138" s="307"/>
      <c r="B138" s="462"/>
      <c r="C138" s="125"/>
      <c r="D138" s="310"/>
      <c r="E138" s="310"/>
      <c r="F138" s="311"/>
      <c r="G138" s="312">
        <f>ABS(D137-D139)*60</f>
        <v>0</v>
      </c>
      <c r="H138" s="312"/>
      <c r="I138" s="334">
        <f>ABS(H137-H139)*60</f>
        <v>0</v>
      </c>
      <c r="J138" s="335">
        <f>ABS(F137-F139)</f>
        <v>0</v>
      </c>
      <c r="K138" s="336" t="e">
        <f>IF(AND(D137&lt;D139,H137=H139),0,IF(AND(D137&gt;D139,H137=H139),180,IF(AND(D137=D139,H137&lt;H139),90,IF(AND(D137=D139,H137&gt;H139),270,(ATAN(I138/J138)*180/PI())))))</f>
        <v>#DIV/0!</v>
      </c>
      <c r="L138" s="310" t="e">
        <f>IF(OR(K138=0,K138=90,K138=180,K138=270),K138,IF(AND(D137&lt;D139,H137&lt;H139),K138,IF(AND(D137&lt;D139,H137&gt;H139),360-K138,IF(AND(D137&gt;D139,H137&lt;H139),180-K138,IF(AND(D137&gt;D139,H137&gt;H139),180+K138)))))</f>
        <v>#DIV/0!</v>
      </c>
      <c r="M138" s="310">
        <f>(IF(I138=0,G138,IF(G138=0,COS(D139*PI()/180)*I138,G138/COS(K138*PI()/180))))</f>
        <v>0</v>
      </c>
      <c r="N138" s="427" t="str">
        <f>IF(C140="","",ROUND(L138,1))</f>
        <v/>
      </c>
      <c r="O138" s="428" t="str">
        <f>IF(C140="","",ROUND(M138,1))</f>
        <v/>
      </c>
      <c r="P138" s="429"/>
      <c r="Q138" s="432"/>
      <c r="R138" s="432"/>
      <c r="S138" s="122"/>
      <c r="T138" s="122" t="s">
        <v>27</v>
      </c>
      <c r="U138" s="430"/>
      <c r="V138" s="356" t="e">
        <f>(O138/P138+U138/60)/24</f>
        <v>#VALUE!</v>
      </c>
      <c r="W138" s="436"/>
      <c r="X138" s="122"/>
      <c r="Y138" s="199"/>
      <c r="Z138" s="122"/>
      <c r="AA138" s="122"/>
      <c r="AB138" s="126"/>
      <c r="AC138" s="203"/>
      <c r="AD138" s="458"/>
    </row>
    <row r="139" spans="1:30" ht="14.1" customHeight="1">
      <c r="A139" s="307" t="str">
        <f t="shared" ref="A139" si="6">IF(B139="","",A137+1)</f>
        <v/>
      </c>
      <c r="B139" s="461"/>
      <c r="C139" s="124"/>
      <c r="D139" s="310">
        <f>TRUNC(C139)+((C139-TRUNC(C139))/0.6)</f>
        <v>0</v>
      </c>
      <c r="E139" s="310">
        <f>TRUNC(C140)+((C140-TRUNC(C140))/0.6)</f>
        <v>0</v>
      </c>
      <c r="F139" s="311">
        <f>ROUND(((LOG10(TAN(PI()/4+(D139/2*PI()/180)))*7915.7046)-(3437.7468*((0.0816968^2*SIN(D139*PI()/180))+(0.0816968^4/3*((SIN(D139*PI()/180))^3))+(0.0816968^6/5*((SIN(D139*PI()/180))^5))))),2)</f>
        <v>0</v>
      </c>
      <c r="G139" s="312"/>
      <c r="H139" s="312">
        <f>IF(E139&lt;0,E139+360,E139)</f>
        <v>0</v>
      </c>
      <c r="I139" s="334"/>
      <c r="J139" s="335"/>
      <c r="K139" s="336"/>
      <c r="L139" s="310"/>
      <c r="M139" s="310"/>
      <c r="N139" s="427"/>
      <c r="O139" s="428"/>
      <c r="P139" s="429"/>
      <c r="Q139" s="432" t="str">
        <f>IF(O138="","",Q137+O138)</f>
        <v/>
      </c>
      <c r="R139" s="432" t="str">
        <f>IF(O138="","",R137-O138)</f>
        <v/>
      </c>
      <c r="S139" s="117"/>
      <c r="T139" s="117" t="s">
        <v>25</v>
      </c>
      <c r="U139" s="431"/>
      <c r="V139" s="356"/>
      <c r="W139" s="436" t="str">
        <f>IF(P138="","",W137+V138)</f>
        <v/>
      </c>
      <c r="X139" s="117"/>
      <c r="Y139" s="117"/>
      <c r="Z139" s="117"/>
      <c r="AA139" s="117"/>
      <c r="AB139" s="127"/>
      <c r="AC139" s="202"/>
      <c r="AD139" s="458"/>
    </row>
    <row r="140" spans="1:30" ht="14.1" customHeight="1">
      <c r="A140" s="307"/>
      <c r="B140" s="462"/>
      <c r="C140" s="125"/>
      <c r="D140" s="310"/>
      <c r="E140" s="310"/>
      <c r="F140" s="311"/>
      <c r="G140" s="312">
        <f>ABS(D139-D141)*60</f>
        <v>0</v>
      </c>
      <c r="H140" s="312"/>
      <c r="I140" s="334">
        <f>ABS(H139-H141)*60</f>
        <v>0</v>
      </c>
      <c r="J140" s="335">
        <f>ABS(F139-F141)</f>
        <v>0</v>
      </c>
      <c r="K140" s="336" t="e">
        <f>IF(AND(D139&lt;D141,H139=H141),0,IF(AND(D139&gt;D141,H139=H141),180,IF(AND(D139=D141,H139&lt;H141),90,IF(AND(D139=D141,H139&gt;H141),270,(ATAN(I140/J140)*180/PI())))))</f>
        <v>#DIV/0!</v>
      </c>
      <c r="L140" s="310" t="e">
        <f>IF(OR(K140=0,K140=90,K140=180,K140=270),K140,IF(AND(D139&lt;D141,H139&lt;H141),K140,IF(AND(D139&lt;D141,H139&gt;H141),360-K140,IF(AND(D139&gt;D141,H139&lt;H141),180-K140,IF(AND(D139&gt;D141,H139&gt;H141),180+K140)))))</f>
        <v>#DIV/0!</v>
      </c>
      <c r="M140" s="310">
        <f>(IF(I140=0,G140,IF(G140=0,COS(D141*PI()/180)*I140,G140/COS(K140*PI()/180))))</f>
        <v>0</v>
      </c>
      <c r="N140" s="427" t="str">
        <f>IF(C142="","",ROUND(L140,1))</f>
        <v/>
      </c>
      <c r="O140" s="428" t="str">
        <f>IF(C142="","",ROUND(M140,1))</f>
        <v/>
      </c>
      <c r="P140" s="429"/>
      <c r="Q140" s="432"/>
      <c r="R140" s="432"/>
      <c r="S140" s="122"/>
      <c r="T140" s="122" t="s">
        <v>22</v>
      </c>
      <c r="U140" s="430"/>
      <c r="V140" s="356" t="e">
        <f>(O140/P140+U140/60)/24</f>
        <v>#VALUE!</v>
      </c>
      <c r="W140" s="436"/>
      <c r="X140" s="122"/>
      <c r="Y140" s="199"/>
      <c r="Z140" s="122"/>
      <c r="AA140" s="122"/>
      <c r="AB140" s="126"/>
      <c r="AC140" s="203"/>
      <c r="AD140" s="458"/>
    </row>
    <row r="141" spans="1:30" ht="15" customHeight="1">
      <c r="A141" s="307" t="str">
        <f t="shared" ref="A141" si="7">IF(B141="","",A139+1)</f>
        <v/>
      </c>
      <c r="B141" s="400"/>
      <c r="C141" s="124"/>
      <c r="D141" s="310">
        <f>TRUNC(C141)+((C141-TRUNC(C141))/0.6)</f>
        <v>0</v>
      </c>
      <c r="E141" s="310">
        <f>TRUNC(C142)+((C142-TRUNC(C142))/0.6)</f>
        <v>0</v>
      </c>
      <c r="F141" s="311">
        <f>ROUND(((LOG10(TAN(PI()/4+(D141/2*PI()/180)))*7915.7046)-(3437.7468*((0.0816968^2*SIN(D141*PI()/180))+(0.0816968^4/3*((SIN(D141*PI()/180))^3))+(0.0816968^6/5*((SIN(D141*PI()/180))^5))))),2)</f>
        <v>0</v>
      </c>
      <c r="G141" s="312"/>
      <c r="H141" s="312">
        <f>IF(E141&lt;0,E141+360,E141)</f>
        <v>0</v>
      </c>
      <c r="I141" s="334"/>
      <c r="J141" s="335"/>
      <c r="K141" s="336"/>
      <c r="L141" s="310"/>
      <c r="M141" s="310"/>
      <c r="N141" s="427"/>
      <c r="O141" s="428"/>
      <c r="P141" s="429"/>
      <c r="Q141" s="432" t="str">
        <f>IF(O140="","",Q139+O140)</f>
        <v/>
      </c>
      <c r="R141" s="432" t="str">
        <f>IF(O140="","",R139-O140)</f>
        <v/>
      </c>
      <c r="S141" s="117"/>
      <c r="T141" s="117" t="s">
        <v>25</v>
      </c>
      <c r="U141" s="431"/>
      <c r="V141" s="356"/>
      <c r="W141" s="436" t="str">
        <f>IF(P140="","",W139+V140)</f>
        <v/>
      </c>
      <c r="X141" s="117"/>
      <c r="Y141" s="117"/>
      <c r="Z141" s="117"/>
      <c r="AA141" s="117"/>
      <c r="AB141" s="127"/>
      <c r="AC141" s="202"/>
      <c r="AD141" s="454" t="s">
        <v>71</v>
      </c>
    </row>
    <row r="142" spans="1:30" ht="13.5" customHeight="1">
      <c r="A142" s="307"/>
      <c r="B142" s="401"/>
      <c r="C142" s="125"/>
      <c r="D142" s="310"/>
      <c r="E142" s="310"/>
      <c r="F142" s="311"/>
      <c r="G142" s="312">
        <f>ABS(D141-D143)*60</f>
        <v>0</v>
      </c>
      <c r="H142" s="312"/>
      <c r="I142" s="334">
        <f>ABS(H141-H143)*60</f>
        <v>0</v>
      </c>
      <c r="J142" s="335">
        <f>ABS(F141-F143)</f>
        <v>0</v>
      </c>
      <c r="K142" s="336" t="e">
        <f>IF(AND(D141&lt;D143,H141=H143),0,IF(AND(D141&gt;D143,H141=H143),180,IF(AND(D141=D143,H141&lt;H143),90,IF(AND(D141=D143,H141&gt;H143),270,(ATAN(I142/J142)*180/PI())))))</f>
        <v>#DIV/0!</v>
      </c>
      <c r="L142" s="310" t="e">
        <f>IF(OR(K142=0,K142=90,K142=180,K142=270),K142,IF(AND(D141&lt;D143,H141&lt;H143),K142,IF(AND(D141&lt;D143,H141&gt;H143),360-K142,IF(AND(D141&gt;D143,H141&lt;H143),180-K142,IF(AND(D141&gt;D143,H141&gt;H143),180+K142)))))</f>
        <v>#DIV/0!</v>
      </c>
      <c r="M142" s="310">
        <f>(IF(I142=0,G142,IF(G142=0,COS(D143*PI()/180)*I142,G142/COS(K142*PI()/180))))</f>
        <v>0</v>
      </c>
      <c r="N142" s="427" t="str">
        <f>IF(C144="","",ROUND(L142,1))</f>
        <v/>
      </c>
      <c r="O142" s="428" t="str">
        <f>IF(C144="","",ROUND(M142,1))</f>
        <v/>
      </c>
      <c r="P142" s="429"/>
      <c r="Q142" s="432"/>
      <c r="R142" s="432"/>
      <c r="S142" s="122"/>
      <c r="T142" s="122" t="s">
        <v>23</v>
      </c>
      <c r="U142" s="430"/>
      <c r="V142" s="356" t="e">
        <f>(O142/P142+U142/60)/24</f>
        <v>#VALUE!</v>
      </c>
      <c r="W142" s="436"/>
      <c r="X142" s="122"/>
      <c r="Y142" s="199"/>
      <c r="Z142" s="122"/>
      <c r="AA142" s="122"/>
      <c r="AB142" s="126"/>
      <c r="AC142" s="203"/>
      <c r="AD142" s="455"/>
    </row>
    <row r="143" spans="1:30" ht="14.1" customHeight="1">
      <c r="A143" s="307" t="str">
        <f t="shared" ref="A143" si="8">IF(B143="","",A141+1)</f>
        <v/>
      </c>
      <c r="B143" s="444"/>
      <c r="C143" s="124"/>
      <c r="D143" s="310">
        <f>TRUNC(C143)+((C143-TRUNC(C143))/0.6)</f>
        <v>0</v>
      </c>
      <c r="E143" s="310">
        <f>TRUNC(C144)+((C144-TRUNC(C144))/0.6)</f>
        <v>0</v>
      </c>
      <c r="F143" s="311">
        <f>ROUND(((LOG10(TAN(PI()/4+(D143/2*PI()/180)))*7915.7046)-(3437.7468*((0.0816968^2*SIN(D143*PI()/180))+(0.0816968^4/3*((SIN(D143*PI()/180))^3))+(0.0816968^6/5*((SIN(D143*PI()/180))^5))))),2)</f>
        <v>0</v>
      </c>
      <c r="G143" s="312"/>
      <c r="H143" s="312">
        <f>IF(E143&lt;0,E143+360,E143)</f>
        <v>0</v>
      </c>
      <c r="I143" s="334"/>
      <c r="J143" s="335"/>
      <c r="K143" s="336"/>
      <c r="L143" s="310"/>
      <c r="M143" s="310"/>
      <c r="N143" s="427"/>
      <c r="O143" s="428"/>
      <c r="P143" s="429"/>
      <c r="Q143" s="432" t="str">
        <f>IF(O142="","",Q141+O142)</f>
        <v/>
      </c>
      <c r="R143" s="432"/>
      <c r="S143" s="117"/>
      <c r="T143" s="117"/>
      <c r="U143" s="431"/>
      <c r="V143" s="356"/>
      <c r="W143" s="436" t="str">
        <f>IF(P142="","",W141+V142)</f>
        <v/>
      </c>
      <c r="X143" s="117"/>
      <c r="Y143" s="117"/>
      <c r="Z143" s="117"/>
      <c r="AA143" s="117"/>
      <c r="AB143" s="127"/>
      <c r="AC143" s="202"/>
      <c r="AD143" s="455"/>
    </row>
    <row r="144" spans="1:30" s="107" customFormat="1" ht="14.1" customHeight="1">
      <c r="A144" s="307"/>
      <c r="B144" s="444"/>
      <c r="C144" s="125"/>
      <c r="D144" s="310"/>
      <c r="E144" s="310"/>
      <c r="F144" s="311"/>
      <c r="G144" s="128"/>
      <c r="H144" s="312"/>
      <c r="I144" s="128"/>
      <c r="J144" s="128"/>
      <c r="K144" s="128"/>
      <c r="L144" s="128"/>
      <c r="M144" s="128"/>
      <c r="N144" s="197"/>
      <c r="O144" s="116"/>
      <c r="P144" s="116"/>
      <c r="Q144" s="432"/>
      <c r="R144" s="432"/>
      <c r="S144" s="122"/>
      <c r="T144" s="122"/>
      <c r="U144" s="129"/>
      <c r="V144" s="118"/>
      <c r="W144" s="436"/>
      <c r="X144" s="122"/>
      <c r="Y144" s="199"/>
      <c r="Z144" s="122"/>
      <c r="AA144" s="122"/>
      <c r="AB144" s="126"/>
      <c r="AC144" s="203"/>
      <c r="AD144" s="456"/>
    </row>
    <row r="145" spans="1:30" s="107" customFormat="1" ht="13.5" customHeight="1">
      <c r="A145" s="397"/>
      <c r="B145" s="397"/>
      <c r="C145" s="397"/>
      <c r="D145" s="397"/>
      <c r="E145" s="397"/>
      <c r="F145" s="397"/>
      <c r="G145" s="397"/>
      <c r="H145" s="397"/>
      <c r="I145" s="397"/>
      <c r="J145" s="397"/>
      <c r="K145" s="397"/>
      <c r="L145" s="397"/>
      <c r="M145" s="397"/>
      <c r="N145" s="397"/>
      <c r="O145" s="397"/>
      <c r="P145" s="397"/>
      <c r="Q145" s="397"/>
      <c r="R145" s="397"/>
      <c r="S145" s="397"/>
      <c r="T145" s="397"/>
      <c r="U145" s="397"/>
      <c r="V145" s="397"/>
      <c r="W145" s="397"/>
      <c r="X145" s="397"/>
      <c r="Y145" s="397"/>
      <c r="Z145" s="397"/>
      <c r="AA145" s="397"/>
      <c r="AB145" s="397"/>
      <c r="AC145" s="397"/>
      <c r="AD145" s="397"/>
    </row>
    <row r="146" spans="1:30" ht="14.1" customHeight="1">
      <c r="A146" s="397"/>
      <c r="B146" s="397"/>
      <c r="C146" s="397"/>
      <c r="D146" s="397"/>
      <c r="E146" s="397"/>
      <c r="F146" s="397"/>
      <c r="G146" s="397"/>
      <c r="H146" s="397"/>
      <c r="I146" s="397"/>
      <c r="J146" s="397"/>
      <c r="K146" s="397"/>
      <c r="L146" s="397"/>
      <c r="M146" s="397"/>
      <c r="N146" s="397"/>
      <c r="O146" s="397"/>
      <c r="P146" s="397"/>
      <c r="Q146" s="397"/>
      <c r="R146" s="397"/>
      <c r="S146" s="397"/>
      <c r="T146" s="397"/>
      <c r="U146" s="397"/>
      <c r="V146" s="397"/>
      <c r="W146" s="397"/>
      <c r="X146" s="397"/>
      <c r="Y146" s="397"/>
      <c r="Z146" s="397"/>
      <c r="AA146" s="397"/>
      <c r="AB146" s="397"/>
      <c r="AC146" s="397"/>
      <c r="AD146" s="397"/>
    </row>
    <row r="147" spans="1:30" ht="14.1" customHeight="1">
      <c r="A147" s="397"/>
      <c r="B147" s="397"/>
      <c r="C147" s="397"/>
      <c r="D147" s="397"/>
      <c r="E147" s="397"/>
      <c r="F147" s="397"/>
      <c r="G147" s="397"/>
      <c r="H147" s="397"/>
      <c r="I147" s="397"/>
      <c r="J147" s="397"/>
      <c r="K147" s="397"/>
      <c r="L147" s="397"/>
      <c r="M147" s="397"/>
      <c r="N147" s="397"/>
      <c r="O147" s="397"/>
      <c r="P147" s="397"/>
      <c r="Q147" s="397"/>
      <c r="R147" s="397"/>
      <c r="S147" s="397"/>
      <c r="T147" s="397"/>
      <c r="U147" s="397"/>
      <c r="V147" s="397"/>
      <c r="W147" s="397"/>
      <c r="X147" s="397"/>
      <c r="Y147" s="397"/>
      <c r="Z147" s="397"/>
      <c r="AA147" s="397"/>
      <c r="AB147" s="397"/>
      <c r="AC147" s="397"/>
      <c r="AD147" s="397"/>
    </row>
    <row r="148" spans="1:30" ht="14.1" customHeight="1">
      <c r="A148" s="410" t="s">
        <v>11</v>
      </c>
      <c r="B148" s="413" t="s">
        <v>12</v>
      </c>
      <c r="C148" s="414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419" t="s">
        <v>4</v>
      </c>
      <c r="O148" s="420" t="s">
        <v>5</v>
      </c>
      <c r="P148" s="420" t="s">
        <v>13</v>
      </c>
      <c r="Q148" s="402" t="s">
        <v>14</v>
      </c>
      <c r="R148" s="402" t="s">
        <v>6</v>
      </c>
      <c r="S148" s="179" t="s">
        <v>52</v>
      </c>
      <c r="T148" s="183" t="s">
        <v>33</v>
      </c>
      <c r="U148" s="403" t="s">
        <v>15</v>
      </c>
      <c r="V148" s="182"/>
      <c r="W148" s="404" t="s">
        <v>16</v>
      </c>
      <c r="X148" s="183" t="s">
        <v>34</v>
      </c>
      <c r="Y148" s="183" t="s">
        <v>33</v>
      </c>
      <c r="Z148" s="183" t="s">
        <v>35</v>
      </c>
      <c r="AA148" s="183" t="s">
        <v>36</v>
      </c>
      <c r="AB148" s="405" t="s">
        <v>37</v>
      </c>
      <c r="AC148" s="183" t="s">
        <v>58</v>
      </c>
      <c r="AD148" s="405" t="s">
        <v>38</v>
      </c>
    </row>
    <row r="149" spans="1:30" ht="14.1" customHeight="1">
      <c r="A149" s="411"/>
      <c r="B149" s="415"/>
      <c r="C149" s="416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419"/>
      <c r="O149" s="420"/>
      <c r="P149" s="420"/>
      <c r="Q149" s="402"/>
      <c r="R149" s="402"/>
      <c r="S149" s="184" t="s">
        <v>53</v>
      </c>
      <c r="T149" s="186" t="s">
        <v>39</v>
      </c>
      <c r="U149" s="403"/>
      <c r="V149" s="182"/>
      <c r="W149" s="404"/>
      <c r="X149" s="186" t="s">
        <v>40</v>
      </c>
      <c r="Y149" s="186" t="s">
        <v>41</v>
      </c>
      <c r="Z149" s="186" t="s">
        <v>42</v>
      </c>
      <c r="AA149" s="186" t="s">
        <v>43</v>
      </c>
      <c r="AB149" s="406"/>
      <c r="AC149" s="186" t="s">
        <v>59</v>
      </c>
      <c r="AD149" s="406"/>
    </row>
    <row r="150" spans="1:30" ht="14.1" customHeight="1">
      <c r="A150" s="411"/>
      <c r="B150" s="415"/>
      <c r="C150" s="416"/>
      <c r="D150" s="187" t="s">
        <v>17</v>
      </c>
      <c r="E150" s="187" t="s">
        <v>18</v>
      </c>
      <c r="F150" s="188" t="s">
        <v>0</v>
      </c>
      <c r="G150" s="188" t="s">
        <v>1</v>
      </c>
      <c r="H150" s="189" t="s">
        <v>19</v>
      </c>
      <c r="I150" s="190" t="s">
        <v>2</v>
      </c>
      <c r="J150" s="188" t="s">
        <v>3</v>
      </c>
      <c r="K150" s="189"/>
      <c r="L150" s="188" t="s">
        <v>20</v>
      </c>
      <c r="M150" s="188" t="s">
        <v>21</v>
      </c>
      <c r="N150" s="419"/>
      <c r="O150" s="420"/>
      <c r="P150" s="420"/>
      <c r="Q150" s="402"/>
      <c r="R150" s="402"/>
      <c r="S150" s="184" t="s">
        <v>54</v>
      </c>
      <c r="T150" s="186" t="s">
        <v>44</v>
      </c>
      <c r="U150" s="403"/>
      <c r="V150" s="182"/>
      <c r="W150" s="404"/>
      <c r="X150" s="186" t="s">
        <v>44</v>
      </c>
      <c r="Y150" s="186" t="s">
        <v>45</v>
      </c>
      <c r="Z150" s="186" t="s">
        <v>46</v>
      </c>
      <c r="AA150" s="186" t="s">
        <v>72</v>
      </c>
      <c r="AB150" s="406"/>
      <c r="AC150" s="186"/>
      <c r="AD150" s="406"/>
    </row>
    <row r="151" spans="1:30" ht="14.1" customHeight="1">
      <c r="A151" s="412"/>
      <c r="B151" s="417"/>
      <c r="C151" s="418"/>
      <c r="D151" s="180"/>
      <c r="E151" s="180"/>
      <c r="F151" s="192"/>
      <c r="G151" s="192"/>
      <c r="H151" s="192"/>
      <c r="I151" s="193"/>
      <c r="J151" s="192"/>
      <c r="K151" s="192"/>
      <c r="L151" s="192"/>
      <c r="M151" s="192"/>
      <c r="N151" s="419"/>
      <c r="O151" s="420"/>
      <c r="P151" s="420"/>
      <c r="Q151" s="402"/>
      <c r="R151" s="402"/>
      <c r="S151" s="191" t="s">
        <v>55</v>
      </c>
      <c r="T151" s="195" t="s">
        <v>47</v>
      </c>
      <c r="U151" s="403"/>
      <c r="V151" s="182"/>
      <c r="W151" s="404"/>
      <c r="X151" s="195" t="s">
        <v>47</v>
      </c>
      <c r="Y151" s="195" t="s">
        <v>48</v>
      </c>
      <c r="Z151" s="195" t="s">
        <v>49</v>
      </c>
      <c r="AA151" s="195"/>
      <c r="AB151" s="407"/>
      <c r="AC151" s="195" t="s">
        <v>60</v>
      </c>
      <c r="AD151" s="407"/>
    </row>
    <row r="152" spans="1:30" ht="14.1" customHeight="1">
      <c r="A152" s="307" t="str">
        <f>IF(B152="","",1)</f>
        <v/>
      </c>
      <c r="B152" s="400"/>
      <c r="C152" s="124"/>
      <c r="D152" s="310">
        <f>TRUNC(C152)+((C152-TRUNC(C152))/0.6)</f>
        <v>0</v>
      </c>
      <c r="E152" s="310">
        <f>TRUNC(C153)+((C153-TRUNC(C153))/0.6)</f>
        <v>0</v>
      </c>
      <c r="F152" s="311">
        <f>ROUND(((LOG10(TAN(PI()/4+(D152/2*PI()/180)))*7915.7046)-(3437.7468*((0.0816968^2*SIN(D152*PI()/180))+(0.0816968^4/3*((SIN(D152*PI()/180))^3))+(0.0816968^6/5*((SIN(D152*PI()/180))^5))))),2)</f>
        <v>0</v>
      </c>
      <c r="G152" s="112"/>
      <c r="H152" s="312">
        <f>IF(E152&lt;0,E152+360,E152)</f>
        <v>0</v>
      </c>
      <c r="I152" s="113"/>
      <c r="J152" s="112"/>
      <c r="K152" s="112"/>
      <c r="L152" s="112"/>
      <c r="M152" s="112"/>
      <c r="N152" s="197"/>
      <c r="O152" s="116"/>
      <c r="P152" s="116"/>
      <c r="Q152" s="432" t="str">
        <f>IF(O153="","",0)</f>
        <v/>
      </c>
      <c r="R152" s="432"/>
      <c r="S152" s="117"/>
      <c r="T152" s="117" t="s">
        <v>7</v>
      </c>
      <c r="U152" s="129"/>
      <c r="V152" s="118"/>
      <c r="W152" s="436"/>
      <c r="X152" s="117"/>
      <c r="Y152" s="117"/>
      <c r="Z152" s="117"/>
      <c r="AA152" s="117"/>
      <c r="AB152" s="127"/>
      <c r="AC152" s="202"/>
      <c r="AD152" s="463"/>
    </row>
    <row r="153" spans="1:30" ht="14.1" customHeight="1">
      <c r="A153" s="307"/>
      <c r="B153" s="401"/>
      <c r="C153" s="125"/>
      <c r="D153" s="310"/>
      <c r="E153" s="310"/>
      <c r="F153" s="311"/>
      <c r="G153" s="312">
        <f>ABS(D152-D154)*60</f>
        <v>0</v>
      </c>
      <c r="H153" s="312"/>
      <c r="I153" s="334">
        <f>ABS(H152-H154)*60</f>
        <v>0</v>
      </c>
      <c r="J153" s="335">
        <f>ABS(F152-F154)</f>
        <v>0</v>
      </c>
      <c r="K153" s="336" t="e">
        <f>IF(AND(D152&lt;D154,H152=H154),0,IF(AND(D152&gt;D154,H152=H154),180,IF(AND(D152=D154,H152&lt;H154),90,IF(AND(D152=D154,H152&gt;H154),270,(ATAN(I153/J153)*180/PI())))))</f>
        <v>#DIV/0!</v>
      </c>
      <c r="L153" s="310" t="e">
        <f>IF(OR(K153=0,K153=90,K153=180,K153=270),K153,IF(AND(D152&lt;D154,H152&lt;H154),K153,IF(AND(D152&lt;D154,H152&gt;H154),360-K153,IF(AND(D152&gt;D154,H152&lt;H154),180-K153,IF(AND(D152&gt;D154,H152&gt;H154),180+K153)))))</f>
        <v>#DIV/0!</v>
      </c>
      <c r="M153" s="310">
        <f>(IF(I153=0,G153,IF(G153=0,COS(D154*PI()/180)*I153,G153/COS(K153*PI()/180))))</f>
        <v>0</v>
      </c>
      <c r="N153" s="427" t="str">
        <f>IF(C155="","",ROUND(L153,1))</f>
        <v/>
      </c>
      <c r="O153" s="428" t="str">
        <f>IF(C155="","",ROUND(M153,1))</f>
        <v/>
      </c>
      <c r="P153" s="429"/>
      <c r="Q153" s="432"/>
      <c r="R153" s="432"/>
      <c r="S153" s="122"/>
      <c r="T153" s="122" t="s">
        <v>23</v>
      </c>
      <c r="U153" s="430"/>
      <c r="V153" s="356" t="e">
        <f>(O153/P153+U153/60)/24</f>
        <v>#VALUE!</v>
      </c>
      <c r="W153" s="436"/>
      <c r="X153" s="122"/>
      <c r="Y153" s="199"/>
      <c r="Z153" s="122"/>
      <c r="AA153" s="122"/>
      <c r="AB153" s="126"/>
      <c r="AC153" s="203"/>
      <c r="AD153" s="458"/>
    </row>
    <row r="154" spans="1:30" ht="14.1" customHeight="1">
      <c r="A154" s="307" t="str">
        <f>IF(B154="","",A152+1)</f>
        <v/>
      </c>
      <c r="B154" s="461"/>
      <c r="C154" s="124"/>
      <c r="D154" s="310">
        <f>TRUNC(C154)+((C154-TRUNC(C154))/0.6)</f>
        <v>0</v>
      </c>
      <c r="E154" s="310">
        <f>TRUNC(C155)+((C155-TRUNC(C155))/0.6)</f>
        <v>0</v>
      </c>
      <c r="F154" s="311">
        <f>ROUND(((LOG10(TAN(PI()/4+(D154/2*PI()/180)))*7915.7046)-(3437.7468*((0.0816968^2*SIN(D154*PI()/180))+(0.0816968^4/3*((SIN(D154*PI()/180))^3))+(0.0816968^6/5*((SIN(D154*PI()/180))^5))))),2)</f>
        <v>0</v>
      </c>
      <c r="G154" s="312"/>
      <c r="H154" s="312">
        <f>IF(E154&lt;0,E154+360,E154)</f>
        <v>0</v>
      </c>
      <c r="I154" s="334"/>
      <c r="J154" s="335"/>
      <c r="K154" s="336"/>
      <c r="L154" s="310"/>
      <c r="M154" s="310"/>
      <c r="N154" s="427"/>
      <c r="O154" s="428"/>
      <c r="P154" s="429"/>
      <c r="Q154" s="432" t="str">
        <f>IF(O153="","",Q152+O153)</f>
        <v/>
      </c>
      <c r="R154" s="432" t="str">
        <f>IF(O153="","",R152-O153)</f>
        <v/>
      </c>
      <c r="S154" s="117"/>
      <c r="T154" s="117" t="s">
        <v>7</v>
      </c>
      <c r="U154" s="431"/>
      <c r="V154" s="356"/>
      <c r="W154" s="436" t="str">
        <f>IF(P153="","",W152+V153)</f>
        <v/>
      </c>
      <c r="X154" s="117"/>
      <c r="Y154" s="117"/>
      <c r="Z154" s="117"/>
      <c r="AA154" s="117"/>
      <c r="AB154" s="127"/>
      <c r="AC154" s="202"/>
      <c r="AD154" s="458"/>
    </row>
    <row r="155" spans="1:30" ht="14.1" customHeight="1">
      <c r="A155" s="307"/>
      <c r="B155" s="462"/>
      <c r="C155" s="125"/>
      <c r="D155" s="310"/>
      <c r="E155" s="310"/>
      <c r="F155" s="311"/>
      <c r="G155" s="312">
        <f>ABS(D154-D156)*60</f>
        <v>0</v>
      </c>
      <c r="H155" s="312"/>
      <c r="I155" s="334">
        <f>ABS(H154-H156)*60</f>
        <v>0</v>
      </c>
      <c r="J155" s="335">
        <f>ABS(F154-F156)</f>
        <v>0</v>
      </c>
      <c r="K155" s="336" t="e">
        <f>IF(AND(D154&lt;D156,H154=H156),0,IF(AND(D154&gt;D156,H154=H156),180,IF(AND(D154=D156,H154&lt;H156),90,IF(AND(D154=D156,H154&gt;H156),270,(ATAN(I155/J155)*180/PI())))))</f>
        <v>#DIV/0!</v>
      </c>
      <c r="L155" s="310" t="e">
        <f>IF(OR(K155=0,K155=90,K155=180,K155=270),K155,IF(AND(D154&lt;D156,H154&lt;H156),K155,IF(AND(D154&lt;D156,H154&gt;H156),360-K155,IF(AND(D154&gt;D156,H154&lt;H156),180-K155,IF(AND(D154&gt;D156,H154&gt;H156),180+K155)))))</f>
        <v>#DIV/0!</v>
      </c>
      <c r="M155" s="310">
        <f>(IF(I155=0,G155,IF(G155=0,COS(D156*PI()/180)*I155,G155/COS(K155*PI()/180))))</f>
        <v>0</v>
      </c>
      <c r="N155" s="427" t="str">
        <f>IF(C157="","",ROUND(L155,1))</f>
        <v/>
      </c>
      <c r="O155" s="428" t="str">
        <f>IF(C157="","",ROUND(M155,1))</f>
        <v/>
      </c>
      <c r="P155" s="429"/>
      <c r="Q155" s="432"/>
      <c r="R155" s="432"/>
      <c r="S155" s="122"/>
      <c r="T155" s="122" t="s">
        <v>23</v>
      </c>
      <c r="U155" s="430"/>
      <c r="V155" s="356" t="e">
        <f>(O155/P155+U155/60)/24</f>
        <v>#VALUE!</v>
      </c>
      <c r="W155" s="436"/>
      <c r="X155" s="122"/>
      <c r="Y155" s="199"/>
      <c r="Z155" s="122"/>
      <c r="AA155" s="122"/>
      <c r="AB155" s="126"/>
      <c r="AC155" s="203"/>
      <c r="AD155" s="458"/>
    </row>
    <row r="156" spans="1:30" ht="14.1" customHeight="1">
      <c r="A156" s="307" t="str">
        <f>IF(B156="","",A154+1)</f>
        <v/>
      </c>
      <c r="B156" s="444"/>
      <c r="C156" s="124"/>
      <c r="D156" s="310">
        <f>TRUNC(C156)+((C156-TRUNC(C156))/0.6)</f>
        <v>0</v>
      </c>
      <c r="E156" s="310">
        <f>TRUNC(C157)+((C157-TRUNC(C157))/0.6)</f>
        <v>0</v>
      </c>
      <c r="F156" s="311">
        <f>ROUND(((LOG10(TAN(PI()/4+(D156/2*PI()/180)))*7915.7046)-(3437.7468*((0.0816968^2*SIN(D156*PI()/180))+(0.0816968^4/3*((SIN(D156*PI()/180))^3))+(0.0816968^6/5*((SIN(D156*PI()/180))^5))))),2)</f>
        <v>0</v>
      </c>
      <c r="G156" s="312"/>
      <c r="H156" s="312">
        <f>IF(E156&lt;0,E156+360,E156)</f>
        <v>0</v>
      </c>
      <c r="I156" s="334"/>
      <c r="J156" s="335"/>
      <c r="K156" s="336"/>
      <c r="L156" s="310"/>
      <c r="M156" s="310"/>
      <c r="N156" s="427"/>
      <c r="O156" s="428"/>
      <c r="P156" s="429"/>
      <c r="Q156" s="432" t="str">
        <f>IF(O155="","",Q154+O155)</f>
        <v/>
      </c>
      <c r="R156" s="432" t="str">
        <f>IF(O155="","",R154-O155)</f>
        <v/>
      </c>
      <c r="S156" s="117"/>
      <c r="T156" s="117" t="s">
        <v>7</v>
      </c>
      <c r="U156" s="431"/>
      <c r="V156" s="356"/>
      <c r="W156" s="436" t="str">
        <f>IF(P155="","",W154+V155)</f>
        <v/>
      </c>
      <c r="X156" s="117"/>
      <c r="Y156" s="117"/>
      <c r="Z156" s="117"/>
      <c r="AA156" s="117"/>
      <c r="AB156" s="127"/>
      <c r="AC156" s="202"/>
      <c r="AD156" s="458"/>
    </row>
    <row r="157" spans="1:30" ht="14.1" customHeight="1">
      <c r="A157" s="307"/>
      <c r="B157" s="444"/>
      <c r="C157" s="125"/>
      <c r="D157" s="310"/>
      <c r="E157" s="310"/>
      <c r="F157" s="311"/>
      <c r="G157" s="312">
        <f>ABS(D156-D158)*60</f>
        <v>0</v>
      </c>
      <c r="H157" s="312"/>
      <c r="I157" s="334">
        <f>ABS(H156-H158)*60</f>
        <v>0</v>
      </c>
      <c r="J157" s="335">
        <f>ABS(F156-F158)</f>
        <v>0</v>
      </c>
      <c r="K157" s="336" t="e">
        <f>IF(AND(D156&lt;D158,H156=H158),0,IF(AND(D156&gt;D158,H156=H158),180,IF(AND(D156=D158,H156&lt;H158),90,IF(AND(D156=D158,H156&gt;H158),270,(ATAN(I157/J157)*180/PI())))))</f>
        <v>#DIV/0!</v>
      </c>
      <c r="L157" s="310" t="e">
        <f>IF(OR(K157=0,K157=90,K157=180,K157=270),K157,IF(AND(D156&lt;D158,H156&lt;H158),K157,IF(AND(D156&lt;D158,H156&gt;H158),360-K157,IF(AND(D156&gt;D158,H156&lt;H158),180-K157,IF(AND(D156&gt;D158,H156&gt;H158),180+K157)))))</f>
        <v>#DIV/0!</v>
      </c>
      <c r="M157" s="310">
        <f>(IF(I157=0,G157,IF(G157=0,COS(D158*PI()/180)*I157,G157/COS(K157*PI()/180))))</f>
        <v>0</v>
      </c>
      <c r="N157" s="427" t="str">
        <f>IF(C159="","",ROUND(L157,1))</f>
        <v/>
      </c>
      <c r="O157" s="428" t="str">
        <f>IF(C159="","",ROUND(M157,1))</f>
        <v/>
      </c>
      <c r="P157" s="429"/>
      <c r="Q157" s="432"/>
      <c r="R157" s="432"/>
      <c r="S157" s="122"/>
      <c r="T157" s="122" t="s">
        <v>23</v>
      </c>
      <c r="U157" s="430"/>
      <c r="V157" s="356" t="e">
        <f>(O157/P157+U157/60)/24</f>
        <v>#VALUE!</v>
      </c>
      <c r="W157" s="436"/>
      <c r="X157" s="122"/>
      <c r="Y157" s="199"/>
      <c r="Z157" s="122"/>
      <c r="AA157" s="122"/>
      <c r="AB157" s="126"/>
      <c r="AC157" s="203"/>
      <c r="AD157" s="458"/>
    </row>
    <row r="158" spans="1:30" ht="14.1" customHeight="1">
      <c r="A158" s="307" t="str">
        <f>IF(B158="","",A156+1)</f>
        <v/>
      </c>
      <c r="B158" s="444"/>
      <c r="C158" s="124"/>
      <c r="D158" s="310">
        <f>TRUNC(C158)+((C158-TRUNC(C158))/0.6)</f>
        <v>0</v>
      </c>
      <c r="E158" s="310">
        <f>TRUNC(C159)+((C159-TRUNC(C159))/0.6)</f>
        <v>0</v>
      </c>
      <c r="F158" s="311">
        <f>ROUND(((LOG10(TAN(PI()/4+(D158/2*PI()/180)))*7915.7046)-(3437.7468*((0.0816968^2*SIN(D158*PI()/180))+(0.0816968^4/3*((SIN(D158*PI()/180))^3))+(0.0816968^6/5*((SIN(D158*PI()/180))^5))))),2)</f>
        <v>0</v>
      </c>
      <c r="G158" s="312"/>
      <c r="H158" s="312">
        <f>IF(E158&lt;0,E158+360,E158)</f>
        <v>0</v>
      </c>
      <c r="I158" s="334"/>
      <c r="J158" s="335"/>
      <c r="K158" s="336"/>
      <c r="L158" s="310"/>
      <c r="M158" s="310"/>
      <c r="N158" s="427"/>
      <c r="O158" s="428"/>
      <c r="P158" s="429"/>
      <c r="Q158" s="432" t="str">
        <f>IF(O157="","",Q156+O157)</f>
        <v/>
      </c>
      <c r="R158" s="432" t="str">
        <f>IF(O157="","",R156-O157)</f>
        <v/>
      </c>
      <c r="S158" s="117"/>
      <c r="T158" s="117" t="s">
        <v>7</v>
      </c>
      <c r="U158" s="431"/>
      <c r="V158" s="356"/>
      <c r="W158" s="436" t="str">
        <f>IF(P157="","",W156+V157)</f>
        <v/>
      </c>
      <c r="X158" s="117"/>
      <c r="Y158" s="117"/>
      <c r="Z158" s="117"/>
      <c r="AA158" s="117"/>
      <c r="AB158" s="127"/>
      <c r="AC158" s="202"/>
      <c r="AD158" s="458"/>
    </row>
    <row r="159" spans="1:30" ht="14.1" customHeight="1">
      <c r="A159" s="307"/>
      <c r="B159" s="444"/>
      <c r="C159" s="125"/>
      <c r="D159" s="310"/>
      <c r="E159" s="310"/>
      <c r="F159" s="311"/>
      <c r="G159" s="312">
        <f>ABS(D158-D160)*60</f>
        <v>0</v>
      </c>
      <c r="H159" s="312"/>
      <c r="I159" s="334">
        <f>ABS(H158-H160)*60</f>
        <v>0</v>
      </c>
      <c r="J159" s="335">
        <f>ABS(F158-F160)</f>
        <v>0</v>
      </c>
      <c r="K159" s="336" t="e">
        <f>IF(AND(D158&lt;D160,H158=H160),0,IF(AND(D158&gt;D160,H158=H160),180,IF(AND(D158=D160,H158&lt;H160),90,IF(AND(D158=D160,H158&gt;H160),270,(ATAN(I159/J159)*180/PI())))))</f>
        <v>#DIV/0!</v>
      </c>
      <c r="L159" s="310" t="e">
        <f>IF(OR(K159=0,K159=90,K159=180,K159=270),K159,IF(AND(D158&lt;D160,H158&lt;H160),K159,IF(AND(D158&lt;D160,H158&gt;H160),360-K159,IF(AND(D158&gt;D160,H158&lt;H160),180-K159,IF(AND(D158&gt;D160,H158&gt;H160),180+K159)))))</f>
        <v>#DIV/0!</v>
      </c>
      <c r="M159" s="310">
        <f>(IF(I159=0,G159,IF(G159=0,COS(D160*PI()/180)*I159,G159/COS(K159*PI()/180))))</f>
        <v>0</v>
      </c>
      <c r="N159" s="427" t="str">
        <f>IF(C161="","",ROUND(L159,1))</f>
        <v/>
      </c>
      <c r="O159" s="428" t="str">
        <f>IF(C161="","",ROUND(M159,1))</f>
        <v/>
      </c>
      <c r="P159" s="429"/>
      <c r="Q159" s="432"/>
      <c r="R159" s="432"/>
      <c r="S159" s="122"/>
      <c r="T159" s="122" t="s">
        <v>23</v>
      </c>
      <c r="U159" s="430"/>
      <c r="V159" s="356" t="e">
        <f>(O159/P159+U159/60)/24</f>
        <v>#VALUE!</v>
      </c>
      <c r="W159" s="436"/>
      <c r="X159" s="122"/>
      <c r="Y159" s="199"/>
      <c r="Z159" s="122"/>
      <c r="AA159" s="122"/>
      <c r="AB159" s="126"/>
      <c r="AC159" s="203"/>
      <c r="AD159" s="458"/>
    </row>
    <row r="160" spans="1:30" ht="14.1" customHeight="1">
      <c r="A160" s="307" t="str">
        <f>IF(B160="","",A158+1)</f>
        <v/>
      </c>
      <c r="B160" s="444"/>
      <c r="C160" s="124"/>
      <c r="D160" s="310">
        <f>TRUNC(C160)+((C160-TRUNC(C160))/0.6)</f>
        <v>0</v>
      </c>
      <c r="E160" s="310">
        <f>TRUNC(C161)+((C161-TRUNC(C161))/0.6)</f>
        <v>0</v>
      </c>
      <c r="F160" s="311">
        <f>ROUND(((LOG10(TAN(PI()/4+(D160/2*PI()/180)))*7915.7046)-(3437.7468*((0.0816968^2*SIN(D160*PI()/180))+(0.0816968^4/3*((SIN(D160*PI()/180))^3))+(0.0816968^6/5*((SIN(D160*PI()/180))^5))))),2)</f>
        <v>0</v>
      </c>
      <c r="G160" s="312"/>
      <c r="H160" s="312">
        <f>IF(E160&lt;0,E160+360,E160)</f>
        <v>0</v>
      </c>
      <c r="I160" s="334"/>
      <c r="J160" s="335"/>
      <c r="K160" s="336"/>
      <c r="L160" s="310"/>
      <c r="M160" s="310"/>
      <c r="N160" s="427"/>
      <c r="O160" s="428"/>
      <c r="P160" s="429"/>
      <c r="Q160" s="432" t="str">
        <f>IF(O159="","",Q158+O159)</f>
        <v/>
      </c>
      <c r="R160" s="432" t="str">
        <f>IF(O159="","",R158-O159)</f>
        <v/>
      </c>
      <c r="S160" s="117"/>
      <c r="T160" s="117" t="s">
        <v>7</v>
      </c>
      <c r="U160" s="431"/>
      <c r="V160" s="356"/>
      <c r="W160" s="436" t="str">
        <f>IF(P159="","",W158+V159)</f>
        <v/>
      </c>
      <c r="X160" s="117"/>
      <c r="Y160" s="117"/>
      <c r="Z160" s="117"/>
      <c r="AA160" s="117"/>
      <c r="AB160" s="127"/>
      <c r="AC160" s="202"/>
      <c r="AD160" s="458"/>
    </row>
    <row r="161" spans="1:30" ht="14.1" customHeight="1">
      <c r="A161" s="307"/>
      <c r="B161" s="444"/>
      <c r="C161" s="125"/>
      <c r="D161" s="310"/>
      <c r="E161" s="310"/>
      <c r="F161" s="311"/>
      <c r="G161" s="312">
        <f>ABS(D160-D162)*60</f>
        <v>0</v>
      </c>
      <c r="H161" s="312"/>
      <c r="I161" s="334">
        <f>ABS(H160-H162)*60</f>
        <v>0</v>
      </c>
      <c r="J161" s="335">
        <f>ABS(F160-F162)</f>
        <v>0</v>
      </c>
      <c r="K161" s="336" t="e">
        <f>IF(AND(D160&lt;D162,H160=H162),0,IF(AND(D160&gt;D162,H160=H162),180,IF(AND(D160=D162,H160&lt;H162),90,IF(AND(D160=D162,H160&gt;H162),270,(ATAN(I161/J161)*180/PI())))))</f>
        <v>#DIV/0!</v>
      </c>
      <c r="L161" s="310" t="e">
        <f>IF(OR(K161=0,K161=90,K161=180,K161=270),K161,IF(AND(D160&lt;D162,H160&lt;H162),K161,IF(AND(D160&lt;D162,H160&gt;H162),360-K161,IF(AND(D160&gt;D162,H160&lt;H162),180-K161,IF(AND(D160&gt;D162,H160&gt;H162),180+K161)))))</f>
        <v>#DIV/0!</v>
      </c>
      <c r="M161" s="310">
        <f>(IF(I161=0,G161,IF(G161=0,COS(D162*PI()/180)*I161,G161/COS(K161*PI()/180))))</f>
        <v>0</v>
      </c>
      <c r="N161" s="427" t="str">
        <f>IF(C163="","",ROUND(L161,1))</f>
        <v/>
      </c>
      <c r="O161" s="428" t="str">
        <f>IF(C163="","",ROUND(M161,1))</f>
        <v/>
      </c>
      <c r="P161" s="429"/>
      <c r="Q161" s="432"/>
      <c r="R161" s="432"/>
      <c r="S161" s="122"/>
      <c r="T161" s="122" t="s">
        <v>24</v>
      </c>
      <c r="U161" s="430"/>
      <c r="V161" s="356" t="e">
        <f>(O161/P161+U161/60)/24</f>
        <v>#VALUE!</v>
      </c>
      <c r="W161" s="436"/>
      <c r="X161" s="122"/>
      <c r="Y161" s="199"/>
      <c r="Z161" s="122"/>
      <c r="AA161" s="122"/>
      <c r="AB161" s="126"/>
      <c r="AC161" s="203"/>
      <c r="AD161" s="458"/>
    </row>
    <row r="162" spans="1:30" ht="14.1" customHeight="1">
      <c r="A162" s="307" t="str">
        <f>IF(B162="","",A160+1)</f>
        <v/>
      </c>
      <c r="B162" s="444"/>
      <c r="C162" s="124"/>
      <c r="D162" s="310">
        <f>TRUNC(C162)+((C162-TRUNC(C162))/0.6)</f>
        <v>0</v>
      </c>
      <c r="E162" s="310">
        <f>TRUNC(C163)+((C163-TRUNC(C163))/0.6)</f>
        <v>0</v>
      </c>
      <c r="F162" s="311">
        <f>ROUND(((LOG10(TAN(PI()/4+(D162/2*PI()/180)))*7915.7046)-(3437.7468*((0.0816968^2*SIN(D162*PI()/180))+(0.0816968^4/3*((SIN(D162*PI()/180))^3))+(0.0816968^6/5*((SIN(D162*PI()/180))^5))))),2)</f>
        <v>0</v>
      </c>
      <c r="G162" s="312"/>
      <c r="H162" s="312">
        <f>IF(E162&lt;0,E162+360,E162)</f>
        <v>0</v>
      </c>
      <c r="I162" s="334"/>
      <c r="J162" s="335"/>
      <c r="K162" s="336"/>
      <c r="L162" s="310"/>
      <c r="M162" s="310"/>
      <c r="N162" s="427"/>
      <c r="O162" s="428"/>
      <c r="P162" s="429"/>
      <c r="Q162" s="432" t="str">
        <f>IF(O161="","",Q160+O161)</f>
        <v/>
      </c>
      <c r="R162" s="432" t="str">
        <f>IF(O161="","",R160-O161)</f>
        <v/>
      </c>
      <c r="S162" s="117"/>
      <c r="T162" s="117" t="s">
        <v>7</v>
      </c>
      <c r="U162" s="431"/>
      <c r="V162" s="356"/>
      <c r="W162" s="436" t="str">
        <f>IF(P161="","",W160+V161)</f>
        <v/>
      </c>
      <c r="X162" s="117"/>
      <c r="Y162" s="117"/>
      <c r="Z162" s="117"/>
      <c r="AA162" s="117"/>
      <c r="AB162" s="127"/>
      <c r="AC162" s="202"/>
      <c r="AD162" s="458"/>
    </row>
    <row r="163" spans="1:30" ht="14.1" customHeight="1">
      <c r="A163" s="307"/>
      <c r="B163" s="444"/>
      <c r="C163" s="125"/>
      <c r="D163" s="310"/>
      <c r="E163" s="310"/>
      <c r="F163" s="311"/>
      <c r="G163" s="312">
        <f>ABS(D162-D164)*60</f>
        <v>0</v>
      </c>
      <c r="H163" s="312"/>
      <c r="I163" s="334">
        <f>ABS(H162-H164)*60</f>
        <v>0</v>
      </c>
      <c r="J163" s="335">
        <f>ABS(F162-F164)</f>
        <v>0</v>
      </c>
      <c r="K163" s="336" t="e">
        <f>IF(AND(D162&lt;D164,H162=H164),0,IF(AND(D162&gt;D164,H162=H164),180,IF(AND(D162=D164,H162&lt;H164),90,IF(AND(D162=D164,H162&gt;H164),270,(ATAN(I163/J163)*180/PI())))))</f>
        <v>#DIV/0!</v>
      </c>
      <c r="L163" s="310" t="e">
        <f>IF(OR(K163=0,K163=90,K163=180,K163=270),K163,IF(AND(D162&lt;D164,H162&lt;H164),K163,IF(AND(D162&lt;D164,H162&gt;H164),360-K163,IF(AND(D162&gt;D164,H162&lt;H164),180-K163,IF(AND(D162&gt;D164,H162&gt;H164),180+K163)))))</f>
        <v>#DIV/0!</v>
      </c>
      <c r="M163" s="310">
        <f>(IF(I163=0,G163,IF(G163=0,COS(D164*PI()/180)*I163,G163/COS(K163*PI()/180))))</f>
        <v>0</v>
      </c>
      <c r="N163" s="427" t="str">
        <f>IF(C165="","",ROUND(L163,1))</f>
        <v/>
      </c>
      <c r="O163" s="428" t="str">
        <f>IF(C165="","",ROUND(M163,1))</f>
        <v/>
      </c>
      <c r="P163" s="429"/>
      <c r="Q163" s="432"/>
      <c r="R163" s="432"/>
      <c r="S163" s="122"/>
      <c r="T163" s="122" t="s">
        <v>23</v>
      </c>
      <c r="U163" s="430"/>
      <c r="V163" s="356" t="e">
        <f>(O163/P163+U163/60)/24</f>
        <v>#VALUE!</v>
      </c>
      <c r="W163" s="436"/>
      <c r="X163" s="122"/>
      <c r="Y163" s="199"/>
      <c r="Z163" s="122"/>
      <c r="AA163" s="122"/>
      <c r="AB163" s="126"/>
      <c r="AC163" s="203"/>
      <c r="AD163" s="458"/>
    </row>
    <row r="164" spans="1:30" ht="14.1" customHeight="1">
      <c r="A164" s="307" t="str">
        <f>IF(B164="","",A162+1)</f>
        <v/>
      </c>
      <c r="B164" s="444"/>
      <c r="C164" s="124"/>
      <c r="D164" s="310">
        <f>TRUNC(C164)+((C164-TRUNC(C164))/0.6)</f>
        <v>0</v>
      </c>
      <c r="E164" s="310">
        <f>TRUNC(C165)+((C165-TRUNC(C165))/0.6)</f>
        <v>0</v>
      </c>
      <c r="F164" s="311">
        <f>ROUND(((LOG10(TAN(PI()/4+(D164/2*PI()/180)))*7915.7046)-(3437.7468*((0.0816968^2*SIN(D164*PI()/180))+(0.0816968^4/3*((SIN(D164*PI()/180))^3))+(0.0816968^6/5*((SIN(D164*PI()/180))^5))))),2)</f>
        <v>0</v>
      </c>
      <c r="G164" s="312"/>
      <c r="H164" s="312">
        <f>IF(E164&lt;0,E164+360,E164)</f>
        <v>0</v>
      </c>
      <c r="I164" s="334"/>
      <c r="J164" s="335"/>
      <c r="K164" s="336"/>
      <c r="L164" s="310"/>
      <c r="M164" s="310"/>
      <c r="N164" s="427"/>
      <c r="O164" s="428"/>
      <c r="P164" s="429"/>
      <c r="Q164" s="432" t="str">
        <f>IF(O163="","",Q162+O163)</f>
        <v/>
      </c>
      <c r="R164" s="432" t="str">
        <f>IF(O163="","",R162-O163)</f>
        <v/>
      </c>
      <c r="S164" s="117"/>
      <c r="T164" s="117" t="s">
        <v>25</v>
      </c>
      <c r="U164" s="431"/>
      <c r="V164" s="356"/>
      <c r="W164" s="436" t="str">
        <f>IF(P163="","",W162+V163)</f>
        <v/>
      </c>
      <c r="X164" s="117"/>
      <c r="Y164" s="117"/>
      <c r="Z164" s="117"/>
      <c r="AA164" s="117"/>
      <c r="AB164" s="127"/>
      <c r="AC164" s="202"/>
      <c r="AD164" s="458"/>
    </row>
    <row r="165" spans="1:30" ht="14.1" customHeight="1">
      <c r="A165" s="307"/>
      <c r="B165" s="444"/>
      <c r="C165" s="125"/>
      <c r="D165" s="310"/>
      <c r="E165" s="310"/>
      <c r="F165" s="311"/>
      <c r="G165" s="312">
        <f>ABS(D164-D166)*60</f>
        <v>0</v>
      </c>
      <c r="H165" s="312"/>
      <c r="I165" s="334">
        <f>ABS(H164-H166)*60</f>
        <v>0</v>
      </c>
      <c r="J165" s="335">
        <f>ABS(F164-F166)</f>
        <v>0</v>
      </c>
      <c r="K165" s="336" t="e">
        <f>IF(AND(D164&lt;D166,H164=H166),0,IF(AND(D164&gt;D166,H164=H166),180,IF(AND(D164=D166,H164&lt;H166),90,IF(AND(D164=D166,H164&gt;H166),270,(ATAN(I165/J165)*180/PI())))))</f>
        <v>#DIV/0!</v>
      </c>
      <c r="L165" s="310" t="e">
        <f>IF(OR(K165=0,K165=90,K165=180,K165=270),K165,IF(AND(D164&lt;D166,H164&lt;H166),K165,IF(AND(D164&lt;D166,H164&gt;H166),360-K165,IF(AND(D164&gt;D166,H164&lt;H166),180-K165,IF(AND(D164&gt;D166,H164&gt;H166),180+K165)))))</f>
        <v>#DIV/0!</v>
      </c>
      <c r="M165" s="310">
        <f>(IF(I165=0,G165,IF(G165=0,COS(D166*PI()/180)*I165,G165/COS(K165*PI()/180))))</f>
        <v>0</v>
      </c>
      <c r="N165" s="427" t="str">
        <f>IF(C167="","",ROUND(L165,1))</f>
        <v/>
      </c>
      <c r="O165" s="428" t="str">
        <f>IF(C167="","",ROUND(M165,1))</f>
        <v/>
      </c>
      <c r="P165" s="429"/>
      <c r="Q165" s="432"/>
      <c r="R165" s="432"/>
      <c r="S165" s="122"/>
      <c r="T165" s="122" t="s">
        <v>24</v>
      </c>
      <c r="U165" s="430"/>
      <c r="V165" s="356" t="e">
        <f>(O165/P165+U165/60)/24</f>
        <v>#VALUE!</v>
      </c>
      <c r="W165" s="436"/>
      <c r="X165" s="122"/>
      <c r="Y165" s="199"/>
      <c r="Z165" s="122"/>
      <c r="AA165" s="122"/>
      <c r="AB165" s="126"/>
      <c r="AC165" s="203"/>
      <c r="AD165" s="458"/>
    </row>
    <row r="166" spans="1:30" ht="14.1" customHeight="1">
      <c r="A166" s="307" t="str">
        <f>IF(B166="","",A164+1)</f>
        <v/>
      </c>
      <c r="B166" s="444"/>
      <c r="C166" s="124"/>
      <c r="D166" s="310">
        <f>TRUNC(C166)+((C166-TRUNC(C166))/0.6)</f>
        <v>0</v>
      </c>
      <c r="E166" s="310">
        <f>TRUNC(C167)+((C167-TRUNC(C167))/0.6)</f>
        <v>0</v>
      </c>
      <c r="F166" s="311">
        <f>ROUND(((LOG10(TAN(PI()/4+(D166/2*PI()/180)))*7915.7046)-(3437.7468*((0.0816968^2*SIN(D166*PI()/180))+(0.0816968^4/3*((SIN(D166*PI()/180))^3))+(0.0816968^6/5*((SIN(D166*PI()/180))^5))))),2)</f>
        <v>0</v>
      </c>
      <c r="G166" s="312"/>
      <c r="H166" s="312">
        <f>IF(E166&lt;0,E166+360,E166)</f>
        <v>0</v>
      </c>
      <c r="I166" s="334"/>
      <c r="J166" s="335"/>
      <c r="K166" s="336"/>
      <c r="L166" s="310"/>
      <c r="M166" s="310"/>
      <c r="N166" s="427"/>
      <c r="O166" s="428"/>
      <c r="P166" s="429"/>
      <c r="Q166" s="432" t="str">
        <f>IF(O165="","",Q164+O165)</f>
        <v/>
      </c>
      <c r="R166" s="432" t="str">
        <f>IF(O165="","",R164-O165)</f>
        <v/>
      </c>
      <c r="S166" s="117"/>
      <c r="T166" s="117" t="s">
        <v>25</v>
      </c>
      <c r="U166" s="431"/>
      <c r="V166" s="356"/>
      <c r="W166" s="436" t="str">
        <f>IF(P165="","",W164+V165)</f>
        <v/>
      </c>
      <c r="X166" s="117"/>
      <c r="Y166" s="117"/>
      <c r="Z166" s="117"/>
      <c r="AA166" s="117"/>
      <c r="AB166" s="127"/>
      <c r="AC166" s="202"/>
      <c r="AD166" s="458"/>
    </row>
    <row r="167" spans="1:30" ht="14.1" customHeight="1">
      <c r="A167" s="307"/>
      <c r="B167" s="444"/>
      <c r="C167" s="125"/>
      <c r="D167" s="310"/>
      <c r="E167" s="310"/>
      <c r="F167" s="311"/>
      <c r="G167" s="312">
        <f>ABS(D166-D168)*60</f>
        <v>0</v>
      </c>
      <c r="H167" s="312"/>
      <c r="I167" s="334">
        <f>ABS(H166-H168)*60</f>
        <v>0</v>
      </c>
      <c r="J167" s="335">
        <f>ABS(F166-F168)</f>
        <v>0</v>
      </c>
      <c r="K167" s="336" t="e">
        <f>IF(AND(D166&lt;D168,H166=H168),0,IF(AND(D166&gt;D168,H166=H168),180,IF(AND(D166=D168,H166&lt;H168),90,IF(AND(D166=D168,H166&gt;H168),270,(ATAN(I167/J167)*180/PI())))))</f>
        <v>#DIV/0!</v>
      </c>
      <c r="L167" s="310" t="e">
        <f>IF(OR(K167=0,K167=90,K167=180,K167=270),K167,IF(AND(D166&lt;D168,H166&lt;H168),K167,IF(AND(D166&lt;D168,H166&gt;H168),360-K167,IF(AND(D166&gt;D168,H166&lt;H168),180-K167,IF(AND(D166&gt;D168,H166&gt;H168),180+K167)))))</f>
        <v>#DIV/0!</v>
      </c>
      <c r="M167" s="310">
        <f>(IF(I167=0,G167,IF(G167=0,COS(D168*PI()/180)*I167,G167/COS(K167*PI()/180))))</f>
        <v>0</v>
      </c>
      <c r="N167" s="427" t="str">
        <f>IF(C169="","",ROUND(L167,1))</f>
        <v/>
      </c>
      <c r="O167" s="428" t="str">
        <f>IF(C169="","",ROUND(M167,1))</f>
        <v/>
      </c>
      <c r="P167" s="429"/>
      <c r="Q167" s="432"/>
      <c r="R167" s="432"/>
      <c r="S167" s="122"/>
      <c r="T167" s="122" t="s">
        <v>24</v>
      </c>
      <c r="U167" s="430"/>
      <c r="V167" s="356" t="e">
        <f>(O167/P167+U167/60)/24</f>
        <v>#VALUE!</v>
      </c>
      <c r="W167" s="436"/>
      <c r="X167" s="122"/>
      <c r="Y167" s="199"/>
      <c r="Z167" s="122"/>
      <c r="AA167" s="122"/>
      <c r="AB167" s="126"/>
      <c r="AC167" s="203"/>
      <c r="AD167" s="458"/>
    </row>
    <row r="168" spans="1:30" ht="14.1" customHeight="1">
      <c r="A168" s="307" t="str">
        <f>IF(B168="","",A166+1)</f>
        <v/>
      </c>
      <c r="B168" s="444"/>
      <c r="C168" s="124"/>
      <c r="D168" s="310">
        <f>TRUNC(C168)+((C168-TRUNC(C168))/0.6)</f>
        <v>0</v>
      </c>
      <c r="E168" s="310">
        <f>TRUNC(C169)+((C169-TRUNC(C169))/0.6)</f>
        <v>0</v>
      </c>
      <c r="F168" s="311">
        <f>ROUND(((LOG10(TAN(PI()/4+(D168/2*PI()/180)))*7915.7046)-(3437.7468*((0.0816968^2*SIN(D168*PI()/180))+(0.0816968^4/3*((SIN(D168*PI()/180))^3))+(0.0816968^6/5*((SIN(D168*PI()/180))^5))))),2)</f>
        <v>0</v>
      </c>
      <c r="G168" s="312"/>
      <c r="H168" s="312">
        <f>IF(E168&lt;0,E168+360,E168)</f>
        <v>0</v>
      </c>
      <c r="I168" s="334"/>
      <c r="J168" s="335"/>
      <c r="K168" s="336"/>
      <c r="L168" s="310"/>
      <c r="M168" s="310"/>
      <c r="N168" s="427"/>
      <c r="O168" s="428"/>
      <c r="P168" s="429"/>
      <c r="Q168" s="432" t="str">
        <f>IF(O167="","",Q166+O167)</f>
        <v/>
      </c>
      <c r="R168" s="432" t="str">
        <f>IF(O167="","",R166-O167)</f>
        <v/>
      </c>
      <c r="S168" s="117"/>
      <c r="T168" s="117" t="s">
        <v>30</v>
      </c>
      <c r="U168" s="431"/>
      <c r="V168" s="356"/>
      <c r="W168" s="436" t="str">
        <f>IF(P167="","",W166+V167)</f>
        <v/>
      </c>
      <c r="X168" s="117"/>
      <c r="Y168" s="117"/>
      <c r="Z168" s="117"/>
      <c r="AA168" s="117"/>
      <c r="AB168" s="127"/>
      <c r="AC168" s="202"/>
      <c r="AD168" s="458"/>
    </row>
    <row r="169" spans="1:30" ht="14.1" customHeight="1">
      <c r="A169" s="307"/>
      <c r="B169" s="444"/>
      <c r="C169" s="125"/>
      <c r="D169" s="310"/>
      <c r="E169" s="310"/>
      <c r="F169" s="311"/>
      <c r="G169" s="312">
        <f>ABS(D168-D170)*60</f>
        <v>0</v>
      </c>
      <c r="H169" s="312"/>
      <c r="I169" s="334">
        <f>ABS(H168-H170)*60</f>
        <v>0</v>
      </c>
      <c r="J169" s="335">
        <f>ABS(F168-F170)</f>
        <v>0</v>
      </c>
      <c r="K169" s="336" t="e">
        <f>IF(AND(D168&lt;D170,H168=H170),0,IF(AND(D168&gt;D170,H168=H170),180,IF(AND(D168=D170,H168&lt;H170),90,IF(AND(D168=D170,H168&gt;H170),270,(ATAN(I169/J169)*180/PI())))))</f>
        <v>#DIV/0!</v>
      </c>
      <c r="L169" s="310" t="e">
        <f>IF(OR(K169=0,K169=90,K169=180,K169=270),K169,IF(AND(D168&lt;D170,H168&lt;H170),K169,IF(AND(D168&lt;D170,H168&gt;H170),360-K169,IF(AND(D168&gt;D170,H168&lt;H170),180-K169,IF(AND(D168&gt;D170,H168&gt;H170),180+K169)))))</f>
        <v>#DIV/0!</v>
      </c>
      <c r="M169" s="310">
        <f>(IF(I169=0,G169,IF(G169=0,COS(D170*PI()/180)*I169,G169/COS(K169*PI()/180))))</f>
        <v>0</v>
      </c>
      <c r="N169" s="427" t="str">
        <f>IF(C171="","",ROUND(L169,1))</f>
        <v/>
      </c>
      <c r="O169" s="428" t="str">
        <f>IF(C171="","",ROUND(M169,1))</f>
        <v/>
      </c>
      <c r="P169" s="429"/>
      <c r="Q169" s="432"/>
      <c r="R169" s="432"/>
      <c r="S169" s="122"/>
      <c r="T169" s="122" t="s">
        <v>24</v>
      </c>
      <c r="U169" s="430"/>
      <c r="V169" s="356" t="e">
        <f>(O169/P169+U169/60)/24</f>
        <v>#VALUE!</v>
      </c>
      <c r="W169" s="436"/>
      <c r="X169" s="122"/>
      <c r="Y169" s="199"/>
      <c r="Z169" s="122"/>
      <c r="AA169" s="122"/>
      <c r="AB169" s="126"/>
      <c r="AC169" s="203"/>
      <c r="AD169" s="458"/>
    </row>
    <row r="170" spans="1:30" ht="14.1" customHeight="1">
      <c r="A170" s="307" t="str">
        <f>IF(B170="","",A168+1)</f>
        <v/>
      </c>
      <c r="B170" s="444"/>
      <c r="C170" s="124"/>
      <c r="D170" s="310">
        <f>TRUNC(C170)+((C170-TRUNC(C170))/0.6)</f>
        <v>0</v>
      </c>
      <c r="E170" s="310">
        <f>TRUNC(C171)+((C171-TRUNC(C171))/0.6)</f>
        <v>0</v>
      </c>
      <c r="F170" s="311">
        <f>ROUND(((LOG10(TAN(PI()/4+(D170/2*PI()/180)))*7915.7046)-(3437.7468*((0.0816968^2*SIN(D170*PI()/180))+(0.0816968^4/3*((SIN(D170*PI()/180))^3))+(0.0816968^6/5*((SIN(D170*PI()/180))^5))))),2)</f>
        <v>0</v>
      </c>
      <c r="G170" s="312"/>
      <c r="H170" s="312">
        <f>IF(E170&lt;0,E170+360,E170)</f>
        <v>0</v>
      </c>
      <c r="I170" s="334"/>
      <c r="J170" s="335"/>
      <c r="K170" s="336"/>
      <c r="L170" s="310"/>
      <c r="M170" s="310"/>
      <c r="N170" s="427"/>
      <c r="O170" s="428"/>
      <c r="P170" s="429"/>
      <c r="Q170" s="432" t="str">
        <f>IF(O169="","",Q168+O169)</f>
        <v/>
      </c>
      <c r="R170" s="432" t="str">
        <f>IF(O169="","",R168-O169)</f>
        <v/>
      </c>
      <c r="S170" s="117"/>
      <c r="T170" s="117" t="s">
        <v>25</v>
      </c>
      <c r="U170" s="431"/>
      <c r="V170" s="356"/>
      <c r="W170" s="436" t="str">
        <f>IF(P169="","",W168+V169)</f>
        <v/>
      </c>
      <c r="X170" s="117"/>
      <c r="Y170" s="117"/>
      <c r="Z170" s="117"/>
      <c r="AA170" s="117"/>
      <c r="AB170" s="127"/>
      <c r="AC170" s="202"/>
      <c r="AD170" s="458"/>
    </row>
    <row r="171" spans="1:30" ht="14.1" customHeight="1">
      <c r="A171" s="307"/>
      <c r="B171" s="444"/>
      <c r="C171" s="125"/>
      <c r="D171" s="310"/>
      <c r="E171" s="310"/>
      <c r="F171" s="311"/>
      <c r="G171" s="312">
        <f>ABS(D170-D172)*60</f>
        <v>0</v>
      </c>
      <c r="H171" s="312"/>
      <c r="I171" s="334">
        <f>ABS(H170-H172)*60</f>
        <v>0</v>
      </c>
      <c r="J171" s="335">
        <f>ABS(F170-F172)</f>
        <v>0</v>
      </c>
      <c r="K171" s="336" t="e">
        <f>IF(AND(D170&lt;D172,H170=H172),0,IF(AND(D170&gt;D172,H170=H172),180,IF(AND(D170=D172,H170&lt;H172),90,IF(AND(D170=D172,H170&gt;H172),270,(ATAN(I171/J171)*180/PI())))))</f>
        <v>#DIV/0!</v>
      </c>
      <c r="L171" s="310" t="e">
        <f>IF(OR(K171=0,K171=90,K171=180,K171=270),K171,IF(AND(D170&lt;D172,H170&lt;H172),K171,IF(AND(D170&lt;D172,H170&gt;H172),360-K171,IF(AND(D170&gt;D172,H170&lt;H172),180-K171,IF(AND(D170&gt;D172,H170&gt;H172),180+K171)))))</f>
        <v>#DIV/0!</v>
      </c>
      <c r="M171" s="310">
        <f>(IF(I171=0,G171,IF(G171=0,COS(D172*PI()/180)*I171,G171/COS(K171*PI()/180))))</f>
        <v>0</v>
      </c>
      <c r="N171" s="427" t="str">
        <f>IF(C173="","",ROUND(L171,1))</f>
        <v/>
      </c>
      <c r="O171" s="428" t="str">
        <f>IF(C173="","",ROUND(M171,1))</f>
        <v/>
      </c>
      <c r="P171" s="429"/>
      <c r="Q171" s="432"/>
      <c r="R171" s="432"/>
      <c r="S171" s="122"/>
      <c r="T171" s="122" t="s">
        <v>23</v>
      </c>
      <c r="U171" s="430"/>
      <c r="V171" s="356" t="e">
        <f>(O171/P171+U171/60)/24</f>
        <v>#VALUE!</v>
      </c>
      <c r="W171" s="436"/>
      <c r="X171" s="122"/>
      <c r="Y171" s="199"/>
      <c r="Z171" s="122"/>
      <c r="AA171" s="122"/>
      <c r="AB171" s="126"/>
      <c r="AC171" s="203"/>
      <c r="AD171" s="458"/>
    </row>
    <row r="172" spans="1:30" ht="14.1" customHeight="1">
      <c r="A172" s="307" t="str">
        <f>IF(B172="","",A170+1)</f>
        <v/>
      </c>
      <c r="B172" s="444"/>
      <c r="C172" s="124"/>
      <c r="D172" s="310">
        <f>TRUNC(C172)+((C172-TRUNC(C172))/0.6)</f>
        <v>0</v>
      </c>
      <c r="E172" s="310">
        <f>TRUNC(C173)+((C173-TRUNC(C173))/0.6)</f>
        <v>0</v>
      </c>
      <c r="F172" s="311">
        <f>ROUND(((LOG10(TAN(PI()/4+(D172/2*PI()/180)))*7915.7046)-(3437.7468*((0.0816968^2*SIN(D172*PI()/180))+(0.0816968^4/3*((SIN(D172*PI()/180))^3))+(0.0816968^6/5*((SIN(D172*PI()/180))^5))))),2)</f>
        <v>0</v>
      </c>
      <c r="G172" s="312"/>
      <c r="H172" s="312">
        <f>IF(E172&lt;0,E172+360,E172)</f>
        <v>0</v>
      </c>
      <c r="I172" s="334"/>
      <c r="J172" s="335"/>
      <c r="K172" s="336"/>
      <c r="L172" s="310"/>
      <c r="M172" s="310"/>
      <c r="N172" s="427"/>
      <c r="O172" s="428"/>
      <c r="P172" s="429"/>
      <c r="Q172" s="432" t="str">
        <f>IF(O171="","",Q170+O171)</f>
        <v/>
      </c>
      <c r="R172" s="432" t="str">
        <f>IF(O171="","",R170-O171)</f>
        <v/>
      </c>
      <c r="S172" s="117"/>
      <c r="T172" s="117" t="s">
        <v>25</v>
      </c>
      <c r="U172" s="431"/>
      <c r="V172" s="356"/>
      <c r="W172" s="436" t="str">
        <f>IF(P171="","",W170+V171)</f>
        <v/>
      </c>
      <c r="X172" s="117"/>
      <c r="Y172" s="117"/>
      <c r="Z172" s="117"/>
      <c r="AA172" s="117"/>
      <c r="AB172" s="127"/>
      <c r="AC172" s="202"/>
      <c r="AD172" s="458"/>
    </row>
    <row r="173" spans="1:30" ht="14.1" customHeight="1">
      <c r="A173" s="307"/>
      <c r="B173" s="444"/>
      <c r="C173" s="125"/>
      <c r="D173" s="310"/>
      <c r="E173" s="310"/>
      <c r="F173" s="311"/>
      <c r="G173" s="312">
        <f>ABS(D172-D174)*60</f>
        <v>0</v>
      </c>
      <c r="H173" s="312"/>
      <c r="I173" s="334">
        <f>ABS(H172-H174)*60</f>
        <v>0</v>
      </c>
      <c r="J173" s="335">
        <f>ABS(F172-F174)</f>
        <v>0</v>
      </c>
      <c r="K173" s="336" t="e">
        <f>IF(AND(D172&lt;D174,H172=H174),0,IF(AND(D172&gt;D174,H172=H174),180,IF(AND(D172=D174,H172&lt;H174),90,IF(AND(D172=D174,H172&gt;H174),270,(ATAN(I173/J173)*180/PI())))))</f>
        <v>#DIV/0!</v>
      </c>
      <c r="L173" s="310" t="e">
        <f>IF(OR(K173=0,K173=90,K173=180,K173=270),K173,IF(AND(D172&lt;D174,H172&lt;H174),K173,IF(AND(D172&lt;D174,H172&gt;H174),360-K173,IF(AND(D172&gt;D174,H172&lt;H174),180-K173,IF(AND(D172&gt;D174,H172&gt;H174),180+K173)))))</f>
        <v>#DIV/0!</v>
      </c>
      <c r="M173" s="310">
        <f>(IF(I173=0,G173,IF(G173=0,COS(D174*PI()/180)*I173,G173/COS(K173*PI()/180))))</f>
        <v>0</v>
      </c>
      <c r="N173" s="427" t="str">
        <f>IF(C175="","",ROUND(L173,1))</f>
        <v/>
      </c>
      <c r="O173" s="428" t="str">
        <f>IF(C175="","",ROUND(M173,1))</f>
        <v/>
      </c>
      <c r="P173" s="429"/>
      <c r="Q173" s="432"/>
      <c r="R173" s="432"/>
      <c r="S173" s="122"/>
      <c r="T173" s="122" t="s">
        <v>22</v>
      </c>
      <c r="U173" s="430"/>
      <c r="V173" s="356" t="e">
        <f>(O173/P173+U173/60)/24</f>
        <v>#VALUE!</v>
      </c>
      <c r="W173" s="436"/>
      <c r="X173" s="122"/>
      <c r="Y173" s="199"/>
      <c r="Z173" s="122"/>
      <c r="AA173" s="122"/>
      <c r="AB173" s="126"/>
      <c r="AC173" s="203"/>
      <c r="AD173" s="458"/>
    </row>
    <row r="174" spans="1:30" ht="14.1" customHeight="1">
      <c r="A174" s="307" t="str">
        <f>IF(B174="","",A172+1)</f>
        <v/>
      </c>
      <c r="B174" s="444"/>
      <c r="C174" s="124"/>
      <c r="D174" s="310">
        <f>TRUNC(C174)+((C174-TRUNC(C174))/0.6)</f>
        <v>0</v>
      </c>
      <c r="E174" s="310">
        <f>TRUNC(C175)+((C175-TRUNC(C175))/0.6)</f>
        <v>0</v>
      </c>
      <c r="F174" s="311">
        <f>ROUND(((LOG10(TAN(PI()/4+(D174/2*PI()/180)))*7915.7046)-(3437.7468*((0.0816968^2*SIN(D174*PI()/180))+(0.0816968^4/3*((SIN(D174*PI()/180))^3))+(0.0816968^6/5*((SIN(D174*PI()/180))^5))))),2)</f>
        <v>0</v>
      </c>
      <c r="G174" s="312"/>
      <c r="H174" s="312">
        <f>IF(E174&lt;0,E174+360,E174)</f>
        <v>0</v>
      </c>
      <c r="I174" s="334"/>
      <c r="J174" s="335"/>
      <c r="K174" s="336"/>
      <c r="L174" s="310"/>
      <c r="M174" s="310"/>
      <c r="N174" s="427"/>
      <c r="O174" s="428"/>
      <c r="P174" s="429"/>
      <c r="Q174" s="432" t="str">
        <f>IF(O173="","",Q172+O173)</f>
        <v/>
      </c>
      <c r="R174" s="432" t="str">
        <f>IF(O173="","",R172-O173)</f>
        <v/>
      </c>
      <c r="S174" s="117"/>
      <c r="T174" s="117" t="s">
        <v>25</v>
      </c>
      <c r="U174" s="431"/>
      <c r="V174" s="356"/>
      <c r="W174" s="436" t="str">
        <f>IF(P173="","",W172+V173)</f>
        <v/>
      </c>
      <c r="X174" s="117"/>
      <c r="Y174" s="117"/>
      <c r="Z174" s="117"/>
      <c r="AA174" s="117"/>
      <c r="AB174" s="127"/>
      <c r="AC174" s="202"/>
      <c r="AD174" s="458"/>
    </row>
    <row r="175" spans="1:30" ht="14.1" customHeight="1">
      <c r="A175" s="307"/>
      <c r="B175" s="444"/>
      <c r="C175" s="125"/>
      <c r="D175" s="310"/>
      <c r="E175" s="310"/>
      <c r="F175" s="311"/>
      <c r="G175" s="312">
        <f>ABS(D174-D176)*60</f>
        <v>0</v>
      </c>
      <c r="H175" s="312"/>
      <c r="I175" s="334">
        <f>ABS(H174-H176)*60</f>
        <v>0</v>
      </c>
      <c r="J175" s="335">
        <f>ABS(F174-F176)</f>
        <v>0</v>
      </c>
      <c r="K175" s="336" t="e">
        <f>IF(AND(D174&lt;D176,H174=H176),0,IF(AND(D174&gt;D176,H174=H176),180,IF(AND(D174=D176,H174&lt;H176),90,IF(AND(D174=D176,H174&gt;H176),270,(ATAN(I175/J175)*180/PI())))))</f>
        <v>#DIV/0!</v>
      </c>
      <c r="L175" s="310" t="e">
        <f>IF(OR(K175=0,K175=90,K175=180,K175=270),K175,IF(AND(D174&lt;D176,H174&lt;H176),K175,IF(AND(D174&lt;D176,H174&gt;H176),360-K175,IF(AND(D174&gt;D176,H174&lt;H176),180-K175,IF(AND(D174&gt;D176,H174&gt;H176),180+K175)))))</f>
        <v>#DIV/0!</v>
      </c>
      <c r="M175" s="310">
        <f>(IF(I175=0,G175,IF(G175=0,COS(D176*PI()/180)*I175,G175/COS(K175*PI()/180))))</f>
        <v>0</v>
      </c>
      <c r="N175" s="427" t="str">
        <f>IF(C177="","",ROUND(L175,1))</f>
        <v/>
      </c>
      <c r="O175" s="428" t="str">
        <f>IF(C177="","",ROUND(M175,1))</f>
        <v/>
      </c>
      <c r="P175" s="429"/>
      <c r="Q175" s="432"/>
      <c r="R175" s="432"/>
      <c r="S175" s="122"/>
      <c r="T175" s="122" t="s">
        <v>22</v>
      </c>
      <c r="U175" s="430"/>
      <c r="V175" s="356" t="e">
        <f>(O175/P175+U175/60)/24</f>
        <v>#VALUE!</v>
      </c>
      <c r="W175" s="436"/>
      <c r="X175" s="122"/>
      <c r="Y175" s="199"/>
      <c r="Z175" s="122"/>
      <c r="AA175" s="122"/>
      <c r="AB175" s="126"/>
      <c r="AC175" s="203"/>
      <c r="AD175" s="458"/>
    </row>
    <row r="176" spans="1:30" ht="14.1" customHeight="1">
      <c r="A176" s="307" t="str">
        <f>IF(B176="","",A174+1)</f>
        <v/>
      </c>
      <c r="B176" s="444"/>
      <c r="C176" s="124"/>
      <c r="D176" s="310">
        <f>TRUNC(C176)+((C176-TRUNC(C176))/0.6)</f>
        <v>0</v>
      </c>
      <c r="E176" s="310">
        <f>TRUNC(C177)+((C177-TRUNC(C177))/0.6)</f>
        <v>0</v>
      </c>
      <c r="F176" s="311">
        <f>ROUND(((LOG10(TAN(PI()/4+(D176/2*PI()/180)))*7915.7046)-(3437.7468*((0.0816968^2*SIN(D176*PI()/180))+(0.0816968^4/3*((SIN(D176*PI()/180))^3))+(0.0816968^6/5*((SIN(D176*PI()/180))^5))))),2)</f>
        <v>0</v>
      </c>
      <c r="G176" s="312"/>
      <c r="H176" s="312">
        <f>IF(E176&lt;0,E176+360,E176)</f>
        <v>0</v>
      </c>
      <c r="I176" s="334"/>
      <c r="J176" s="335"/>
      <c r="K176" s="336"/>
      <c r="L176" s="310"/>
      <c r="M176" s="310"/>
      <c r="N176" s="427"/>
      <c r="O176" s="428"/>
      <c r="P176" s="429"/>
      <c r="Q176" s="432" t="str">
        <f>IF(O175="","",Q174+O175)</f>
        <v/>
      </c>
      <c r="R176" s="432" t="str">
        <f>IF(O175="","",R174-O175)</f>
        <v/>
      </c>
      <c r="S176" s="117"/>
      <c r="T176" s="117" t="s">
        <v>25</v>
      </c>
      <c r="U176" s="431"/>
      <c r="V176" s="356"/>
      <c r="W176" s="436" t="str">
        <f>IF(P175="","",W174+V175)</f>
        <v/>
      </c>
      <c r="X176" s="117"/>
      <c r="Y176" s="117"/>
      <c r="Z176" s="117"/>
      <c r="AA176" s="117"/>
      <c r="AB176" s="127"/>
      <c r="AC176" s="202"/>
      <c r="AD176" s="458"/>
    </row>
    <row r="177" spans="1:31" ht="14.1" customHeight="1">
      <c r="A177" s="307"/>
      <c r="B177" s="444"/>
      <c r="C177" s="125"/>
      <c r="D177" s="310"/>
      <c r="E177" s="310"/>
      <c r="F177" s="311"/>
      <c r="G177" s="312">
        <f>ABS(D176-D178)*60</f>
        <v>0</v>
      </c>
      <c r="H177" s="312"/>
      <c r="I177" s="334">
        <f>ABS(H176-H178)*60</f>
        <v>0</v>
      </c>
      <c r="J177" s="335">
        <f>ABS(F176-F178)</f>
        <v>0</v>
      </c>
      <c r="K177" s="336" t="e">
        <f>IF(AND(D176&lt;D178,H176=H178),0,IF(AND(D176&gt;D178,H176=H178),180,IF(AND(D176=D178,H176&lt;H178),90,IF(AND(D176=D178,H176&gt;H178),270,(ATAN(I177/J177)*180/PI())))))</f>
        <v>#DIV/0!</v>
      </c>
      <c r="L177" s="310" t="e">
        <f>IF(OR(K177=0,K177=90,K177=180,K177=270),K177,IF(AND(D176&lt;D178,H176&lt;H178),K177,IF(AND(D176&lt;D178,H176&gt;H178),360-K177,IF(AND(D176&gt;D178,H176&lt;H178),180-K177,IF(AND(D176&gt;D178,H176&gt;H178),180+K177)))))</f>
        <v>#DIV/0!</v>
      </c>
      <c r="M177" s="310">
        <f>(IF(I177=0,G177,IF(G177=0,COS(D178*PI()/180)*I177,G177/COS(K177*PI()/180))))</f>
        <v>0</v>
      </c>
      <c r="N177" s="427" t="str">
        <f>IF(C179="","",ROUND(L177,1))</f>
        <v/>
      </c>
      <c r="O177" s="428" t="str">
        <f>IF(C179="","",ROUND(M177,1))</f>
        <v/>
      </c>
      <c r="P177" s="429"/>
      <c r="Q177" s="432"/>
      <c r="R177" s="432"/>
      <c r="S177" s="122"/>
      <c r="T177" s="122" t="s">
        <v>27</v>
      </c>
      <c r="U177" s="430"/>
      <c r="V177" s="356" t="e">
        <f>(O177/P177+U177/60)/24</f>
        <v>#VALUE!</v>
      </c>
      <c r="W177" s="436"/>
      <c r="X177" s="122"/>
      <c r="Y177" s="199"/>
      <c r="Z177" s="122"/>
      <c r="AA177" s="122"/>
      <c r="AB177" s="126"/>
      <c r="AC177" s="203"/>
      <c r="AD177" s="458"/>
      <c r="AE177" s="104" t="s">
        <v>28</v>
      </c>
    </row>
    <row r="178" spans="1:31" ht="14.1" customHeight="1">
      <c r="A178" s="307" t="str">
        <f>IF(B178="","",A176+1)</f>
        <v/>
      </c>
      <c r="B178" s="444"/>
      <c r="C178" s="124"/>
      <c r="D178" s="310">
        <f>TRUNC(C178)+((C178-TRUNC(C178))/0.6)</f>
        <v>0</v>
      </c>
      <c r="E178" s="310">
        <f>TRUNC(C179)+((C179-TRUNC(C179))/0.6)</f>
        <v>0</v>
      </c>
      <c r="F178" s="311">
        <f>ROUND(((LOG10(TAN(PI()/4+(D178/2*PI()/180)))*7915.7046)-(3437.7468*((0.0816968^2*SIN(D178*PI()/180))+(0.0816968^4/3*((SIN(D178*PI()/180))^3))+(0.0816968^6/5*((SIN(D178*PI()/180))^5))))),2)</f>
        <v>0</v>
      </c>
      <c r="G178" s="312"/>
      <c r="H178" s="312">
        <f>IF(E178&lt;0,E178+360,E178)</f>
        <v>0</v>
      </c>
      <c r="I178" s="334"/>
      <c r="J178" s="335"/>
      <c r="K178" s="336"/>
      <c r="L178" s="310"/>
      <c r="M178" s="310"/>
      <c r="N178" s="427"/>
      <c r="O178" s="428"/>
      <c r="P178" s="429"/>
      <c r="Q178" s="432" t="str">
        <f>IF(O177="","",Q176+O177)</f>
        <v/>
      </c>
      <c r="R178" s="432" t="str">
        <f>IF(O177="","",R176-O177)</f>
        <v/>
      </c>
      <c r="S178" s="117"/>
      <c r="T178" s="117" t="s">
        <v>25</v>
      </c>
      <c r="U178" s="431"/>
      <c r="V178" s="356"/>
      <c r="W178" s="436" t="str">
        <f>IF(P177="","",W176+V177)</f>
        <v/>
      </c>
      <c r="X178" s="117"/>
      <c r="Y178" s="117"/>
      <c r="Z178" s="117"/>
      <c r="AA178" s="117"/>
      <c r="AB178" s="127"/>
      <c r="AC178" s="202"/>
      <c r="AD178" s="460"/>
    </row>
    <row r="179" spans="1:31" ht="14.1" customHeight="1">
      <c r="A179" s="307"/>
      <c r="B179" s="444"/>
      <c r="C179" s="125"/>
      <c r="D179" s="310"/>
      <c r="E179" s="310"/>
      <c r="F179" s="311"/>
      <c r="G179" s="312">
        <f>ABS(D178-D180)*60</f>
        <v>0</v>
      </c>
      <c r="H179" s="312"/>
      <c r="I179" s="334">
        <f>ABS(H178-H180)*60</f>
        <v>0</v>
      </c>
      <c r="J179" s="335">
        <f>ABS(F178-F180)</f>
        <v>0</v>
      </c>
      <c r="K179" s="336" t="e">
        <f>IF(AND(D178&lt;D180,H178=H180),0,IF(AND(D178&gt;D180,H178=H180),180,IF(AND(D178=D180,H178&lt;H180),90,IF(AND(D178=D180,H178&gt;H180),270,(ATAN(I179/J179)*180/PI())))))</f>
        <v>#DIV/0!</v>
      </c>
      <c r="L179" s="310" t="e">
        <f>IF(OR(K179=0,K179=90,K179=180,K179=270),K179,IF(AND(D178&lt;D180,H178&lt;H180),K179,IF(AND(D178&lt;D180,H178&gt;H180),360-K179,IF(AND(D178&gt;D180,H178&lt;H180),180-K179,IF(AND(D178&gt;D180,H178&gt;H180),180+K179)))))</f>
        <v>#DIV/0!</v>
      </c>
      <c r="M179" s="310">
        <f>(IF(I179=0,G179,IF(G179=0,COS(D180*PI()/180)*I179,G179/COS(K179*PI()/180))))</f>
        <v>0</v>
      </c>
      <c r="N179" s="427" t="str">
        <f>IF(C181="","",ROUND(L179,1))</f>
        <v/>
      </c>
      <c r="O179" s="428" t="str">
        <f>IF(C181="","",ROUND(M179,1))</f>
        <v/>
      </c>
      <c r="P179" s="429"/>
      <c r="Q179" s="432"/>
      <c r="R179" s="432"/>
      <c r="S179" s="122"/>
      <c r="T179" s="122" t="s">
        <v>27</v>
      </c>
      <c r="U179" s="430"/>
      <c r="V179" s="356" t="e">
        <f>(O179/P179+U179/60)/24</f>
        <v>#VALUE!</v>
      </c>
      <c r="W179" s="436"/>
      <c r="X179" s="122"/>
      <c r="Y179" s="199"/>
      <c r="Z179" s="122"/>
      <c r="AA179" s="122"/>
      <c r="AB179" s="126"/>
      <c r="AC179" s="203"/>
      <c r="AD179" s="460"/>
    </row>
    <row r="180" spans="1:31" ht="14.1" customHeight="1">
      <c r="A180" s="307" t="str">
        <f>IF(B180="","",A178+1)</f>
        <v/>
      </c>
      <c r="B180" s="444"/>
      <c r="C180" s="124"/>
      <c r="D180" s="310">
        <f>TRUNC(C180)+((C180-TRUNC(C180))/0.6)</f>
        <v>0</v>
      </c>
      <c r="E180" s="310">
        <f>TRUNC(C181)+((C181-TRUNC(C181))/0.6)</f>
        <v>0</v>
      </c>
      <c r="F180" s="311">
        <f>ROUND(((LOG10(TAN(PI()/4+(D180/2*PI()/180)))*7915.7046)-(3437.7468*((0.0816968^2*SIN(D180*PI()/180))+(0.0816968^4/3*((SIN(D180*PI()/180))^3))+(0.0816968^6/5*((SIN(D180*PI()/180))^5))))),2)</f>
        <v>0</v>
      </c>
      <c r="G180" s="312"/>
      <c r="H180" s="312">
        <f>IF(E180&lt;0,E180+360,E180)</f>
        <v>0</v>
      </c>
      <c r="I180" s="334"/>
      <c r="J180" s="335"/>
      <c r="K180" s="336"/>
      <c r="L180" s="310"/>
      <c r="M180" s="310"/>
      <c r="N180" s="427"/>
      <c r="O180" s="428"/>
      <c r="P180" s="429"/>
      <c r="Q180" s="432" t="str">
        <f>IF(O179="","",Q178+O179)</f>
        <v/>
      </c>
      <c r="R180" s="432" t="str">
        <f>IF(O179="","",R178-O179)</f>
        <v/>
      </c>
      <c r="S180" s="117"/>
      <c r="T180" s="117" t="s">
        <v>26</v>
      </c>
      <c r="U180" s="431"/>
      <c r="V180" s="356"/>
      <c r="W180" s="436" t="str">
        <f>IF(P179="","",W178+V179)</f>
        <v/>
      </c>
      <c r="X180" s="117"/>
      <c r="Y180" s="117"/>
      <c r="Z180" s="117"/>
      <c r="AA180" s="117"/>
      <c r="AB180" s="127"/>
      <c r="AC180" s="202"/>
      <c r="AD180" s="458"/>
    </row>
    <row r="181" spans="1:31" ht="14.1" customHeight="1">
      <c r="A181" s="307"/>
      <c r="B181" s="444"/>
      <c r="C181" s="125"/>
      <c r="D181" s="310"/>
      <c r="E181" s="310"/>
      <c r="F181" s="311"/>
      <c r="G181" s="312">
        <f>ABS(D180-D182)*60</f>
        <v>0</v>
      </c>
      <c r="H181" s="312"/>
      <c r="I181" s="334">
        <f>ABS(H180-H182)*60</f>
        <v>0</v>
      </c>
      <c r="J181" s="335">
        <f>ABS(F180-F182)</f>
        <v>0</v>
      </c>
      <c r="K181" s="336" t="e">
        <f>IF(AND(D180&lt;D182,H180=H182),0,IF(AND(D180&gt;D182,H180=H182),180,IF(AND(D180=D182,H180&lt;H182),90,IF(AND(D180=D182,H180&gt;H182),270,(ATAN(I181/J181)*180/PI())))))</f>
        <v>#DIV/0!</v>
      </c>
      <c r="L181" s="310" t="e">
        <f>IF(OR(K181=0,K181=90,K181=180,K181=270),K181,IF(AND(D180&lt;D182,H180&lt;H182),K181,IF(AND(D180&lt;D182,H180&gt;H182),360-K181,IF(AND(D180&gt;D182,H180&lt;H182),180-K181,IF(AND(D180&gt;D182,H180&gt;H182),180+K181)))))</f>
        <v>#DIV/0!</v>
      </c>
      <c r="M181" s="310">
        <f>(IF(I181=0,G181,IF(G181=0,COS(D182*PI()/180)*I181,G181/COS(K181*PI()/180))))</f>
        <v>0</v>
      </c>
      <c r="N181" s="427" t="str">
        <f>IF(C183="","",ROUND(L181,1))</f>
        <v/>
      </c>
      <c r="O181" s="428" t="str">
        <f>IF(C183="","",ROUND(M181,1))</f>
        <v/>
      </c>
      <c r="P181" s="429"/>
      <c r="Q181" s="432"/>
      <c r="R181" s="432"/>
      <c r="S181" s="122"/>
      <c r="T181" s="122" t="s">
        <v>29</v>
      </c>
      <c r="U181" s="430"/>
      <c r="V181" s="356" t="e">
        <f>(O181/P181+U181/60)/24</f>
        <v>#VALUE!</v>
      </c>
      <c r="W181" s="436"/>
      <c r="X181" s="122"/>
      <c r="Y181" s="199"/>
      <c r="Z181" s="122"/>
      <c r="AA181" s="122"/>
      <c r="AB181" s="126"/>
      <c r="AC181" s="203"/>
      <c r="AD181" s="458"/>
    </row>
    <row r="182" spans="1:31" ht="14.1" customHeight="1">
      <c r="A182" s="307" t="str">
        <f>IF(B182="","",A180+1)</f>
        <v/>
      </c>
      <c r="B182" s="461"/>
      <c r="C182" s="124"/>
      <c r="D182" s="310">
        <f>TRUNC(C182)+((C182-TRUNC(C182))/0.6)</f>
        <v>0</v>
      </c>
      <c r="E182" s="310">
        <f>TRUNC(C183)+((C183-TRUNC(C183))/0.6)</f>
        <v>0</v>
      </c>
      <c r="F182" s="311">
        <f>ROUND(((LOG10(TAN(PI()/4+(D182/2*PI()/180)))*7915.7046)-(3437.7468*((0.0816968^2*SIN(D182*PI()/180))+(0.0816968^4/3*((SIN(D182*PI()/180))^3))+(0.0816968^6/5*((SIN(D182*PI()/180))^5))))),2)</f>
        <v>0</v>
      </c>
      <c r="G182" s="312"/>
      <c r="H182" s="312">
        <f>IF(E182&lt;0,E182+360,E182)</f>
        <v>0</v>
      </c>
      <c r="I182" s="334"/>
      <c r="J182" s="335"/>
      <c r="K182" s="336"/>
      <c r="L182" s="310"/>
      <c r="M182" s="310"/>
      <c r="N182" s="427"/>
      <c r="O182" s="428"/>
      <c r="P182" s="429"/>
      <c r="Q182" s="432" t="str">
        <f>IF(O181="","",Q180+O181)</f>
        <v/>
      </c>
      <c r="R182" s="432" t="str">
        <f>IF(O181="","",R180-O181)</f>
        <v/>
      </c>
      <c r="S182" s="117"/>
      <c r="T182" s="117" t="s">
        <v>26</v>
      </c>
      <c r="U182" s="431"/>
      <c r="V182" s="356"/>
      <c r="W182" s="436" t="str">
        <f>IF(P181="","",W180+V181)</f>
        <v/>
      </c>
      <c r="X182" s="117"/>
      <c r="Y182" s="117"/>
      <c r="Z182" s="117"/>
      <c r="AA182" s="117"/>
      <c r="AB182" s="127"/>
      <c r="AC182" s="202"/>
      <c r="AD182" s="460" t="s">
        <v>28</v>
      </c>
    </row>
    <row r="183" spans="1:31" ht="14.1" customHeight="1">
      <c r="A183" s="307"/>
      <c r="B183" s="462"/>
      <c r="C183" s="125"/>
      <c r="D183" s="310"/>
      <c r="E183" s="310"/>
      <c r="F183" s="311"/>
      <c r="G183" s="312">
        <f>ABS(D182-D184)*60</f>
        <v>0</v>
      </c>
      <c r="H183" s="312"/>
      <c r="I183" s="334">
        <f>ABS(H182-H184)*60</f>
        <v>0</v>
      </c>
      <c r="J183" s="335">
        <f>ABS(F182-F184)</f>
        <v>0</v>
      </c>
      <c r="K183" s="336" t="e">
        <f>IF(AND(D182&lt;D184,H182=H184),0,IF(AND(D182&gt;D184,H182=H184),180,IF(AND(D182=D184,H182&lt;H184),90,IF(AND(D182=D184,H182&gt;H184),270,(ATAN(I183/J183)*180/PI())))))</f>
        <v>#DIV/0!</v>
      </c>
      <c r="L183" s="310" t="e">
        <f>IF(OR(K183=0,K183=90,K183=180,K183=270),K183,IF(AND(D182&lt;D184,H182&lt;H184),K183,IF(AND(D182&lt;D184,H182&gt;H184),360-K183,IF(AND(D182&gt;D184,H182&lt;H184),180-K183,IF(AND(D182&gt;D184,H182&gt;H184),180+K183)))))</f>
        <v>#DIV/0!</v>
      </c>
      <c r="M183" s="310">
        <f>(IF(I183=0,G183,IF(G183=0,COS(D184*PI()/180)*I183,G183/COS(K183*PI()/180))))</f>
        <v>0</v>
      </c>
      <c r="N183" s="427" t="str">
        <f>IF(C185="","",ROUND(L183,1))</f>
        <v/>
      </c>
      <c r="O183" s="428" t="str">
        <f>IF(C185="","",ROUND(M183,1))</f>
        <v/>
      </c>
      <c r="P183" s="429"/>
      <c r="Q183" s="432"/>
      <c r="R183" s="432"/>
      <c r="S183" s="122"/>
      <c r="T183" s="122" t="s">
        <v>29</v>
      </c>
      <c r="U183" s="430"/>
      <c r="V183" s="356" t="e">
        <f>(O183/P183+U183/60)/24</f>
        <v>#VALUE!</v>
      </c>
      <c r="W183" s="436"/>
      <c r="X183" s="122"/>
      <c r="Y183" s="199"/>
      <c r="Z183" s="122"/>
      <c r="AA183" s="122"/>
      <c r="AB183" s="126"/>
      <c r="AC183" s="203"/>
      <c r="AD183" s="460"/>
    </row>
    <row r="184" spans="1:31" ht="14.1" customHeight="1">
      <c r="A184" s="307" t="str">
        <f>IF(B184="","",A182+1)</f>
        <v/>
      </c>
      <c r="B184" s="461"/>
      <c r="C184" s="124"/>
      <c r="D184" s="310">
        <f>TRUNC(C184)+((C184-TRUNC(C184))/0.6)</f>
        <v>0</v>
      </c>
      <c r="E184" s="310">
        <f>TRUNC(C185)+((C185-TRUNC(C185))/0.6)</f>
        <v>0</v>
      </c>
      <c r="F184" s="311">
        <f>ROUND(((LOG10(TAN(PI()/4+(D184/2*PI()/180)))*7915.7046)-(3437.7468*((0.0816968^2*SIN(D184*PI()/180))+(0.0816968^4/3*((SIN(D184*PI()/180))^3))+(0.0816968^6/5*((SIN(D184*PI()/180))^5))))),2)</f>
        <v>0</v>
      </c>
      <c r="G184" s="312"/>
      <c r="H184" s="312">
        <f>IF(E184&lt;0,E184+360,E184)</f>
        <v>0</v>
      </c>
      <c r="I184" s="334"/>
      <c r="J184" s="335"/>
      <c r="K184" s="336"/>
      <c r="L184" s="310"/>
      <c r="M184" s="310"/>
      <c r="N184" s="427"/>
      <c r="O184" s="428"/>
      <c r="P184" s="429"/>
      <c r="Q184" s="432" t="str">
        <f>IF(O183="","",Q182+O183)</f>
        <v/>
      </c>
      <c r="R184" s="432" t="str">
        <f>IF(O183="","",R182-O183)</f>
        <v/>
      </c>
      <c r="S184" s="117"/>
      <c r="T184" s="117" t="s">
        <v>25</v>
      </c>
      <c r="U184" s="431"/>
      <c r="V184" s="356"/>
      <c r="W184" s="436" t="str">
        <f>IF(P183="","",W182+V183)</f>
        <v/>
      </c>
      <c r="X184" s="117"/>
      <c r="Y184" s="117"/>
      <c r="Z184" s="117"/>
      <c r="AA184" s="117"/>
      <c r="AB184" s="127"/>
      <c r="AC184" s="202"/>
      <c r="AD184" s="458" t="s">
        <v>28</v>
      </c>
    </row>
    <row r="185" spans="1:31" ht="14.1" customHeight="1">
      <c r="A185" s="307"/>
      <c r="B185" s="462"/>
      <c r="C185" s="125"/>
      <c r="D185" s="310"/>
      <c r="E185" s="310"/>
      <c r="F185" s="311"/>
      <c r="G185" s="312">
        <f>ABS(D184-D186)*60</f>
        <v>0</v>
      </c>
      <c r="H185" s="312"/>
      <c r="I185" s="334">
        <f>ABS(H184-H186)*60</f>
        <v>0</v>
      </c>
      <c r="J185" s="335">
        <f>ABS(F184-F186)</f>
        <v>0</v>
      </c>
      <c r="K185" s="336" t="e">
        <f>IF(AND(D184&lt;D186,H184=H186),0,IF(AND(D184&gt;D186,H184=H186),180,IF(AND(D184=D186,H184&lt;H186),90,IF(AND(D184=D186,H184&gt;H186),270,(ATAN(I185/J185)*180/PI())))))</f>
        <v>#DIV/0!</v>
      </c>
      <c r="L185" s="310" t="e">
        <f>IF(OR(K185=0,K185=90,K185=180,K185=270),K185,IF(AND(D184&lt;D186,H184&lt;H186),K185,IF(AND(D184&lt;D186,H184&gt;H186),360-K185,IF(AND(D184&gt;D186,H184&lt;H186),180-K185,IF(AND(D184&gt;D186,H184&gt;H186),180+K185)))))</f>
        <v>#DIV/0!</v>
      </c>
      <c r="M185" s="310">
        <f>(IF(I185=0,G185,IF(G185=0,COS(D186*PI()/180)*I185,G185/COS(K185*PI()/180))))</f>
        <v>0</v>
      </c>
      <c r="N185" s="427" t="str">
        <f>IF(C187="","",ROUND(L185,1))</f>
        <v/>
      </c>
      <c r="O185" s="428" t="str">
        <f>IF(C187="","",ROUND(M185,1))</f>
        <v/>
      </c>
      <c r="P185" s="429"/>
      <c r="Q185" s="432"/>
      <c r="R185" s="432"/>
      <c r="S185" s="122"/>
      <c r="T185" s="122" t="s">
        <v>27</v>
      </c>
      <c r="U185" s="430"/>
      <c r="V185" s="356" t="e">
        <f>(O185/P185+U185/60)/24</f>
        <v>#VALUE!</v>
      </c>
      <c r="W185" s="436"/>
      <c r="X185" s="122"/>
      <c r="Y185" s="199"/>
      <c r="Z185" s="122"/>
      <c r="AA185" s="122"/>
      <c r="AB185" s="126"/>
      <c r="AC185" s="203"/>
      <c r="AD185" s="458"/>
    </row>
    <row r="186" spans="1:31" s="94" customFormat="1" ht="18" customHeight="1">
      <c r="A186" s="307" t="str">
        <f t="shared" ref="A186" si="9">IF(B186="","",A184+1)</f>
        <v/>
      </c>
      <c r="B186" s="461"/>
      <c r="C186" s="124"/>
      <c r="D186" s="310">
        <f>TRUNC(C186)+((C186-TRUNC(C186))/0.6)</f>
        <v>0</v>
      </c>
      <c r="E186" s="310">
        <f>TRUNC(C187)+((C187-TRUNC(C187))/0.6)</f>
        <v>0</v>
      </c>
      <c r="F186" s="311">
        <f>ROUND(((LOG10(TAN(PI()/4+(D186/2*PI()/180)))*7915.7046)-(3437.7468*((0.0816968^2*SIN(D186*PI()/180))+(0.0816968^4/3*((SIN(D186*PI()/180))^3))+(0.0816968^6/5*((SIN(D186*PI()/180))^5))))),2)</f>
        <v>0</v>
      </c>
      <c r="G186" s="312"/>
      <c r="H186" s="312">
        <f>IF(E186&lt;0,E186+360,E186)</f>
        <v>0</v>
      </c>
      <c r="I186" s="334"/>
      <c r="J186" s="335"/>
      <c r="K186" s="336"/>
      <c r="L186" s="310"/>
      <c r="M186" s="310"/>
      <c r="N186" s="427"/>
      <c r="O186" s="428"/>
      <c r="P186" s="429"/>
      <c r="Q186" s="432" t="str">
        <f>IF(O185="","",Q184+O185)</f>
        <v/>
      </c>
      <c r="R186" s="432" t="str">
        <f>IF(O185="","",R184-O185)</f>
        <v/>
      </c>
      <c r="S186" s="117"/>
      <c r="T186" s="117" t="s">
        <v>25</v>
      </c>
      <c r="U186" s="431"/>
      <c r="V186" s="356"/>
      <c r="W186" s="436" t="str">
        <f>IF(P185="","",W184+V185)</f>
        <v/>
      </c>
      <c r="X186" s="117"/>
      <c r="Y186" s="117"/>
      <c r="Z186" s="117"/>
      <c r="AA186" s="117"/>
      <c r="AB186" s="127"/>
      <c r="AC186" s="202"/>
      <c r="AD186" s="458"/>
    </row>
    <row r="187" spans="1:31" ht="13.5" customHeight="1">
      <c r="A187" s="307"/>
      <c r="B187" s="462"/>
      <c r="C187" s="125"/>
      <c r="D187" s="310"/>
      <c r="E187" s="310"/>
      <c r="F187" s="311"/>
      <c r="G187" s="312">
        <f>ABS(D186-D188)*60</f>
        <v>0</v>
      </c>
      <c r="H187" s="312"/>
      <c r="I187" s="334">
        <f>ABS(H186-H188)*60</f>
        <v>0</v>
      </c>
      <c r="J187" s="335">
        <f>ABS(F186-F188)</f>
        <v>0</v>
      </c>
      <c r="K187" s="336" t="e">
        <f>IF(AND(D186&lt;D188,H186=H188),0,IF(AND(D186&gt;D188,H186=H188),180,IF(AND(D186=D188,H186&lt;H188),90,IF(AND(D186=D188,H186&gt;H188),270,(ATAN(I187/J187)*180/PI())))))</f>
        <v>#DIV/0!</v>
      </c>
      <c r="L187" s="310" t="e">
        <f>IF(OR(K187=0,K187=90,K187=180,K187=270),K187,IF(AND(D186&lt;D188,H186&lt;H188),K187,IF(AND(D186&lt;D188,H186&gt;H188),360-K187,IF(AND(D186&gt;D188,H186&lt;H188),180-K187,IF(AND(D186&gt;D188,H186&gt;H188),180+K187)))))</f>
        <v>#DIV/0!</v>
      </c>
      <c r="M187" s="310">
        <f>(IF(I187=0,G187,IF(G187=0,COS(D188*PI()/180)*I187,G187/COS(K187*PI()/180))))</f>
        <v>0</v>
      </c>
      <c r="N187" s="427" t="str">
        <f>IF(C189="","",ROUND(L187,1))</f>
        <v/>
      </c>
      <c r="O187" s="428" t="str">
        <f>IF(C189="","",ROUND(M187,1))</f>
        <v/>
      </c>
      <c r="P187" s="429"/>
      <c r="Q187" s="432"/>
      <c r="R187" s="432"/>
      <c r="S187" s="122"/>
      <c r="T187" s="122" t="s">
        <v>22</v>
      </c>
      <c r="U187" s="430"/>
      <c r="V187" s="356" t="e">
        <f>(O187/P187+U187/60)/24</f>
        <v>#VALUE!</v>
      </c>
      <c r="W187" s="436"/>
      <c r="X187" s="122"/>
      <c r="Y187" s="199"/>
      <c r="Z187" s="122"/>
      <c r="AA187" s="122"/>
      <c r="AB187" s="126"/>
      <c r="AC187" s="203"/>
      <c r="AD187" s="458"/>
    </row>
    <row r="188" spans="1:31" s="107" customFormat="1" ht="14.1" customHeight="1">
      <c r="A188" s="307" t="str">
        <f t="shared" ref="A188" si="10">IF(B188="","",A186+1)</f>
        <v/>
      </c>
      <c r="B188" s="400"/>
      <c r="C188" s="124"/>
      <c r="D188" s="310">
        <f>TRUNC(C188)+((C188-TRUNC(C188))/0.6)</f>
        <v>0</v>
      </c>
      <c r="E188" s="310">
        <f>TRUNC(C189)+((C189-TRUNC(C189))/0.6)</f>
        <v>0</v>
      </c>
      <c r="F188" s="311">
        <f>ROUND(((LOG10(TAN(PI()/4+(D188/2*PI()/180)))*7915.7046)-(3437.7468*((0.0816968^2*SIN(D188*PI()/180))+(0.0816968^4/3*((SIN(D188*PI()/180))^3))+(0.0816968^6/5*((SIN(D188*PI()/180))^5))))),2)</f>
        <v>0</v>
      </c>
      <c r="G188" s="312"/>
      <c r="H188" s="312">
        <f>IF(E188&lt;0,E188+360,E188)</f>
        <v>0</v>
      </c>
      <c r="I188" s="334"/>
      <c r="J188" s="335"/>
      <c r="K188" s="336"/>
      <c r="L188" s="310"/>
      <c r="M188" s="310"/>
      <c r="N188" s="427"/>
      <c r="O188" s="428"/>
      <c r="P188" s="429"/>
      <c r="Q188" s="432" t="str">
        <f>IF(O187="","",Q186+O187)</f>
        <v/>
      </c>
      <c r="R188" s="432" t="str">
        <f>IF(O187="","",R186-O187)</f>
        <v/>
      </c>
      <c r="S188" s="117"/>
      <c r="T188" s="117" t="s">
        <v>25</v>
      </c>
      <c r="U188" s="431"/>
      <c r="V188" s="356"/>
      <c r="W188" s="436" t="str">
        <f>IF(P187="","",W186+V187)</f>
        <v/>
      </c>
      <c r="X188" s="117"/>
      <c r="Y188" s="117"/>
      <c r="Z188" s="117"/>
      <c r="AA188" s="117"/>
      <c r="AB188" s="127"/>
      <c r="AC188" s="202"/>
      <c r="AD188" s="454" t="s">
        <v>71</v>
      </c>
    </row>
    <row r="189" spans="1:31" ht="14.1" customHeight="1">
      <c r="A189" s="307"/>
      <c r="B189" s="401"/>
      <c r="C189" s="125"/>
      <c r="D189" s="310"/>
      <c r="E189" s="310"/>
      <c r="F189" s="311"/>
      <c r="G189" s="312">
        <f>ABS(D188-D190)*60</f>
        <v>0</v>
      </c>
      <c r="H189" s="312"/>
      <c r="I189" s="334">
        <f>ABS(H188-H190)*60</f>
        <v>0</v>
      </c>
      <c r="J189" s="335">
        <f>ABS(F188-F190)</f>
        <v>0</v>
      </c>
      <c r="K189" s="336" t="e">
        <f>IF(AND(D188&lt;D190,H188=H190),0,IF(AND(D188&gt;D190,H188=H190),180,IF(AND(D188=D190,H188&lt;H190),90,IF(AND(D188=D190,H188&gt;H190),270,(ATAN(I189/J189)*180/PI())))))</f>
        <v>#DIV/0!</v>
      </c>
      <c r="L189" s="310" t="e">
        <f>IF(OR(K189=0,K189=90,K189=180,K189=270),K189,IF(AND(D188&lt;D190,H188&lt;H190),K189,IF(AND(D188&lt;D190,H188&gt;H190),360-K189,IF(AND(D188&gt;D190,H188&lt;H190),180-K189,IF(AND(D188&gt;D190,H188&gt;H190),180+K189)))))</f>
        <v>#DIV/0!</v>
      </c>
      <c r="M189" s="310">
        <f>(IF(I189=0,G189,IF(G189=0,COS(D190*PI()/180)*I189,G189/COS(K189*PI()/180))))</f>
        <v>0</v>
      </c>
      <c r="N189" s="427" t="str">
        <f>IF(C191="","",ROUND(L189,1))</f>
        <v/>
      </c>
      <c r="O189" s="428" t="str">
        <f>IF(C191="","",ROUND(M189,1))</f>
        <v/>
      </c>
      <c r="P189" s="429"/>
      <c r="Q189" s="432"/>
      <c r="R189" s="432"/>
      <c r="S189" s="122"/>
      <c r="T189" s="122" t="s">
        <v>23</v>
      </c>
      <c r="U189" s="430"/>
      <c r="V189" s="356" t="e">
        <f>(O189/P189+U189/60)/24</f>
        <v>#VALUE!</v>
      </c>
      <c r="W189" s="436"/>
      <c r="X189" s="122"/>
      <c r="Y189" s="199"/>
      <c r="Z189" s="122"/>
      <c r="AA189" s="122"/>
      <c r="AB189" s="126"/>
      <c r="AC189" s="203"/>
      <c r="AD189" s="455"/>
    </row>
    <row r="190" spans="1:31" ht="14.1" customHeight="1">
      <c r="A190" s="307" t="str">
        <f t="shared" ref="A190" si="11">IF(B190="","",A188+1)</f>
        <v/>
      </c>
      <c r="B190" s="444"/>
      <c r="C190" s="124"/>
      <c r="D190" s="310">
        <f>TRUNC(C190)+((C190-TRUNC(C190))/0.6)</f>
        <v>0</v>
      </c>
      <c r="E190" s="310">
        <f>TRUNC(C191)+((C191-TRUNC(C191))/0.6)</f>
        <v>0</v>
      </c>
      <c r="F190" s="311">
        <f>ROUND(((LOG10(TAN(PI()/4+(D190/2*PI()/180)))*7915.7046)-(3437.7468*((0.0816968^2*SIN(D190*PI()/180))+(0.0816968^4/3*((SIN(D190*PI()/180))^3))+(0.0816968^6/5*((SIN(D190*PI()/180))^5))))),2)</f>
        <v>0</v>
      </c>
      <c r="G190" s="312"/>
      <c r="H190" s="312">
        <f>IF(E190&lt;0,E190+360,E190)</f>
        <v>0</v>
      </c>
      <c r="I190" s="334"/>
      <c r="J190" s="335"/>
      <c r="K190" s="336"/>
      <c r="L190" s="310"/>
      <c r="M190" s="310"/>
      <c r="N190" s="427"/>
      <c r="O190" s="428"/>
      <c r="P190" s="429"/>
      <c r="Q190" s="432" t="str">
        <f>IF(O189="","",Q188+O189)</f>
        <v/>
      </c>
      <c r="R190" s="432"/>
      <c r="S190" s="117"/>
      <c r="T190" s="117"/>
      <c r="U190" s="431"/>
      <c r="V190" s="356"/>
      <c r="W190" s="436" t="str">
        <f>IF(P189="","",W188+V189)</f>
        <v/>
      </c>
      <c r="X190" s="117"/>
      <c r="Y190" s="117"/>
      <c r="Z190" s="117"/>
      <c r="AA190" s="117"/>
      <c r="AB190" s="127"/>
      <c r="AC190" s="202"/>
      <c r="AD190" s="455"/>
    </row>
    <row r="191" spans="1:31" ht="14.1" customHeight="1">
      <c r="A191" s="307"/>
      <c r="B191" s="444"/>
      <c r="C191" s="125"/>
      <c r="D191" s="310"/>
      <c r="E191" s="310"/>
      <c r="F191" s="311"/>
      <c r="G191" s="128"/>
      <c r="H191" s="312"/>
      <c r="I191" s="128"/>
      <c r="J191" s="128"/>
      <c r="K191" s="128"/>
      <c r="L191" s="128"/>
      <c r="M191" s="128"/>
      <c r="N191" s="197"/>
      <c r="O191" s="116"/>
      <c r="P191" s="116"/>
      <c r="Q191" s="432"/>
      <c r="R191" s="432"/>
      <c r="S191" s="122"/>
      <c r="T191" s="122"/>
      <c r="U191" s="129"/>
      <c r="V191" s="118"/>
      <c r="W191" s="436"/>
      <c r="X191" s="122"/>
      <c r="Y191" s="199"/>
      <c r="Z191" s="122"/>
      <c r="AA191" s="122"/>
      <c r="AB191" s="126"/>
      <c r="AC191" s="203"/>
      <c r="AD191" s="456"/>
    </row>
    <row r="192" spans="1:31" ht="14.1" customHeight="1">
      <c r="A192" s="397"/>
      <c r="B192" s="397"/>
      <c r="C192" s="397"/>
      <c r="D192" s="397"/>
      <c r="E192" s="397"/>
      <c r="F192" s="397"/>
      <c r="G192" s="397"/>
      <c r="H192" s="397"/>
      <c r="I192" s="397"/>
      <c r="J192" s="397"/>
      <c r="K192" s="397"/>
      <c r="L192" s="397"/>
      <c r="M192" s="397"/>
      <c r="N192" s="397"/>
      <c r="O192" s="397"/>
      <c r="P192" s="397"/>
      <c r="Q192" s="397"/>
      <c r="R192" s="397"/>
      <c r="S192" s="397"/>
      <c r="T192" s="397"/>
      <c r="U192" s="397"/>
      <c r="V192" s="397"/>
      <c r="W192" s="397"/>
      <c r="X192" s="397"/>
      <c r="Y192" s="397"/>
      <c r="Z192" s="397"/>
      <c r="AA192" s="397"/>
      <c r="AB192" s="397"/>
      <c r="AC192" s="397"/>
      <c r="AD192" s="397"/>
    </row>
    <row r="193" spans="1:30" ht="14.1" customHeight="1">
      <c r="A193" s="397"/>
      <c r="B193" s="397"/>
      <c r="C193" s="397"/>
      <c r="D193" s="397"/>
      <c r="E193" s="397"/>
      <c r="F193" s="397"/>
      <c r="G193" s="397"/>
      <c r="H193" s="397"/>
      <c r="I193" s="397"/>
      <c r="J193" s="397"/>
      <c r="K193" s="397"/>
      <c r="L193" s="397"/>
      <c r="M193" s="397"/>
      <c r="N193" s="397"/>
      <c r="O193" s="397"/>
      <c r="P193" s="397"/>
      <c r="Q193" s="397"/>
      <c r="R193" s="397"/>
      <c r="S193" s="397"/>
      <c r="T193" s="397"/>
      <c r="U193" s="397"/>
      <c r="V193" s="397"/>
      <c r="W193" s="397"/>
      <c r="X193" s="397"/>
      <c r="Y193" s="397"/>
      <c r="Z193" s="397"/>
      <c r="AA193" s="397"/>
      <c r="AB193" s="397"/>
      <c r="AC193" s="397"/>
      <c r="AD193" s="397"/>
    </row>
    <row r="194" spans="1:30" ht="14.1" customHeight="1">
      <c r="A194" s="397"/>
      <c r="B194" s="397"/>
      <c r="C194" s="397"/>
      <c r="D194" s="397"/>
      <c r="E194" s="397"/>
      <c r="F194" s="397"/>
      <c r="G194" s="397"/>
      <c r="H194" s="397"/>
      <c r="I194" s="397"/>
      <c r="J194" s="397"/>
      <c r="K194" s="397"/>
      <c r="L194" s="397"/>
      <c r="M194" s="397"/>
      <c r="N194" s="397"/>
      <c r="O194" s="397"/>
      <c r="P194" s="397"/>
      <c r="Q194" s="397"/>
      <c r="R194" s="397"/>
      <c r="S194" s="397"/>
      <c r="T194" s="397"/>
      <c r="U194" s="397"/>
      <c r="V194" s="397"/>
      <c r="W194" s="397"/>
      <c r="X194" s="397"/>
      <c r="Y194" s="397"/>
      <c r="Z194" s="397"/>
      <c r="AA194" s="397"/>
      <c r="AB194" s="397"/>
      <c r="AC194" s="397"/>
      <c r="AD194" s="397"/>
    </row>
    <row r="195" spans="1:30" ht="14.1" customHeight="1"/>
    <row r="196" spans="1:30" ht="14.1" customHeight="1"/>
    <row r="197" spans="1:30" ht="14.1" customHeight="1"/>
    <row r="198" spans="1:30" ht="14.1" customHeight="1"/>
    <row r="199" spans="1:30" ht="14.1" customHeight="1"/>
    <row r="200" spans="1:30" ht="14.1" customHeight="1"/>
    <row r="201" spans="1:30" ht="14.1" customHeight="1"/>
    <row r="202" spans="1:30" ht="14.1" customHeight="1"/>
    <row r="203" spans="1:30" ht="14.1" customHeight="1"/>
    <row r="204" spans="1:30" ht="14.1" customHeight="1"/>
    <row r="205" spans="1:30" ht="14.1" customHeight="1"/>
    <row r="206" spans="1:30" ht="14.1" customHeight="1"/>
    <row r="207" spans="1:30" ht="14.1" customHeight="1"/>
    <row r="208" spans="1:30" ht="14.1" customHeight="1"/>
    <row r="209" s="104" customFormat="1" ht="14.1" customHeight="1"/>
    <row r="210" s="104" customFormat="1" ht="14.1" customHeight="1"/>
    <row r="211" s="104" customFormat="1" ht="14.1" customHeight="1"/>
    <row r="212" s="104" customFormat="1" ht="14.1" customHeight="1"/>
    <row r="213" s="104" customFormat="1" ht="14.1" customHeight="1"/>
    <row r="214" s="104" customFormat="1" ht="14.1" customHeight="1"/>
    <row r="215" s="104" customFormat="1" ht="14.1" customHeight="1"/>
    <row r="216" s="104" customFormat="1" ht="14.1" customHeight="1"/>
    <row r="217" s="104" customFormat="1" ht="14.1" customHeight="1"/>
    <row r="218" s="104" customFormat="1" ht="14.1" customHeight="1"/>
    <row r="219" s="104" customFormat="1" ht="14.1" customHeight="1"/>
    <row r="220" s="104" customFormat="1" ht="14.1" customHeight="1"/>
    <row r="221" s="104" customFormat="1" ht="14.1" customHeight="1"/>
    <row r="222" s="104" customFormat="1" ht="14.1" customHeight="1"/>
    <row r="223" s="104" customFormat="1" ht="14.1" customHeight="1"/>
    <row r="224" s="104" customFormat="1" ht="14.1" customHeight="1"/>
    <row r="225" s="104" customFormat="1" ht="14.1" customHeight="1"/>
    <row r="226" s="104" customFormat="1" ht="14.1" customHeight="1"/>
    <row r="227" s="104" customFormat="1" ht="14.1" customHeight="1"/>
    <row r="228" s="104" customFormat="1" ht="14.1" customHeight="1"/>
    <row r="229" s="104" customFormat="1" ht="14.1" customHeight="1"/>
  </sheetData>
  <sheetProtection algorithmName="SHA-512" hashValue="7YabBx2YEV2UzIqi7KlPSN83oPfk/g7H7rH+6tMCStnAgFibB6mEam+3KAb6NEi2VW+Z3FWKaHNM/aoehhDopQ==" saltValue="CeiSsEjhkSXHG3UUgBA+ag==" spinCount="100000" sheet="1" objects="1" scenarios="1"/>
  <mergeCells count="1688">
    <mergeCell ref="H190:H191"/>
    <mergeCell ref="Q190:Q191"/>
    <mergeCell ref="R190:R191"/>
    <mergeCell ref="W190:W191"/>
    <mergeCell ref="A192:AD194"/>
    <mergeCell ref="N189:N190"/>
    <mergeCell ref="O189:O190"/>
    <mergeCell ref="P189:P190"/>
    <mergeCell ref="U189:U190"/>
    <mergeCell ref="V189:V190"/>
    <mergeCell ref="A190:A191"/>
    <mergeCell ref="B190:B191"/>
    <mergeCell ref="D190:D191"/>
    <mergeCell ref="E190:E191"/>
    <mergeCell ref="F190:F191"/>
    <mergeCell ref="Q188:Q189"/>
    <mergeCell ref="R188:R189"/>
    <mergeCell ref="W188:W189"/>
    <mergeCell ref="AD188:AD191"/>
    <mergeCell ref="G189:G190"/>
    <mergeCell ref="I189:I190"/>
    <mergeCell ref="J189:J190"/>
    <mergeCell ref="K189:K190"/>
    <mergeCell ref="L189:L190"/>
    <mergeCell ref="M189:M190"/>
    <mergeCell ref="O187:O188"/>
    <mergeCell ref="P187:P188"/>
    <mergeCell ref="U187:U188"/>
    <mergeCell ref="V187:V188"/>
    <mergeCell ref="A188:A189"/>
    <mergeCell ref="B188:B189"/>
    <mergeCell ref="D188:D189"/>
    <mergeCell ref="E188:E189"/>
    <mergeCell ref="F188:F189"/>
    <mergeCell ref="H188:H189"/>
    <mergeCell ref="R186:R187"/>
    <mergeCell ref="W186:W187"/>
    <mergeCell ref="AD186:AD187"/>
    <mergeCell ref="G187:G188"/>
    <mergeCell ref="I187:I188"/>
    <mergeCell ref="J187:J188"/>
    <mergeCell ref="K187:K188"/>
    <mergeCell ref="L187:L188"/>
    <mergeCell ref="M187:M188"/>
    <mergeCell ref="N187:N188"/>
    <mergeCell ref="P185:P186"/>
    <mergeCell ref="U185:U186"/>
    <mergeCell ref="V185:V186"/>
    <mergeCell ref="A186:A187"/>
    <mergeCell ref="B186:B187"/>
    <mergeCell ref="D186:D187"/>
    <mergeCell ref="E186:E187"/>
    <mergeCell ref="F186:F187"/>
    <mergeCell ref="H186:H187"/>
    <mergeCell ref="Q186:Q187"/>
    <mergeCell ref="W184:W185"/>
    <mergeCell ref="AD184:AD185"/>
    <mergeCell ref="G185:G186"/>
    <mergeCell ref="I185:I186"/>
    <mergeCell ref="J185:J186"/>
    <mergeCell ref="K185:K186"/>
    <mergeCell ref="L185:L186"/>
    <mergeCell ref="M185:M186"/>
    <mergeCell ref="N185:N186"/>
    <mergeCell ref="O185:O186"/>
    <mergeCell ref="U183:U184"/>
    <mergeCell ref="V183:V184"/>
    <mergeCell ref="A184:A185"/>
    <mergeCell ref="B184:B185"/>
    <mergeCell ref="D184:D185"/>
    <mergeCell ref="E184:E185"/>
    <mergeCell ref="F184:F185"/>
    <mergeCell ref="H184:H185"/>
    <mergeCell ref="Q184:Q185"/>
    <mergeCell ref="R184:R185"/>
    <mergeCell ref="W182:W183"/>
    <mergeCell ref="AD182:AD183"/>
    <mergeCell ref="G183:G184"/>
    <mergeCell ref="I183:I184"/>
    <mergeCell ref="J183:J184"/>
    <mergeCell ref="K183:K184"/>
    <mergeCell ref="L183:L184"/>
    <mergeCell ref="M183:M184"/>
    <mergeCell ref="N183:N184"/>
    <mergeCell ref="O183:O184"/>
    <mergeCell ref="V181:V182"/>
    <mergeCell ref="A182:A183"/>
    <mergeCell ref="B182:B183"/>
    <mergeCell ref="D182:D183"/>
    <mergeCell ref="E182:E183"/>
    <mergeCell ref="F182:F183"/>
    <mergeCell ref="H182:H183"/>
    <mergeCell ref="Q182:Q183"/>
    <mergeCell ref="R182:R183"/>
    <mergeCell ref="P183:P184"/>
    <mergeCell ref="W180:W181"/>
    <mergeCell ref="AD180:AD181"/>
    <mergeCell ref="G181:G182"/>
    <mergeCell ref="I181:I182"/>
    <mergeCell ref="J181:J182"/>
    <mergeCell ref="K181:K182"/>
    <mergeCell ref="L181:L182"/>
    <mergeCell ref="M181:M182"/>
    <mergeCell ref="N181:N182"/>
    <mergeCell ref="O181:O182"/>
    <mergeCell ref="A180:A181"/>
    <mergeCell ref="B180:B181"/>
    <mergeCell ref="D180:D181"/>
    <mergeCell ref="E180:E181"/>
    <mergeCell ref="F180:F181"/>
    <mergeCell ref="H180:H181"/>
    <mergeCell ref="M179:M180"/>
    <mergeCell ref="N179:N180"/>
    <mergeCell ref="O179:O180"/>
    <mergeCell ref="P179:P180"/>
    <mergeCell ref="U179:U180"/>
    <mergeCell ref="V179:V180"/>
    <mergeCell ref="Q180:Q181"/>
    <mergeCell ref="R180:R181"/>
    <mergeCell ref="P181:P182"/>
    <mergeCell ref="U181:U182"/>
    <mergeCell ref="H178:H179"/>
    <mergeCell ref="Q178:Q179"/>
    <mergeCell ref="R178:R179"/>
    <mergeCell ref="W178:W179"/>
    <mergeCell ref="AD178:AD179"/>
    <mergeCell ref="G179:G180"/>
    <mergeCell ref="I179:I180"/>
    <mergeCell ref="J179:J180"/>
    <mergeCell ref="K179:K180"/>
    <mergeCell ref="L179:L180"/>
    <mergeCell ref="N177:N178"/>
    <mergeCell ref="O177:O178"/>
    <mergeCell ref="P177:P178"/>
    <mergeCell ref="U177:U178"/>
    <mergeCell ref="V177:V178"/>
    <mergeCell ref="A178:A179"/>
    <mergeCell ref="B178:B179"/>
    <mergeCell ref="D178:D179"/>
    <mergeCell ref="E178:E179"/>
    <mergeCell ref="F178:F179"/>
    <mergeCell ref="Q176:Q177"/>
    <mergeCell ref="R176:R177"/>
    <mergeCell ref="W176:W177"/>
    <mergeCell ref="AD176:AD177"/>
    <mergeCell ref="G177:G178"/>
    <mergeCell ref="I177:I178"/>
    <mergeCell ref="J177:J178"/>
    <mergeCell ref="K177:K178"/>
    <mergeCell ref="L177:L178"/>
    <mergeCell ref="M177:M178"/>
    <mergeCell ref="O175:O176"/>
    <mergeCell ref="P175:P176"/>
    <mergeCell ref="U175:U176"/>
    <mergeCell ref="V175:V176"/>
    <mergeCell ref="A176:A177"/>
    <mergeCell ref="B176:B177"/>
    <mergeCell ref="D176:D177"/>
    <mergeCell ref="E176:E177"/>
    <mergeCell ref="F176:F177"/>
    <mergeCell ref="H176:H177"/>
    <mergeCell ref="R174:R175"/>
    <mergeCell ref="W174:W175"/>
    <mergeCell ref="AD174:AD175"/>
    <mergeCell ref="G175:G176"/>
    <mergeCell ref="I175:I176"/>
    <mergeCell ref="J175:J176"/>
    <mergeCell ref="K175:K176"/>
    <mergeCell ref="L175:L176"/>
    <mergeCell ref="M175:M176"/>
    <mergeCell ref="N175:N176"/>
    <mergeCell ref="P173:P174"/>
    <mergeCell ref="U173:U174"/>
    <mergeCell ref="V173:V174"/>
    <mergeCell ref="A174:A175"/>
    <mergeCell ref="B174:B175"/>
    <mergeCell ref="D174:D175"/>
    <mergeCell ref="E174:E175"/>
    <mergeCell ref="F174:F175"/>
    <mergeCell ref="H174:H175"/>
    <mergeCell ref="Q174:Q175"/>
    <mergeCell ref="W172:W173"/>
    <mergeCell ref="AD172:AD173"/>
    <mergeCell ref="G173:G174"/>
    <mergeCell ref="I173:I174"/>
    <mergeCell ref="J173:J174"/>
    <mergeCell ref="K173:K174"/>
    <mergeCell ref="L173:L174"/>
    <mergeCell ref="M173:M174"/>
    <mergeCell ref="N173:N174"/>
    <mergeCell ref="O173:O174"/>
    <mergeCell ref="U171:U172"/>
    <mergeCell ref="V171:V172"/>
    <mergeCell ref="A172:A173"/>
    <mergeCell ref="B172:B173"/>
    <mergeCell ref="D172:D173"/>
    <mergeCell ref="E172:E173"/>
    <mergeCell ref="F172:F173"/>
    <mergeCell ref="H172:H173"/>
    <mergeCell ref="Q172:Q173"/>
    <mergeCell ref="R172:R173"/>
    <mergeCell ref="W170:W171"/>
    <mergeCell ref="AD170:AD171"/>
    <mergeCell ref="G171:G172"/>
    <mergeCell ref="I171:I172"/>
    <mergeCell ref="J171:J172"/>
    <mergeCell ref="K171:K172"/>
    <mergeCell ref="L171:L172"/>
    <mergeCell ref="M171:M172"/>
    <mergeCell ref="N171:N172"/>
    <mergeCell ref="O171:O172"/>
    <mergeCell ref="V169:V170"/>
    <mergeCell ref="A170:A171"/>
    <mergeCell ref="B170:B171"/>
    <mergeCell ref="D170:D171"/>
    <mergeCell ref="E170:E171"/>
    <mergeCell ref="F170:F171"/>
    <mergeCell ref="H170:H171"/>
    <mergeCell ref="Q170:Q171"/>
    <mergeCell ref="R170:R171"/>
    <mergeCell ref="P171:P172"/>
    <mergeCell ref="W168:W169"/>
    <mergeCell ref="AD168:AD169"/>
    <mergeCell ref="G169:G170"/>
    <mergeCell ref="I169:I170"/>
    <mergeCell ref="J169:J170"/>
    <mergeCell ref="K169:K170"/>
    <mergeCell ref="L169:L170"/>
    <mergeCell ref="M169:M170"/>
    <mergeCell ref="N169:N170"/>
    <mergeCell ref="O169:O170"/>
    <mergeCell ref="A168:A169"/>
    <mergeCell ref="B168:B169"/>
    <mergeCell ref="D168:D169"/>
    <mergeCell ref="E168:E169"/>
    <mergeCell ref="F168:F169"/>
    <mergeCell ref="H168:H169"/>
    <mergeCell ref="M167:M168"/>
    <mergeCell ref="N167:N168"/>
    <mergeCell ref="O167:O168"/>
    <mergeCell ref="P167:P168"/>
    <mergeCell ref="A166:A167"/>
    <mergeCell ref="B166:B167"/>
    <mergeCell ref="D166:D167"/>
    <mergeCell ref="E166:E167"/>
    <mergeCell ref="F166:F167"/>
    <mergeCell ref="U167:U168"/>
    <mergeCell ref="V167:V168"/>
    <mergeCell ref="Q168:Q169"/>
    <mergeCell ref="R168:R169"/>
    <mergeCell ref="P169:P170"/>
    <mergeCell ref="U169:U170"/>
    <mergeCell ref="H166:H167"/>
    <mergeCell ref="Q166:Q167"/>
    <mergeCell ref="R166:R167"/>
    <mergeCell ref="W166:W167"/>
    <mergeCell ref="AD166:AD167"/>
    <mergeCell ref="G167:G168"/>
    <mergeCell ref="I167:I168"/>
    <mergeCell ref="J167:J168"/>
    <mergeCell ref="K167:K168"/>
    <mergeCell ref="L167:L168"/>
    <mergeCell ref="N165:N166"/>
    <mergeCell ref="O165:O166"/>
    <mergeCell ref="P165:P166"/>
    <mergeCell ref="U165:U166"/>
    <mergeCell ref="V165:V166"/>
    <mergeCell ref="Q164:Q165"/>
    <mergeCell ref="R164:R165"/>
    <mergeCell ref="W164:W165"/>
    <mergeCell ref="AD164:AD165"/>
    <mergeCell ref="G165:G166"/>
    <mergeCell ref="I165:I166"/>
    <mergeCell ref="J165:J166"/>
    <mergeCell ref="K165:K166"/>
    <mergeCell ref="L165:L166"/>
    <mergeCell ref="M165:M166"/>
    <mergeCell ref="O163:O164"/>
    <mergeCell ref="P163:P164"/>
    <mergeCell ref="U163:U164"/>
    <mergeCell ref="V163:V164"/>
    <mergeCell ref="A164:A165"/>
    <mergeCell ref="B164:B165"/>
    <mergeCell ref="D164:D165"/>
    <mergeCell ref="E164:E165"/>
    <mergeCell ref="F164:F165"/>
    <mergeCell ref="H164:H165"/>
    <mergeCell ref="R162:R163"/>
    <mergeCell ref="W162:W163"/>
    <mergeCell ref="AD162:AD163"/>
    <mergeCell ref="G163:G164"/>
    <mergeCell ref="I163:I164"/>
    <mergeCell ref="J163:J164"/>
    <mergeCell ref="K163:K164"/>
    <mergeCell ref="L163:L164"/>
    <mergeCell ref="M163:M164"/>
    <mergeCell ref="N163:N164"/>
    <mergeCell ref="P161:P162"/>
    <mergeCell ref="U161:U162"/>
    <mergeCell ref="V161:V162"/>
    <mergeCell ref="A162:A163"/>
    <mergeCell ref="B162:B163"/>
    <mergeCell ref="D162:D163"/>
    <mergeCell ref="E162:E163"/>
    <mergeCell ref="F162:F163"/>
    <mergeCell ref="H162:H163"/>
    <mergeCell ref="Q162:Q163"/>
    <mergeCell ref="W160:W161"/>
    <mergeCell ref="AD160:AD161"/>
    <mergeCell ref="G161:G162"/>
    <mergeCell ref="I161:I162"/>
    <mergeCell ref="J161:J162"/>
    <mergeCell ref="K161:K162"/>
    <mergeCell ref="L161:L162"/>
    <mergeCell ref="M161:M162"/>
    <mergeCell ref="N161:N162"/>
    <mergeCell ref="O161:O162"/>
    <mergeCell ref="U159:U160"/>
    <mergeCell ref="V159:V160"/>
    <mergeCell ref="A160:A161"/>
    <mergeCell ref="B160:B161"/>
    <mergeCell ref="D160:D161"/>
    <mergeCell ref="E160:E161"/>
    <mergeCell ref="F160:F161"/>
    <mergeCell ref="H160:H161"/>
    <mergeCell ref="Q160:Q161"/>
    <mergeCell ref="R160:R161"/>
    <mergeCell ref="W158:W159"/>
    <mergeCell ref="AD158:AD159"/>
    <mergeCell ref="G159:G160"/>
    <mergeCell ref="I159:I160"/>
    <mergeCell ref="J159:J160"/>
    <mergeCell ref="K159:K160"/>
    <mergeCell ref="L159:L160"/>
    <mergeCell ref="M159:M160"/>
    <mergeCell ref="N159:N160"/>
    <mergeCell ref="O159:O160"/>
    <mergeCell ref="V157:V158"/>
    <mergeCell ref="A158:A159"/>
    <mergeCell ref="B158:B159"/>
    <mergeCell ref="D158:D159"/>
    <mergeCell ref="E158:E159"/>
    <mergeCell ref="F158:F159"/>
    <mergeCell ref="H158:H159"/>
    <mergeCell ref="Q158:Q159"/>
    <mergeCell ref="R158:R159"/>
    <mergeCell ref="P159:P160"/>
    <mergeCell ref="W156:W157"/>
    <mergeCell ref="AD156:AD157"/>
    <mergeCell ref="G157:G158"/>
    <mergeCell ref="I157:I158"/>
    <mergeCell ref="J157:J158"/>
    <mergeCell ref="K157:K158"/>
    <mergeCell ref="L157:L158"/>
    <mergeCell ref="M157:M158"/>
    <mergeCell ref="N157:N158"/>
    <mergeCell ref="O157:O158"/>
    <mergeCell ref="A156:A157"/>
    <mergeCell ref="B156:B157"/>
    <mergeCell ref="D156:D157"/>
    <mergeCell ref="E156:E157"/>
    <mergeCell ref="F156:F157"/>
    <mergeCell ref="H156:H157"/>
    <mergeCell ref="M155:M156"/>
    <mergeCell ref="N155:N156"/>
    <mergeCell ref="O155:O156"/>
    <mergeCell ref="P155:P156"/>
    <mergeCell ref="U155:U156"/>
    <mergeCell ref="V155:V156"/>
    <mergeCell ref="Q156:Q157"/>
    <mergeCell ref="R156:R157"/>
    <mergeCell ref="P157:P158"/>
    <mergeCell ref="U157:U158"/>
    <mergeCell ref="H154:H155"/>
    <mergeCell ref="Q154:Q155"/>
    <mergeCell ref="R154:R155"/>
    <mergeCell ref="W154:W155"/>
    <mergeCell ref="AD154:AD155"/>
    <mergeCell ref="G155:G156"/>
    <mergeCell ref="I155:I156"/>
    <mergeCell ref="J155:J156"/>
    <mergeCell ref="K155:K156"/>
    <mergeCell ref="L155:L156"/>
    <mergeCell ref="N153:N154"/>
    <mergeCell ref="O153:O154"/>
    <mergeCell ref="P153:P154"/>
    <mergeCell ref="U153:U154"/>
    <mergeCell ref="V153:V154"/>
    <mergeCell ref="A154:A155"/>
    <mergeCell ref="B154:B155"/>
    <mergeCell ref="D154:D155"/>
    <mergeCell ref="E154:E155"/>
    <mergeCell ref="F154:F155"/>
    <mergeCell ref="Q152:Q153"/>
    <mergeCell ref="R152:R153"/>
    <mergeCell ref="W152:W153"/>
    <mergeCell ref="AD152:AD153"/>
    <mergeCell ref="G153:G154"/>
    <mergeCell ref="I153:I154"/>
    <mergeCell ref="J153:J154"/>
    <mergeCell ref="K153:K154"/>
    <mergeCell ref="L153:L154"/>
    <mergeCell ref="M153:M154"/>
    <mergeCell ref="A152:A153"/>
    <mergeCell ref="B152:B153"/>
    <mergeCell ref="D152:D153"/>
    <mergeCell ref="E152:E153"/>
    <mergeCell ref="F152:F153"/>
    <mergeCell ref="H152:H153"/>
    <mergeCell ref="Q148:Q151"/>
    <mergeCell ref="R148:R151"/>
    <mergeCell ref="U148:U151"/>
    <mergeCell ref="W148:W151"/>
    <mergeCell ref="AB148:AB151"/>
    <mergeCell ref="AD148:AD151"/>
    <mergeCell ref="H143:H144"/>
    <mergeCell ref="Q143:Q144"/>
    <mergeCell ref="R143:R144"/>
    <mergeCell ref="W143:W144"/>
    <mergeCell ref="A145:AD147"/>
    <mergeCell ref="A148:A151"/>
    <mergeCell ref="B148:C151"/>
    <mergeCell ref="N148:N151"/>
    <mergeCell ref="O148:O151"/>
    <mergeCell ref="P148:P151"/>
    <mergeCell ref="N142:N143"/>
    <mergeCell ref="O142:O143"/>
    <mergeCell ref="P142:P143"/>
    <mergeCell ref="U142:U143"/>
    <mergeCell ref="V142:V143"/>
    <mergeCell ref="A143:A144"/>
    <mergeCell ref="B143:B144"/>
    <mergeCell ref="D143:D144"/>
    <mergeCell ref="E143:E144"/>
    <mergeCell ref="F143:F144"/>
    <mergeCell ref="Q141:Q142"/>
    <mergeCell ref="R141:R142"/>
    <mergeCell ref="W141:W142"/>
    <mergeCell ref="AD141:AD144"/>
    <mergeCell ref="G142:G143"/>
    <mergeCell ref="I142:I143"/>
    <mergeCell ref="J142:J143"/>
    <mergeCell ref="K142:K143"/>
    <mergeCell ref="L142:L143"/>
    <mergeCell ref="M142:M143"/>
    <mergeCell ref="O140:O141"/>
    <mergeCell ref="P140:P141"/>
    <mergeCell ref="U140:U141"/>
    <mergeCell ref="V140:V141"/>
    <mergeCell ref="A141:A142"/>
    <mergeCell ref="B141:B142"/>
    <mergeCell ref="D141:D142"/>
    <mergeCell ref="E141:E142"/>
    <mergeCell ref="F141:F142"/>
    <mergeCell ref="H141:H142"/>
    <mergeCell ref="R139:R140"/>
    <mergeCell ref="W139:W140"/>
    <mergeCell ref="AD139:AD140"/>
    <mergeCell ref="G140:G141"/>
    <mergeCell ref="I140:I141"/>
    <mergeCell ref="J140:J141"/>
    <mergeCell ref="K140:K141"/>
    <mergeCell ref="L140:L141"/>
    <mergeCell ref="M140:M141"/>
    <mergeCell ref="N140:N141"/>
    <mergeCell ref="P138:P139"/>
    <mergeCell ref="U138:U139"/>
    <mergeCell ref="V138:V139"/>
    <mergeCell ref="A139:A140"/>
    <mergeCell ref="B139:B140"/>
    <mergeCell ref="D139:D140"/>
    <mergeCell ref="E139:E140"/>
    <mergeCell ref="F139:F140"/>
    <mergeCell ref="H139:H140"/>
    <mergeCell ref="Q139:Q140"/>
    <mergeCell ref="W137:W138"/>
    <mergeCell ref="AD137:AD138"/>
    <mergeCell ref="G138:G139"/>
    <mergeCell ref="I138:I139"/>
    <mergeCell ref="J138:J139"/>
    <mergeCell ref="K138:K139"/>
    <mergeCell ref="L138:L139"/>
    <mergeCell ref="M138:M139"/>
    <mergeCell ref="N138:N139"/>
    <mergeCell ref="O138:O139"/>
    <mergeCell ref="U136:U137"/>
    <mergeCell ref="V136:V137"/>
    <mergeCell ref="A137:A138"/>
    <mergeCell ref="B137:B138"/>
    <mergeCell ref="D137:D138"/>
    <mergeCell ref="E137:E138"/>
    <mergeCell ref="F137:F138"/>
    <mergeCell ref="H137:H138"/>
    <mergeCell ref="Q137:Q138"/>
    <mergeCell ref="R137:R138"/>
    <mergeCell ref="W135:W136"/>
    <mergeCell ref="AD135:AD136"/>
    <mergeCell ref="G136:G137"/>
    <mergeCell ref="I136:I137"/>
    <mergeCell ref="J136:J137"/>
    <mergeCell ref="K136:K137"/>
    <mergeCell ref="L136:L137"/>
    <mergeCell ref="M136:M137"/>
    <mergeCell ref="N136:N137"/>
    <mergeCell ref="O136:O137"/>
    <mergeCell ref="V134:V135"/>
    <mergeCell ref="R133:R134"/>
    <mergeCell ref="P134:P135"/>
    <mergeCell ref="U134:U135"/>
    <mergeCell ref="A135:A136"/>
    <mergeCell ref="B135:B136"/>
    <mergeCell ref="D135:D136"/>
    <mergeCell ref="E135:E136"/>
    <mergeCell ref="F135:F136"/>
    <mergeCell ref="H135:H136"/>
    <mergeCell ref="Q135:Q136"/>
    <mergeCell ref="R135:R136"/>
    <mergeCell ref="P136:P137"/>
    <mergeCell ref="W133:W134"/>
    <mergeCell ref="AD133:AD134"/>
    <mergeCell ref="G134:G135"/>
    <mergeCell ref="I134:I135"/>
    <mergeCell ref="J134:J135"/>
    <mergeCell ref="K134:K135"/>
    <mergeCell ref="L134:L135"/>
    <mergeCell ref="M134:M135"/>
    <mergeCell ref="N134:N135"/>
    <mergeCell ref="O134:O135"/>
    <mergeCell ref="A133:A134"/>
    <mergeCell ref="B133:B134"/>
    <mergeCell ref="D133:D134"/>
    <mergeCell ref="E133:E134"/>
    <mergeCell ref="F133:F134"/>
    <mergeCell ref="H133:H134"/>
    <mergeCell ref="M132:M133"/>
    <mergeCell ref="N132:N133"/>
    <mergeCell ref="O132:O133"/>
    <mergeCell ref="P132:P133"/>
    <mergeCell ref="U132:U133"/>
    <mergeCell ref="V132:V133"/>
    <mergeCell ref="Q133:Q134"/>
    <mergeCell ref="H131:H132"/>
    <mergeCell ref="Q131:Q132"/>
    <mergeCell ref="R131:R132"/>
    <mergeCell ref="W131:W132"/>
    <mergeCell ref="AD131:AD132"/>
    <mergeCell ref="G132:G133"/>
    <mergeCell ref="I132:I133"/>
    <mergeCell ref="J132:J133"/>
    <mergeCell ref="K132:K133"/>
    <mergeCell ref="L132:L133"/>
    <mergeCell ref="N130:N131"/>
    <mergeCell ref="O130:O131"/>
    <mergeCell ref="P130:P131"/>
    <mergeCell ref="U130:U131"/>
    <mergeCell ref="V130:V131"/>
    <mergeCell ref="A131:A132"/>
    <mergeCell ref="B131:B132"/>
    <mergeCell ref="D131:D132"/>
    <mergeCell ref="E131:E132"/>
    <mergeCell ref="F131:F132"/>
    <mergeCell ref="Q129:Q130"/>
    <mergeCell ref="R129:R130"/>
    <mergeCell ref="W129:W130"/>
    <mergeCell ref="AD129:AD130"/>
    <mergeCell ref="G130:G131"/>
    <mergeCell ref="I130:I131"/>
    <mergeCell ref="J130:J131"/>
    <mergeCell ref="K130:K131"/>
    <mergeCell ref="L130:L131"/>
    <mergeCell ref="M130:M131"/>
    <mergeCell ref="O128:O129"/>
    <mergeCell ref="P128:P129"/>
    <mergeCell ref="U128:U129"/>
    <mergeCell ref="V128:V129"/>
    <mergeCell ref="A129:A130"/>
    <mergeCell ref="B129:B130"/>
    <mergeCell ref="D129:D130"/>
    <mergeCell ref="E129:E130"/>
    <mergeCell ref="F129:F130"/>
    <mergeCell ref="H129:H130"/>
    <mergeCell ref="R127:R128"/>
    <mergeCell ref="W127:W128"/>
    <mergeCell ref="AD127:AD128"/>
    <mergeCell ref="G128:G129"/>
    <mergeCell ref="I128:I129"/>
    <mergeCell ref="J128:J129"/>
    <mergeCell ref="K128:K129"/>
    <mergeCell ref="L128:L129"/>
    <mergeCell ref="M128:M129"/>
    <mergeCell ref="N128:N129"/>
    <mergeCell ref="P126:P127"/>
    <mergeCell ref="U126:U127"/>
    <mergeCell ref="V126:V127"/>
    <mergeCell ref="A127:A128"/>
    <mergeCell ref="B127:B128"/>
    <mergeCell ref="D127:D128"/>
    <mergeCell ref="E127:E128"/>
    <mergeCell ref="F127:F128"/>
    <mergeCell ref="H127:H128"/>
    <mergeCell ref="Q127:Q128"/>
    <mergeCell ref="W125:W126"/>
    <mergeCell ref="AD125:AD126"/>
    <mergeCell ref="G126:G127"/>
    <mergeCell ref="I126:I127"/>
    <mergeCell ref="J126:J127"/>
    <mergeCell ref="K126:K127"/>
    <mergeCell ref="L126:L127"/>
    <mergeCell ref="M126:M127"/>
    <mergeCell ref="N126:N127"/>
    <mergeCell ref="O126:O127"/>
    <mergeCell ref="U124:U125"/>
    <mergeCell ref="V124:V125"/>
    <mergeCell ref="A125:A126"/>
    <mergeCell ref="B125:B126"/>
    <mergeCell ref="D125:D126"/>
    <mergeCell ref="E125:E126"/>
    <mergeCell ref="F125:F126"/>
    <mergeCell ref="H125:H126"/>
    <mergeCell ref="Q125:Q126"/>
    <mergeCell ref="R125:R126"/>
    <mergeCell ref="W123:W124"/>
    <mergeCell ref="AD123:AD124"/>
    <mergeCell ref="G124:G125"/>
    <mergeCell ref="I124:I125"/>
    <mergeCell ref="J124:J125"/>
    <mergeCell ref="K124:K125"/>
    <mergeCell ref="L124:L125"/>
    <mergeCell ref="M124:M125"/>
    <mergeCell ref="N124:N125"/>
    <mergeCell ref="O124:O125"/>
    <mergeCell ref="V122:V123"/>
    <mergeCell ref="A123:A124"/>
    <mergeCell ref="B123:B124"/>
    <mergeCell ref="D123:D124"/>
    <mergeCell ref="E123:E124"/>
    <mergeCell ref="F123:F124"/>
    <mergeCell ref="H123:H124"/>
    <mergeCell ref="Q123:Q124"/>
    <mergeCell ref="R123:R124"/>
    <mergeCell ref="P124:P125"/>
    <mergeCell ref="W121:W122"/>
    <mergeCell ref="AD121:AD122"/>
    <mergeCell ref="G122:G123"/>
    <mergeCell ref="I122:I123"/>
    <mergeCell ref="J122:J123"/>
    <mergeCell ref="K122:K123"/>
    <mergeCell ref="L122:L123"/>
    <mergeCell ref="M122:M123"/>
    <mergeCell ref="N122:N123"/>
    <mergeCell ref="O122:O123"/>
    <mergeCell ref="A121:A122"/>
    <mergeCell ref="B121:B122"/>
    <mergeCell ref="D121:D122"/>
    <mergeCell ref="E121:E122"/>
    <mergeCell ref="F121:F122"/>
    <mergeCell ref="H121:H122"/>
    <mergeCell ref="M120:M121"/>
    <mergeCell ref="N120:N121"/>
    <mergeCell ref="O120:O121"/>
    <mergeCell ref="P120:P121"/>
    <mergeCell ref="U120:U121"/>
    <mergeCell ref="V120:V121"/>
    <mergeCell ref="Q121:Q122"/>
    <mergeCell ref="R121:R122"/>
    <mergeCell ref="P122:P123"/>
    <mergeCell ref="U122:U123"/>
    <mergeCell ref="H119:H120"/>
    <mergeCell ref="Q119:Q120"/>
    <mergeCell ref="R119:R120"/>
    <mergeCell ref="W119:W120"/>
    <mergeCell ref="AD119:AD120"/>
    <mergeCell ref="G120:G121"/>
    <mergeCell ref="I120:I121"/>
    <mergeCell ref="J120:J121"/>
    <mergeCell ref="K120:K121"/>
    <mergeCell ref="L120:L121"/>
    <mergeCell ref="N118:N119"/>
    <mergeCell ref="O118:O119"/>
    <mergeCell ref="P118:P119"/>
    <mergeCell ref="U118:U119"/>
    <mergeCell ref="V118:V119"/>
    <mergeCell ref="A119:A120"/>
    <mergeCell ref="B119:B120"/>
    <mergeCell ref="D119:D120"/>
    <mergeCell ref="E119:E120"/>
    <mergeCell ref="F119:F120"/>
    <mergeCell ref="Q117:Q118"/>
    <mergeCell ref="R117:R118"/>
    <mergeCell ref="W117:W118"/>
    <mergeCell ref="AD117:AD118"/>
    <mergeCell ref="G118:G119"/>
    <mergeCell ref="I118:I119"/>
    <mergeCell ref="J118:J119"/>
    <mergeCell ref="K118:K119"/>
    <mergeCell ref="L118:L119"/>
    <mergeCell ref="M118:M119"/>
    <mergeCell ref="O116:O117"/>
    <mergeCell ref="P116:P117"/>
    <mergeCell ref="U116:U117"/>
    <mergeCell ref="V116:V117"/>
    <mergeCell ref="A117:A118"/>
    <mergeCell ref="B117:B118"/>
    <mergeCell ref="D117:D118"/>
    <mergeCell ref="E117:E118"/>
    <mergeCell ref="F117:F118"/>
    <mergeCell ref="H117:H118"/>
    <mergeCell ref="R115:R116"/>
    <mergeCell ref="W115:W116"/>
    <mergeCell ref="AD115:AD116"/>
    <mergeCell ref="G116:G117"/>
    <mergeCell ref="I116:I117"/>
    <mergeCell ref="J116:J117"/>
    <mergeCell ref="K116:K117"/>
    <mergeCell ref="L116:L117"/>
    <mergeCell ref="M116:M117"/>
    <mergeCell ref="N116:N117"/>
    <mergeCell ref="P114:P115"/>
    <mergeCell ref="U114:U115"/>
    <mergeCell ref="V114:V115"/>
    <mergeCell ref="A115:A116"/>
    <mergeCell ref="B115:B116"/>
    <mergeCell ref="D115:D116"/>
    <mergeCell ref="E115:E116"/>
    <mergeCell ref="F115:F116"/>
    <mergeCell ref="H115:H116"/>
    <mergeCell ref="Q115:Q116"/>
    <mergeCell ref="W113:W114"/>
    <mergeCell ref="AD113:AD114"/>
    <mergeCell ref="G114:G115"/>
    <mergeCell ref="I114:I115"/>
    <mergeCell ref="J114:J115"/>
    <mergeCell ref="K114:K115"/>
    <mergeCell ref="L114:L115"/>
    <mergeCell ref="M114:M115"/>
    <mergeCell ref="N114:N115"/>
    <mergeCell ref="O114:O115"/>
    <mergeCell ref="U112:U113"/>
    <mergeCell ref="V112:V113"/>
    <mergeCell ref="A113:A114"/>
    <mergeCell ref="B113:B114"/>
    <mergeCell ref="D113:D114"/>
    <mergeCell ref="E113:E114"/>
    <mergeCell ref="F113:F114"/>
    <mergeCell ref="H113:H114"/>
    <mergeCell ref="Q113:Q114"/>
    <mergeCell ref="R113:R114"/>
    <mergeCell ref="W111:W112"/>
    <mergeCell ref="AD111:AD112"/>
    <mergeCell ref="G112:G113"/>
    <mergeCell ref="I112:I113"/>
    <mergeCell ref="J112:J113"/>
    <mergeCell ref="W109:W110"/>
    <mergeCell ref="AD109:AD110"/>
    <mergeCell ref="G110:G111"/>
    <mergeCell ref="I110:I111"/>
    <mergeCell ref="J110:J111"/>
    <mergeCell ref="K110:K111"/>
    <mergeCell ref="L110:L111"/>
    <mergeCell ref="M110:M111"/>
    <mergeCell ref="N110:N111"/>
    <mergeCell ref="O110:O111"/>
    <mergeCell ref="A109:A110"/>
    <mergeCell ref="B109:B110"/>
    <mergeCell ref="D109:D110"/>
    <mergeCell ref="E109:E110"/>
    <mergeCell ref="F109:F110"/>
    <mergeCell ref="H109:H110"/>
    <mergeCell ref="M108:M109"/>
    <mergeCell ref="R107:R108"/>
    <mergeCell ref="W107:W108"/>
    <mergeCell ref="AD107:AD108"/>
    <mergeCell ref="G108:G109"/>
    <mergeCell ref="I108:I109"/>
    <mergeCell ref="J108:J109"/>
    <mergeCell ref="K112:K113"/>
    <mergeCell ref="L112:L113"/>
    <mergeCell ref="M112:M113"/>
    <mergeCell ref="N112:N113"/>
    <mergeCell ref="O112:O113"/>
    <mergeCell ref="V110:V111"/>
    <mergeCell ref="A107:A108"/>
    <mergeCell ref="B107:B108"/>
    <mergeCell ref="D107:D108"/>
    <mergeCell ref="E107:E108"/>
    <mergeCell ref="F107:F108"/>
    <mergeCell ref="Q105:Q106"/>
    <mergeCell ref="R105:R106"/>
    <mergeCell ref="A111:A112"/>
    <mergeCell ref="B111:B112"/>
    <mergeCell ref="D111:D112"/>
    <mergeCell ref="E111:E112"/>
    <mergeCell ref="F111:F112"/>
    <mergeCell ref="H111:H112"/>
    <mergeCell ref="Q111:Q112"/>
    <mergeCell ref="R111:R112"/>
    <mergeCell ref="P112:P113"/>
    <mergeCell ref="W105:W106"/>
    <mergeCell ref="AD105:AD106"/>
    <mergeCell ref="G106:G107"/>
    <mergeCell ref="I106:I107"/>
    <mergeCell ref="J106:J107"/>
    <mergeCell ref="K106:K107"/>
    <mergeCell ref="L106:L107"/>
    <mergeCell ref="M106:M107"/>
    <mergeCell ref="A105:A106"/>
    <mergeCell ref="B105:B106"/>
    <mergeCell ref="D105:D106"/>
    <mergeCell ref="E105:E106"/>
    <mergeCell ref="F105:F106"/>
    <mergeCell ref="H105:H106"/>
    <mergeCell ref="N108:N109"/>
    <mergeCell ref="O108:O109"/>
    <mergeCell ref="P108:P109"/>
    <mergeCell ref="U108:U109"/>
    <mergeCell ref="V108:V109"/>
    <mergeCell ref="Q109:Q110"/>
    <mergeCell ref="R109:R110"/>
    <mergeCell ref="P110:P111"/>
    <mergeCell ref="U110:U111"/>
    <mergeCell ref="H107:H108"/>
    <mergeCell ref="Q107:Q108"/>
    <mergeCell ref="K108:K109"/>
    <mergeCell ref="L108:L109"/>
    <mergeCell ref="N106:N107"/>
    <mergeCell ref="O106:O107"/>
    <mergeCell ref="P106:P107"/>
    <mergeCell ref="U106:U107"/>
    <mergeCell ref="V106:V107"/>
    <mergeCell ref="Q101:Q104"/>
    <mergeCell ref="R101:R104"/>
    <mergeCell ref="U101:U104"/>
    <mergeCell ref="W101:W104"/>
    <mergeCell ref="AB101:AB104"/>
    <mergeCell ref="AD101:AD104"/>
    <mergeCell ref="H96:H97"/>
    <mergeCell ref="Q96:Q97"/>
    <mergeCell ref="R96:R97"/>
    <mergeCell ref="W96:W97"/>
    <mergeCell ref="A98:AD100"/>
    <mergeCell ref="A101:A104"/>
    <mergeCell ref="B101:C104"/>
    <mergeCell ref="N101:N104"/>
    <mergeCell ref="O101:O104"/>
    <mergeCell ref="P101:P104"/>
    <mergeCell ref="N95:N96"/>
    <mergeCell ref="O95:O96"/>
    <mergeCell ref="P95:P96"/>
    <mergeCell ref="U95:U96"/>
    <mergeCell ref="V95:V96"/>
    <mergeCell ref="A96:A97"/>
    <mergeCell ref="B96:B97"/>
    <mergeCell ref="D96:D97"/>
    <mergeCell ref="E96:E97"/>
    <mergeCell ref="F96:F97"/>
    <mergeCell ref="Q94:Q95"/>
    <mergeCell ref="R94:R95"/>
    <mergeCell ref="W94:W95"/>
    <mergeCell ref="AD94:AD97"/>
    <mergeCell ref="G95:G96"/>
    <mergeCell ref="I95:I96"/>
    <mergeCell ref="J95:J96"/>
    <mergeCell ref="K95:K96"/>
    <mergeCell ref="L95:L96"/>
    <mergeCell ref="M95:M96"/>
    <mergeCell ref="O93:O94"/>
    <mergeCell ref="P93:P94"/>
    <mergeCell ref="U93:U94"/>
    <mergeCell ref="V93:V94"/>
    <mergeCell ref="A94:A95"/>
    <mergeCell ref="B94:B95"/>
    <mergeCell ref="D94:D95"/>
    <mergeCell ref="E94:E95"/>
    <mergeCell ref="F94:F95"/>
    <mergeCell ref="H94:H95"/>
    <mergeCell ref="R92:R93"/>
    <mergeCell ref="W92:W93"/>
    <mergeCell ref="AD92:AD93"/>
    <mergeCell ref="G93:G94"/>
    <mergeCell ref="I93:I94"/>
    <mergeCell ref="J93:J94"/>
    <mergeCell ref="K93:K94"/>
    <mergeCell ref="L93:L94"/>
    <mergeCell ref="M93:M94"/>
    <mergeCell ref="N93:N94"/>
    <mergeCell ref="P91:P92"/>
    <mergeCell ref="U91:U92"/>
    <mergeCell ref="V91:V92"/>
    <mergeCell ref="A92:A93"/>
    <mergeCell ref="B92:B93"/>
    <mergeCell ref="D92:D93"/>
    <mergeCell ref="E92:E93"/>
    <mergeCell ref="F92:F93"/>
    <mergeCell ref="H92:H93"/>
    <mergeCell ref="Q92:Q93"/>
    <mergeCell ref="W90:W91"/>
    <mergeCell ref="AD90:AD91"/>
    <mergeCell ref="G91:G92"/>
    <mergeCell ref="I91:I92"/>
    <mergeCell ref="J91:J92"/>
    <mergeCell ref="K91:K92"/>
    <mergeCell ref="L91:L92"/>
    <mergeCell ref="M91:M92"/>
    <mergeCell ref="N91:N92"/>
    <mergeCell ref="O91:O92"/>
    <mergeCell ref="U89:U90"/>
    <mergeCell ref="V89:V90"/>
    <mergeCell ref="A90:A91"/>
    <mergeCell ref="B90:B91"/>
    <mergeCell ref="D90:D91"/>
    <mergeCell ref="E90:E91"/>
    <mergeCell ref="F90:F91"/>
    <mergeCell ref="H90:H91"/>
    <mergeCell ref="Q90:Q91"/>
    <mergeCell ref="R90:R91"/>
    <mergeCell ref="W88:W89"/>
    <mergeCell ref="AD88:AD89"/>
    <mergeCell ref="G89:G90"/>
    <mergeCell ref="I89:I90"/>
    <mergeCell ref="J89:J90"/>
    <mergeCell ref="K89:K90"/>
    <mergeCell ref="L89:L90"/>
    <mergeCell ref="M89:M90"/>
    <mergeCell ref="N89:N90"/>
    <mergeCell ref="O89:O90"/>
    <mergeCell ref="A88:A89"/>
    <mergeCell ref="B88:B89"/>
    <mergeCell ref="D88:D89"/>
    <mergeCell ref="E88:E89"/>
    <mergeCell ref="F88:F89"/>
    <mergeCell ref="H88:H89"/>
    <mergeCell ref="Q88:Q89"/>
    <mergeCell ref="R88:R89"/>
    <mergeCell ref="P89:P90"/>
    <mergeCell ref="W86:W87"/>
    <mergeCell ref="AD86:AD87"/>
    <mergeCell ref="G87:G88"/>
    <mergeCell ref="I87:I88"/>
    <mergeCell ref="J87:J88"/>
    <mergeCell ref="K87:K88"/>
    <mergeCell ref="L87:L88"/>
    <mergeCell ref="M87:M88"/>
    <mergeCell ref="N87:N88"/>
    <mergeCell ref="O87:O88"/>
    <mergeCell ref="A86:A87"/>
    <mergeCell ref="B86:B87"/>
    <mergeCell ref="D86:D87"/>
    <mergeCell ref="E86:E87"/>
    <mergeCell ref="F86:F87"/>
    <mergeCell ref="H86:H87"/>
    <mergeCell ref="M85:M86"/>
    <mergeCell ref="N85:N86"/>
    <mergeCell ref="O85:O86"/>
    <mergeCell ref="P85:P86"/>
    <mergeCell ref="U85:U86"/>
    <mergeCell ref="V85:V86"/>
    <mergeCell ref="Q86:Q87"/>
    <mergeCell ref="R86:R87"/>
    <mergeCell ref="P87:P88"/>
    <mergeCell ref="U87:U88"/>
    <mergeCell ref="H84:H85"/>
    <mergeCell ref="Q84:Q85"/>
    <mergeCell ref="R84:R85"/>
    <mergeCell ref="W84:W85"/>
    <mergeCell ref="AD84:AD85"/>
    <mergeCell ref="G85:G86"/>
    <mergeCell ref="I85:I86"/>
    <mergeCell ref="J85:J86"/>
    <mergeCell ref="K85:K86"/>
    <mergeCell ref="L85:L86"/>
    <mergeCell ref="N83:N84"/>
    <mergeCell ref="O83:O84"/>
    <mergeCell ref="P83:P84"/>
    <mergeCell ref="U83:U84"/>
    <mergeCell ref="V83:V84"/>
    <mergeCell ref="V87:V88"/>
    <mergeCell ref="A84:A85"/>
    <mergeCell ref="B84:B85"/>
    <mergeCell ref="D84:D85"/>
    <mergeCell ref="E84:E85"/>
    <mergeCell ref="F84:F85"/>
    <mergeCell ref="Q82:Q83"/>
    <mergeCell ref="R82:R83"/>
    <mergeCell ref="W82:W83"/>
    <mergeCell ref="AD82:AD83"/>
    <mergeCell ref="G83:G84"/>
    <mergeCell ref="I83:I84"/>
    <mergeCell ref="J83:J84"/>
    <mergeCell ref="K83:K84"/>
    <mergeCell ref="L83:L84"/>
    <mergeCell ref="M83:M84"/>
    <mergeCell ref="O81:O82"/>
    <mergeCell ref="P81:P82"/>
    <mergeCell ref="U81:U82"/>
    <mergeCell ref="V81:V82"/>
    <mergeCell ref="A82:A83"/>
    <mergeCell ref="B82:B83"/>
    <mergeCell ref="D82:D83"/>
    <mergeCell ref="E82:E83"/>
    <mergeCell ref="F82:F83"/>
    <mergeCell ref="H82:H83"/>
    <mergeCell ref="R80:R81"/>
    <mergeCell ref="W80:W81"/>
    <mergeCell ref="AD80:AD81"/>
    <mergeCell ref="G81:G82"/>
    <mergeCell ref="I81:I82"/>
    <mergeCell ref="J81:J82"/>
    <mergeCell ref="K81:K82"/>
    <mergeCell ref="L81:L82"/>
    <mergeCell ref="M81:M82"/>
    <mergeCell ref="N81:N82"/>
    <mergeCell ref="P79:P80"/>
    <mergeCell ref="U79:U80"/>
    <mergeCell ref="V79:V80"/>
    <mergeCell ref="A80:A81"/>
    <mergeCell ref="B80:B81"/>
    <mergeCell ref="D80:D81"/>
    <mergeCell ref="E80:E81"/>
    <mergeCell ref="F80:F81"/>
    <mergeCell ref="H80:H81"/>
    <mergeCell ref="Q80:Q81"/>
    <mergeCell ref="W78:W79"/>
    <mergeCell ref="AD78:AD79"/>
    <mergeCell ref="G79:G80"/>
    <mergeCell ref="I79:I80"/>
    <mergeCell ref="J79:J80"/>
    <mergeCell ref="K79:K80"/>
    <mergeCell ref="L79:L80"/>
    <mergeCell ref="M79:M80"/>
    <mergeCell ref="N79:N80"/>
    <mergeCell ref="O79:O80"/>
    <mergeCell ref="U77:U78"/>
    <mergeCell ref="V77:V78"/>
    <mergeCell ref="A78:A79"/>
    <mergeCell ref="B78:B79"/>
    <mergeCell ref="D78:D79"/>
    <mergeCell ref="E78:E79"/>
    <mergeCell ref="F78:F79"/>
    <mergeCell ref="H78:H79"/>
    <mergeCell ref="Q78:Q79"/>
    <mergeCell ref="R78:R79"/>
    <mergeCell ref="W76:W77"/>
    <mergeCell ref="AD76:AD77"/>
    <mergeCell ref="G77:G78"/>
    <mergeCell ref="I77:I78"/>
    <mergeCell ref="J77:J78"/>
    <mergeCell ref="K77:K78"/>
    <mergeCell ref="L77:L78"/>
    <mergeCell ref="M77:M78"/>
    <mergeCell ref="N77:N78"/>
    <mergeCell ref="O77:O78"/>
    <mergeCell ref="V75:V76"/>
    <mergeCell ref="A76:A77"/>
    <mergeCell ref="B76:B77"/>
    <mergeCell ref="D76:D77"/>
    <mergeCell ref="E76:E77"/>
    <mergeCell ref="F76:F77"/>
    <mergeCell ref="H76:H77"/>
    <mergeCell ref="Q76:Q77"/>
    <mergeCell ref="R76:R77"/>
    <mergeCell ref="P77:P78"/>
    <mergeCell ref="W74:W75"/>
    <mergeCell ref="AD74:AD75"/>
    <mergeCell ref="G75:G76"/>
    <mergeCell ref="I75:I76"/>
    <mergeCell ref="J75:J76"/>
    <mergeCell ref="K75:K76"/>
    <mergeCell ref="L75:L76"/>
    <mergeCell ref="M75:M76"/>
    <mergeCell ref="N75:N76"/>
    <mergeCell ref="O75:O76"/>
    <mergeCell ref="A74:A75"/>
    <mergeCell ref="B74:B75"/>
    <mergeCell ref="D74:D75"/>
    <mergeCell ref="E74:E75"/>
    <mergeCell ref="F74:F75"/>
    <mergeCell ref="H74:H75"/>
    <mergeCell ref="M73:M74"/>
    <mergeCell ref="N73:N74"/>
    <mergeCell ref="O73:O74"/>
    <mergeCell ref="P73:P74"/>
    <mergeCell ref="U73:U74"/>
    <mergeCell ref="V73:V74"/>
    <mergeCell ref="Q74:Q75"/>
    <mergeCell ref="R74:R75"/>
    <mergeCell ref="P75:P76"/>
    <mergeCell ref="U75:U76"/>
    <mergeCell ref="H72:H73"/>
    <mergeCell ref="Q72:Q73"/>
    <mergeCell ref="R72:R73"/>
    <mergeCell ref="W72:W73"/>
    <mergeCell ref="AD72:AD73"/>
    <mergeCell ref="G73:G74"/>
    <mergeCell ref="I73:I74"/>
    <mergeCell ref="J73:J74"/>
    <mergeCell ref="K73:K74"/>
    <mergeCell ref="L73:L74"/>
    <mergeCell ref="N71:N72"/>
    <mergeCell ref="O71:O72"/>
    <mergeCell ref="P71:P72"/>
    <mergeCell ref="U71:U72"/>
    <mergeCell ref="V71:V72"/>
    <mergeCell ref="A72:A73"/>
    <mergeCell ref="B72:B73"/>
    <mergeCell ref="D72:D73"/>
    <mergeCell ref="E72:E73"/>
    <mergeCell ref="F72:F73"/>
    <mergeCell ref="Q70:Q71"/>
    <mergeCell ref="R70:R71"/>
    <mergeCell ref="W70:W71"/>
    <mergeCell ref="AD70:AD71"/>
    <mergeCell ref="G71:G72"/>
    <mergeCell ref="I71:I72"/>
    <mergeCell ref="J71:J72"/>
    <mergeCell ref="K71:K72"/>
    <mergeCell ref="L71:L72"/>
    <mergeCell ref="M71:M72"/>
    <mergeCell ref="O69:O70"/>
    <mergeCell ref="P69:P70"/>
    <mergeCell ref="U69:U70"/>
    <mergeCell ref="V69:V70"/>
    <mergeCell ref="A70:A71"/>
    <mergeCell ref="B70:B71"/>
    <mergeCell ref="D70:D71"/>
    <mergeCell ref="E70:E71"/>
    <mergeCell ref="F70:F71"/>
    <mergeCell ref="H70:H71"/>
    <mergeCell ref="R68:R69"/>
    <mergeCell ref="W68:W69"/>
    <mergeCell ref="AD68:AD69"/>
    <mergeCell ref="G69:G70"/>
    <mergeCell ref="I69:I70"/>
    <mergeCell ref="J69:J70"/>
    <mergeCell ref="K69:K70"/>
    <mergeCell ref="L69:L70"/>
    <mergeCell ref="M69:M70"/>
    <mergeCell ref="N69:N70"/>
    <mergeCell ref="P67:P68"/>
    <mergeCell ref="U67:U68"/>
    <mergeCell ref="V67:V68"/>
    <mergeCell ref="A68:A69"/>
    <mergeCell ref="B68:B69"/>
    <mergeCell ref="D68:D69"/>
    <mergeCell ref="E68:E69"/>
    <mergeCell ref="F68:F69"/>
    <mergeCell ref="H68:H69"/>
    <mergeCell ref="Q68:Q69"/>
    <mergeCell ref="W66:W67"/>
    <mergeCell ref="AD66:AD67"/>
    <mergeCell ref="G67:G68"/>
    <mergeCell ref="I67:I68"/>
    <mergeCell ref="J67:J68"/>
    <mergeCell ref="K67:K68"/>
    <mergeCell ref="L67:L68"/>
    <mergeCell ref="M67:M68"/>
    <mergeCell ref="N67:N68"/>
    <mergeCell ref="O67:O68"/>
    <mergeCell ref="U65:U66"/>
    <mergeCell ref="V65:V66"/>
    <mergeCell ref="A66:A67"/>
    <mergeCell ref="B66:B67"/>
    <mergeCell ref="D66:D67"/>
    <mergeCell ref="E66:E67"/>
    <mergeCell ref="F66:F67"/>
    <mergeCell ref="H66:H67"/>
    <mergeCell ref="Q66:Q67"/>
    <mergeCell ref="R66:R67"/>
    <mergeCell ref="W64:W65"/>
    <mergeCell ref="AD64:AD65"/>
    <mergeCell ref="G65:G66"/>
    <mergeCell ref="I65:I66"/>
    <mergeCell ref="J65:J66"/>
    <mergeCell ref="K65:K66"/>
    <mergeCell ref="L65:L66"/>
    <mergeCell ref="M65:M66"/>
    <mergeCell ref="N65:N66"/>
    <mergeCell ref="O65:O66"/>
    <mergeCell ref="V63:V64"/>
    <mergeCell ref="A64:A65"/>
    <mergeCell ref="B64:B65"/>
    <mergeCell ref="D64:D65"/>
    <mergeCell ref="E64:E65"/>
    <mergeCell ref="F64:F65"/>
    <mergeCell ref="H64:H65"/>
    <mergeCell ref="Q64:Q65"/>
    <mergeCell ref="R64:R65"/>
    <mergeCell ref="P65:P66"/>
    <mergeCell ref="W62:W63"/>
    <mergeCell ref="AD62:AD63"/>
    <mergeCell ref="G63:G64"/>
    <mergeCell ref="I63:I64"/>
    <mergeCell ref="J63:J64"/>
    <mergeCell ref="K63:K64"/>
    <mergeCell ref="L63:L64"/>
    <mergeCell ref="M63:M64"/>
    <mergeCell ref="N63:N64"/>
    <mergeCell ref="O63:O64"/>
    <mergeCell ref="A62:A63"/>
    <mergeCell ref="B62:B63"/>
    <mergeCell ref="D62:D63"/>
    <mergeCell ref="E62:E63"/>
    <mergeCell ref="F62:F63"/>
    <mergeCell ref="H62:H63"/>
    <mergeCell ref="M61:M62"/>
    <mergeCell ref="P63:P64"/>
    <mergeCell ref="U63:U64"/>
    <mergeCell ref="H60:H61"/>
    <mergeCell ref="Q60:Q61"/>
    <mergeCell ref="R60:R61"/>
    <mergeCell ref="W60:W61"/>
    <mergeCell ref="AD60:AD61"/>
    <mergeCell ref="G61:G62"/>
    <mergeCell ref="I61:I62"/>
    <mergeCell ref="J61:J62"/>
    <mergeCell ref="K61:K62"/>
    <mergeCell ref="L61:L62"/>
    <mergeCell ref="N59:N60"/>
    <mergeCell ref="O59:O60"/>
    <mergeCell ref="P59:P60"/>
    <mergeCell ref="U59:U60"/>
    <mergeCell ref="V59:V60"/>
    <mergeCell ref="A60:A61"/>
    <mergeCell ref="B60:B61"/>
    <mergeCell ref="D60:D61"/>
    <mergeCell ref="E60:E61"/>
    <mergeCell ref="F60:F61"/>
    <mergeCell ref="Q58:Q59"/>
    <mergeCell ref="R58:R59"/>
    <mergeCell ref="W58:W59"/>
    <mergeCell ref="AD58:AD59"/>
    <mergeCell ref="G59:G60"/>
    <mergeCell ref="I59:I60"/>
    <mergeCell ref="J59:J60"/>
    <mergeCell ref="K59:K60"/>
    <mergeCell ref="L59:L60"/>
    <mergeCell ref="M59:M60"/>
    <mergeCell ref="U54:U57"/>
    <mergeCell ref="W54:W57"/>
    <mergeCell ref="AB54:AB57"/>
    <mergeCell ref="AD54:AD57"/>
    <mergeCell ref="A58:A59"/>
    <mergeCell ref="B58:B59"/>
    <mergeCell ref="D58:D59"/>
    <mergeCell ref="E58:E59"/>
    <mergeCell ref="F58:F59"/>
    <mergeCell ref="H58:H59"/>
    <mergeCell ref="N61:N62"/>
    <mergeCell ref="O61:O62"/>
    <mergeCell ref="P61:P62"/>
    <mergeCell ref="U61:U62"/>
    <mergeCell ref="V61:V62"/>
    <mergeCell ref="Q62:Q63"/>
    <mergeCell ref="R62:R63"/>
    <mergeCell ref="W47:W48"/>
    <mergeCell ref="B49:B50"/>
    <mergeCell ref="A52:AD53"/>
    <mergeCell ref="A54:A57"/>
    <mergeCell ref="B54:C57"/>
    <mergeCell ref="N54:N57"/>
    <mergeCell ref="O54:O57"/>
    <mergeCell ref="P54:P57"/>
    <mergeCell ref="Q54:Q57"/>
    <mergeCell ref="R54:R57"/>
    <mergeCell ref="A47:A48"/>
    <mergeCell ref="B47:B48"/>
    <mergeCell ref="D47:D48"/>
    <mergeCell ref="E47:E48"/>
    <mergeCell ref="F47:F48"/>
    <mergeCell ref="H47:H48"/>
    <mergeCell ref="M46:M47"/>
    <mergeCell ref="N46:N47"/>
    <mergeCell ref="O46:O47"/>
    <mergeCell ref="P46:P47"/>
    <mergeCell ref="U46:U47"/>
    <mergeCell ref="V46:V47"/>
    <mergeCell ref="Q47:Q48"/>
    <mergeCell ref="R47:R48"/>
    <mergeCell ref="H45:H46"/>
    <mergeCell ref="Q45:Q46"/>
    <mergeCell ref="R45:R46"/>
    <mergeCell ref="W45:W46"/>
    <mergeCell ref="AD45:AD48"/>
    <mergeCell ref="G46:G47"/>
    <mergeCell ref="I46:I47"/>
    <mergeCell ref="J46:J47"/>
    <mergeCell ref="K46:K47"/>
    <mergeCell ref="L46:L47"/>
    <mergeCell ref="N44:N45"/>
    <mergeCell ref="O44:O45"/>
    <mergeCell ref="P44:P45"/>
    <mergeCell ref="U44:U45"/>
    <mergeCell ref="V44:V45"/>
    <mergeCell ref="A45:A46"/>
    <mergeCell ref="B45:B46"/>
    <mergeCell ref="D45:D46"/>
    <mergeCell ref="E45:E46"/>
    <mergeCell ref="F45:F46"/>
    <mergeCell ref="Q43:Q44"/>
    <mergeCell ref="R43:R44"/>
    <mergeCell ref="W43:W44"/>
    <mergeCell ref="AD43:AD44"/>
    <mergeCell ref="G44:G45"/>
    <mergeCell ref="I44:I45"/>
    <mergeCell ref="J44:J45"/>
    <mergeCell ref="K44:K45"/>
    <mergeCell ref="L44:L45"/>
    <mergeCell ref="M44:M45"/>
    <mergeCell ref="O42:O43"/>
    <mergeCell ref="P42:P43"/>
    <mergeCell ref="U42:U43"/>
    <mergeCell ref="V42:V43"/>
    <mergeCell ref="A43:A44"/>
    <mergeCell ref="B43:B44"/>
    <mergeCell ref="D43:D44"/>
    <mergeCell ref="E43:E44"/>
    <mergeCell ref="F43:F44"/>
    <mergeCell ref="H43:H44"/>
    <mergeCell ref="R41:R42"/>
    <mergeCell ref="W41:W42"/>
    <mergeCell ref="AD41:AD42"/>
    <mergeCell ref="G42:G43"/>
    <mergeCell ref="I42:I43"/>
    <mergeCell ref="J42:J43"/>
    <mergeCell ref="K42:K43"/>
    <mergeCell ref="L42:L43"/>
    <mergeCell ref="M42:M43"/>
    <mergeCell ref="N42:N43"/>
    <mergeCell ref="P40:P41"/>
    <mergeCell ref="U40:U41"/>
    <mergeCell ref="V40:V41"/>
    <mergeCell ref="A41:A42"/>
    <mergeCell ref="B41:B42"/>
    <mergeCell ref="D41:D42"/>
    <mergeCell ref="E41:E42"/>
    <mergeCell ref="F41:F42"/>
    <mergeCell ref="H41:H42"/>
    <mergeCell ref="Q41:Q42"/>
    <mergeCell ref="W39:W40"/>
    <mergeCell ref="AD39:AD40"/>
    <mergeCell ref="G40:G41"/>
    <mergeCell ref="I40:I41"/>
    <mergeCell ref="J40:J41"/>
    <mergeCell ref="K40:K41"/>
    <mergeCell ref="L40:L41"/>
    <mergeCell ref="M40:M41"/>
    <mergeCell ref="N40:N41"/>
    <mergeCell ref="O40:O41"/>
    <mergeCell ref="U38:U39"/>
    <mergeCell ref="V38:V39"/>
    <mergeCell ref="A39:A40"/>
    <mergeCell ref="B39:B40"/>
    <mergeCell ref="D39:D40"/>
    <mergeCell ref="E39:E40"/>
    <mergeCell ref="F39:F40"/>
    <mergeCell ref="H39:H40"/>
    <mergeCell ref="Q39:Q40"/>
    <mergeCell ref="R39:R40"/>
    <mergeCell ref="W37:W38"/>
    <mergeCell ref="AD37:AD38"/>
    <mergeCell ref="G38:G39"/>
    <mergeCell ref="I38:I39"/>
    <mergeCell ref="J38:J39"/>
    <mergeCell ref="K38:K39"/>
    <mergeCell ref="L38:L39"/>
    <mergeCell ref="M38:M39"/>
    <mergeCell ref="N38:N39"/>
    <mergeCell ref="O38:O39"/>
    <mergeCell ref="V36:V37"/>
    <mergeCell ref="A37:A38"/>
    <mergeCell ref="B37:B38"/>
    <mergeCell ref="D37:D38"/>
    <mergeCell ref="E37:E38"/>
    <mergeCell ref="F37:F38"/>
    <mergeCell ref="H37:H38"/>
    <mergeCell ref="Q37:Q38"/>
    <mergeCell ref="R37:R38"/>
    <mergeCell ref="P38:P39"/>
    <mergeCell ref="W35:W36"/>
    <mergeCell ref="AD35:AD36"/>
    <mergeCell ref="G36:G37"/>
    <mergeCell ref="I36:I37"/>
    <mergeCell ref="J36:J37"/>
    <mergeCell ref="K36:K37"/>
    <mergeCell ref="L36:L37"/>
    <mergeCell ref="M36:M37"/>
    <mergeCell ref="N36:N37"/>
    <mergeCell ref="O36:O37"/>
    <mergeCell ref="A35:A36"/>
    <mergeCell ref="B35:B36"/>
    <mergeCell ref="D35:D36"/>
    <mergeCell ref="E35:E36"/>
    <mergeCell ref="F35:F36"/>
    <mergeCell ref="H35:H36"/>
    <mergeCell ref="M34:M35"/>
    <mergeCell ref="N34:N35"/>
    <mergeCell ref="O34:O35"/>
    <mergeCell ref="P34:P35"/>
    <mergeCell ref="U34:U35"/>
    <mergeCell ref="A33:A34"/>
    <mergeCell ref="B33:B34"/>
    <mergeCell ref="D33:D34"/>
    <mergeCell ref="E33:E34"/>
    <mergeCell ref="F33:F34"/>
    <mergeCell ref="V34:V35"/>
    <mergeCell ref="Q35:Q36"/>
    <mergeCell ref="R35:R36"/>
    <mergeCell ref="P36:P37"/>
    <mergeCell ref="U36:U37"/>
    <mergeCell ref="H33:H34"/>
    <mergeCell ref="Q33:Q34"/>
    <mergeCell ref="R33:R34"/>
    <mergeCell ref="W33:W34"/>
    <mergeCell ref="AD33:AD34"/>
    <mergeCell ref="G34:G35"/>
    <mergeCell ref="I34:I35"/>
    <mergeCell ref="J34:J35"/>
    <mergeCell ref="K34:K35"/>
    <mergeCell ref="L34:L35"/>
    <mergeCell ref="N32:N33"/>
    <mergeCell ref="O32:O33"/>
    <mergeCell ref="P32:P33"/>
    <mergeCell ref="U32:U33"/>
    <mergeCell ref="V32:V33"/>
    <mergeCell ref="Q31:Q32"/>
    <mergeCell ref="R31:R32"/>
    <mergeCell ref="W31:W32"/>
    <mergeCell ref="AD31:AD32"/>
    <mergeCell ref="G32:G33"/>
    <mergeCell ref="I32:I33"/>
    <mergeCell ref="J32:J33"/>
    <mergeCell ref="K32:K33"/>
    <mergeCell ref="L32:L33"/>
    <mergeCell ref="M32:M33"/>
    <mergeCell ref="O30:O31"/>
    <mergeCell ref="P30:P31"/>
    <mergeCell ref="U30:U31"/>
    <mergeCell ref="V30:V31"/>
    <mergeCell ref="A31:A32"/>
    <mergeCell ref="B31:B32"/>
    <mergeCell ref="D31:D32"/>
    <mergeCell ref="E31:E32"/>
    <mergeCell ref="F31:F32"/>
    <mergeCell ref="H31:H32"/>
    <mergeCell ref="R29:R30"/>
    <mergeCell ref="W29:W30"/>
    <mergeCell ref="AD29:AD30"/>
    <mergeCell ref="G30:G31"/>
    <mergeCell ref="I30:I31"/>
    <mergeCell ref="J30:J31"/>
    <mergeCell ref="K30:K31"/>
    <mergeCell ref="L30:L31"/>
    <mergeCell ref="M30:M31"/>
    <mergeCell ref="N30:N31"/>
    <mergeCell ref="P28:P29"/>
    <mergeCell ref="U28:U29"/>
    <mergeCell ref="V28:V29"/>
    <mergeCell ref="A29:A30"/>
    <mergeCell ref="B29:B30"/>
    <mergeCell ref="D29:D30"/>
    <mergeCell ref="E29:E30"/>
    <mergeCell ref="F29:F30"/>
    <mergeCell ref="H29:H30"/>
    <mergeCell ref="Q29:Q30"/>
    <mergeCell ref="W27:W28"/>
    <mergeCell ref="AD27:AD28"/>
    <mergeCell ref="G28:G29"/>
    <mergeCell ref="I28:I29"/>
    <mergeCell ref="J28:J29"/>
    <mergeCell ref="K28:K29"/>
    <mergeCell ref="L28:L29"/>
    <mergeCell ref="M28:M29"/>
    <mergeCell ref="N28:N29"/>
    <mergeCell ref="O28:O29"/>
    <mergeCell ref="U26:U27"/>
    <mergeCell ref="V26:V27"/>
    <mergeCell ref="A27:A28"/>
    <mergeCell ref="B27:B28"/>
    <mergeCell ref="D27:D28"/>
    <mergeCell ref="E27:E28"/>
    <mergeCell ref="F27:F28"/>
    <mergeCell ref="H27:H28"/>
    <mergeCell ref="Q27:Q28"/>
    <mergeCell ref="R27:R28"/>
    <mergeCell ref="W25:W26"/>
    <mergeCell ref="AD25:AD26"/>
    <mergeCell ref="G26:G27"/>
    <mergeCell ref="I26:I27"/>
    <mergeCell ref="J26:J27"/>
    <mergeCell ref="K26:K27"/>
    <mergeCell ref="L26:L27"/>
    <mergeCell ref="M26:M27"/>
    <mergeCell ref="N26:N27"/>
    <mergeCell ref="O26:O27"/>
    <mergeCell ref="V24:V25"/>
    <mergeCell ref="A25:A26"/>
    <mergeCell ref="B25:B26"/>
    <mergeCell ref="D25:D26"/>
    <mergeCell ref="E25:E26"/>
    <mergeCell ref="F25:F26"/>
    <mergeCell ref="H25:H26"/>
    <mergeCell ref="Q25:Q26"/>
    <mergeCell ref="R25:R26"/>
    <mergeCell ref="P26:P27"/>
    <mergeCell ref="W23:W24"/>
    <mergeCell ref="AD23:AD24"/>
    <mergeCell ref="G24:G25"/>
    <mergeCell ref="I24:I25"/>
    <mergeCell ref="J24:J25"/>
    <mergeCell ref="K24:K25"/>
    <mergeCell ref="L24:L25"/>
    <mergeCell ref="M24:M25"/>
    <mergeCell ref="N24:N25"/>
    <mergeCell ref="O24:O25"/>
    <mergeCell ref="A23:A24"/>
    <mergeCell ref="B23:B24"/>
    <mergeCell ref="D23:D24"/>
    <mergeCell ref="E23:E24"/>
    <mergeCell ref="F23:F24"/>
    <mergeCell ref="H23:H24"/>
    <mergeCell ref="M22:M23"/>
    <mergeCell ref="N22:N23"/>
    <mergeCell ref="O22:O23"/>
    <mergeCell ref="P22:P23"/>
    <mergeCell ref="U22:U23"/>
    <mergeCell ref="V22:V23"/>
    <mergeCell ref="Q23:Q24"/>
    <mergeCell ref="R23:R24"/>
    <mergeCell ref="P24:P25"/>
    <mergeCell ref="U24:U25"/>
    <mergeCell ref="H21:H22"/>
    <mergeCell ref="Q21:Q22"/>
    <mergeCell ref="R21:R22"/>
    <mergeCell ref="W21:W22"/>
    <mergeCell ref="AD21:AD22"/>
    <mergeCell ref="G22:G23"/>
    <mergeCell ref="I22:I23"/>
    <mergeCell ref="J22:J23"/>
    <mergeCell ref="K22:K23"/>
    <mergeCell ref="L22:L23"/>
    <mergeCell ref="N20:N21"/>
    <mergeCell ref="O20:O21"/>
    <mergeCell ref="P20:P21"/>
    <mergeCell ref="U20:U21"/>
    <mergeCell ref="V20:V21"/>
    <mergeCell ref="A21:A22"/>
    <mergeCell ref="B21:B22"/>
    <mergeCell ref="D21:D22"/>
    <mergeCell ref="E21:E22"/>
    <mergeCell ref="F21:F22"/>
    <mergeCell ref="Q19:Q20"/>
    <mergeCell ref="R19:R20"/>
    <mergeCell ref="W19:W20"/>
    <mergeCell ref="AD19:AD20"/>
    <mergeCell ref="G20:G21"/>
    <mergeCell ref="I20:I21"/>
    <mergeCell ref="J20:J21"/>
    <mergeCell ref="K20:K21"/>
    <mergeCell ref="L20:L21"/>
    <mergeCell ref="M20:M21"/>
    <mergeCell ref="O18:O19"/>
    <mergeCell ref="P18:P19"/>
    <mergeCell ref="U18:U19"/>
    <mergeCell ref="V18:V19"/>
    <mergeCell ref="A19:A20"/>
    <mergeCell ref="B19:B20"/>
    <mergeCell ref="D19:D20"/>
    <mergeCell ref="E19:E20"/>
    <mergeCell ref="F19:F20"/>
    <mergeCell ref="H19:H20"/>
    <mergeCell ref="R17:R18"/>
    <mergeCell ref="W17:W18"/>
    <mergeCell ref="AD17:AD18"/>
    <mergeCell ref="G18:G19"/>
    <mergeCell ref="I18:I19"/>
    <mergeCell ref="J18:J19"/>
    <mergeCell ref="K18:K19"/>
    <mergeCell ref="L18:L19"/>
    <mergeCell ref="M18:M19"/>
    <mergeCell ref="N18:N19"/>
    <mergeCell ref="P16:P17"/>
    <mergeCell ref="U16:U17"/>
    <mergeCell ref="V16:V17"/>
    <mergeCell ref="W15:W16"/>
    <mergeCell ref="AD15:AD16"/>
    <mergeCell ref="G16:G17"/>
    <mergeCell ref="I16:I17"/>
    <mergeCell ref="J16:J17"/>
    <mergeCell ref="K16:K17"/>
    <mergeCell ref="L16:L17"/>
    <mergeCell ref="M16:M17"/>
    <mergeCell ref="N16:N17"/>
    <mergeCell ref="O16:O17"/>
    <mergeCell ref="U14:U15"/>
    <mergeCell ref="V14:V15"/>
    <mergeCell ref="A15:A16"/>
    <mergeCell ref="B15:B16"/>
    <mergeCell ref="D15:D16"/>
    <mergeCell ref="E15:E16"/>
    <mergeCell ref="F15:F16"/>
    <mergeCell ref="H15:H16"/>
    <mergeCell ref="Q15:Q16"/>
    <mergeCell ref="R15:R16"/>
    <mergeCell ref="W13:W14"/>
    <mergeCell ref="AD13:AD14"/>
    <mergeCell ref="G14:G15"/>
    <mergeCell ref="I14:I15"/>
    <mergeCell ref="J14:J15"/>
    <mergeCell ref="M12:M13"/>
    <mergeCell ref="N12:N13"/>
    <mergeCell ref="O12:O13"/>
    <mergeCell ref="A11:A12"/>
    <mergeCell ref="B11:B12"/>
    <mergeCell ref="D11:D12"/>
    <mergeCell ref="E11:E12"/>
    <mergeCell ref="F11:F12"/>
    <mergeCell ref="H11:H12"/>
    <mergeCell ref="M10:M11"/>
    <mergeCell ref="W11:W12"/>
    <mergeCell ref="AD11:AD12"/>
    <mergeCell ref="G12:G13"/>
    <mergeCell ref="I12:I13"/>
    <mergeCell ref="J12:J13"/>
    <mergeCell ref="K12:K13"/>
    <mergeCell ref="L12:L13"/>
    <mergeCell ref="A17:A18"/>
    <mergeCell ref="B17:B18"/>
    <mergeCell ref="D17:D18"/>
    <mergeCell ref="E17:E18"/>
    <mergeCell ref="F17:F18"/>
    <mergeCell ref="H17:H18"/>
    <mergeCell ref="Q17:Q18"/>
    <mergeCell ref="H9:H10"/>
    <mergeCell ref="Q9:Q10"/>
    <mergeCell ref="R9:R10"/>
    <mergeCell ref="W9:W10"/>
    <mergeCell ref="AD9:AD10"/>
    <mergeCell ref="G10:G11"/>
    <mergeCell ref="I10:I11"/>
    <mergeCell ref="J10:J11"/>
    <mergeCell ref="K10:K11"/>
    <mergeCell ref="L10:L11"/>
    <mergeCell ref="K14:K15"/>
    <mergeCell ref="L14:L15"/>
    <mergeCell ref="M14:M15"/>
    <mergeCell ref="N14:N15"/>
    <mergeCell ref="O14:O15"/>
    <mergeCell ref="V12:V13"/>
    <mergeCell ref="A13:A14"/>
    <mergeCell ref="B13:B14"/>
    <mergeCell ref="D13:D14"/>
    <mergeCell ref="E13:E14"/>
    <mergeCell ref="F13:F14"/>
    <mergeCell ref="H13:H14"/>
    <mergeCell ref="Q13:Q14"/>
    <mergeCell ref="R13:R14"/>
    <mergeCell ref="P14:P15"/>
    <mergeCell ref="R5:R8"/>
    <mergeCell ref="U5:U8"/>
    <mergeCell ref="W5:W8"/>
    <mergeCell ref="AB5:AB8"/>
    <mergeCell ref="AD5:AD8"/>
    <mergeCell ref="A9:A10"/>
    <mergeCell ref="B9:B10"/>
    <mergeCell ref="D9:D10"/>
    <mergeCell ref="E9:E10"/>
    <mergeCell ref="F9:F10"/>
    <mergeCell ref="A5:A8"/>
    <mergeCell ref="B5:C8"/>
    <mergeCell ref="N5:N8"/>
    <mergeCell ref="O5:O8"/>
    <mergeCell ref="P5:P8"/>
    <mergeCell ref="Q5:Q8"/>
    <mergeCell ref="A1:AD1"/>
    <mergeCell ref="A2:AD2"/>
    <mergeCell ref="A3:B3"/>
    <mergeCell ref="N3:O3"/>
    <mergeCell ref="R3:U3"/>
    <mergeCell ref="V3:Z3"/>
    <mergeCell ref="AA3:AC3"/>
    <mergeCell ref="N10:N11"/>
    <mergeCell ref="O10:O11"/>
    <mergeCell ref="P10:P11"/>
    <mergeCell ref="U10:U11"/>
    <mergeCell ref="V10:V11"/>
    <mergeCell ref="Q11:Q12"/>
    <mergeCell ref="R11:R12"/>
    <mergeCell ref="P12:P13"/>
    <mergeCell ref="U12:U13"/>
  </mergeCells>
  <printOptions horizontalCentered="1" verticalCentered="1"/>
  <pageMargins left="0" right="0" top="0" bottom="0" header="0.3" footer="0.3"/>
  <pageSetup paperSize="9" scale="65" orientation="landscape" horizontalDpi="4294967293" verticalDpi="360" r:id="rId1"/>
  <rowBreaks count="2" manualBreakCount="2">
    <brk id="53" max="29" man="1"/>
    <brk id="100" max="29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29"/>
  <sheetViews>
    <sheetView view="pageBreakPreview" topLeftCell="C12" zoomScale="86" zoomScaleSheetLayoutView="86" workbookViewId="0">
      <selection activeCell="X15" sqref="X15:AC26"/>
    </sheetView>
  </sheetViews>
  <sheetFormatPr defaultColWidth="9" defaultRowHeight="13.5"/>
  <cols>
    <col min="1" max="1" width="5.25" style="13" customWidth="1"/>
    <col min="2" max="2" width="20.25" style="13" customWidth="1"/>
    <col min="3" max="3" width="12.875" style="89" customWidth="1"/>
    <col min="4" max="4" width="9.875" style="39" hidden="1" customWidth="1"/>
    <col min="5" max="5" width="9.375" style="39" hidden="1" customWidth="1"/>
    <col min="6" max="6" width="7.125" style="39" hidden="1" customWidth="1"/>
    <col min="7" max="7" width="16.25" style="39" hidden="1" customWidth="1"/>
    <col min="8" max="9" width="15.375" style="39" hidden="1" customWidth="1"/>
    <col min="10" max="10" width="8.625" style="39" hidden="1" customWidth="1"/>
    <col min="11" max="11" width="7.25" style="39" hidden="1" customWidth="1"/>
    <col min="12" max="13" width="9.375" style="39" hidden="1" customWidth="1"/>
    <col min="14" max="14" width="7.25" style="40" customWidth="1"/>
    <col min="15" max="15" width="8.375" style="41" customWidth="1"/>
    <col min="16" max="16" width="6.625" style="41" customWidth="1"/>
    <col min="17" max="17" width="8.375" style="42" customWidth="1"/>
    <col min="18" max="18" width="8" style="42" customWidth="1"/>
    <col min="19" max="19" width="13.75" style="89" customWidth="1"/>
    <col min="20" max="20" width="0.25" style="89" hidden="1" customWidth="1"/>
    <col min="21" max="21" width="8.375" style="24" customWidth="1"/>
    <col min="22" max="22" width="0.375" style="43" hidden="1" customWidth="1"/>
    <col min="23" max="23" width="15.5" style="47" customWidth="1"/>
    <col min="24" max="25" width="9.625" style="89" customWidth="1"/>
    <col min="26" max="27" width="5.875" style="89" customWidth="1"/>
    <col min="28" max="28" width="8.5" style="89" customWidth="1"/>
    <col min="29" max="29" width="7.875" style="89" customWidth="1"/>
    <col min="30" max="30" width="52.75" style="13" customWidth="1"/>
    <col min="31" max="16384" width="9" style="13"/>
  </cols>
  <sheetData>
    <row r="1" spans="1:30" s="1" customFormat="1" ht="30.75" customHeight="1">
      <c r="A1" s="525" t="s">
        <v>31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</row>
    <row r="2" spans="1:30" s="1" customFormat="1" ht="23.25" customHeight="1">
      <c r="A2" s="526" t="s">
        <v>50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</row>
    <row r="3" spans="1:30" s="1" customFormat="1" ht="15.95" customHeight="1">
      <c r="A3" s="527" t="s">
        <v>119</v>
      </c>
      <c r="B3" s="527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528" t="s">
        <v>138</v>
      </c>
      <c r="O3" s="528"/>
      <c r="P3" s="5"/>
      <c r="Q3" s="50"/>
      <c r="R3" s="529" t="s">
        <v>112</v>
      </c>
      <c r="S3" s="529"/>
      <c r="T3" s="529"/>
      <c r="U3" s="529"/>
      <c r="V3" s="530" t="s">
        <v>120</v>
      </c>
      <c r="W3" s="530"/>
      <c r="X3" s="530"/>
      <c r="Y3" s="530"/>
      <c r="Z3" s="530"/>
      <c r="AA3" s="531" t="s">
        <v>121</v>
      </c>
      <c r="AB3" s="531"/>
      <c r="AC3" s="531"/>
      <c r="AD3" s="67" t="s">
        <v>107</v>
      </c>
    </row>
    <row r="4" spans="1:30" s="1" customFormat="1" ht="4.5" customHeight="1">
      <c r="A4" s="8"/>
      <c r="B4" s="9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5"/>
      <c r="P4" s="5"/>
      <c r="Q4" s="50"/>
      <c r="R4" s="50"/>
      <c r="S4" s="10"/>
      <c r="T4" s="10"/>
      <c r="U4" s="6"/>
      <c r="V4" s="10"/>
      <c r="W4" s="44"/>
      <c r="X4" s="10"/>
      <c r="Y4" s="10"/>
      <c r="Z4" s="10"/>
      <c r="AA4" s="10"/>
      <c r="AB4" s="87"/>
      <c r="AC4" s="87"/>
      <c r="AD4" s="7"/>
    </row>
    <row r="5" spans="1:30" ht="14.1" customHeight="1">
      <c r="A5" s="490" t="s">
        <v>11</v>
      </c>
      <c r="B5" s="493" t="s">
        <v>12</v>
      </c>
      <c r="C5" s="494"/>
      <c r="D5" s="11"/>
      <c r="E5" s="11"/>
      <c r="F5" s="11"/>
      <c r="G5" s="11"/>
      <c r="H5" s="11"/>
      <c r="I5" s="11"/>
      <c r="J5" s="11"/>
      <c r="K5" s="11"/>
      <c r="L5" s="11"/>
      <c r="M5" s="11"/>
      <c r="N5" s="499" t="s">
        <v>4</v>
      </c>
      <c r="O5" s="500" t="s">
        <v>5</v>
      </c>
      <c r="P5" s="500" t="s">
        <v>13</v>
      </c>
      <c r="Q5" s="484" t="s">
        <v>14</v>
      </c>
      <c r="R5" s="484" t="s">
        <v>6</v>
      </c>
      <c r="S5" s="76" t="s">
        <v>52</v>
      </c>
      <c r="T5" s="79" t="s">
        <v>33</v>
      </c>
      <c r="U5" s="485" t="s">
        <v>15</v>
      </c>
      <c r="V5" s="12"/>
      <c r="W5" s="486" t="s">
        <v>16</v>
      </c>
      <c r="X5" s="82" t="s">
        <v>34</v>
      </c>
      <c r="Y5" s="82" t="s">
        <v>33</v>
      </c>
      <c r="Z5" s="82" t="s">
        <v>35</v>
      </c>
      <c r="AA5" s="82" t="s">
        <v>36</v>
      </c>
      <c r="AB5" s="487" t="s">
        <v>37</v>
      </c>
      <c r="AC5" s="82" t="s">
        <v>58</v>
      </c>
      <c r="AD5" s="487" t="s">
        <v>38</v>
      </c>
    </row>
    <row r="6" spans="1:30" ht="14.1" customHeight="1">
      <c r="A6" s="491"/>
      <c r="B6" s="495"/>
      <c r="C6" s="496"/>
      <c r="D6" s="11"/>
      <c r="E6" s="11"/>
      <c r="F6" s="11"/>
      <c r="G6" s="11"/>
      <c r="H6" s="11"/>
      <c r="I6" s="11"/>
      <c r="J6" s="11"/>
      <c r="K6" s="11"/>
      <c r="L6" s="11"/>
      <c r="M6" s="11"/>
      <c r="N6" s="499"/>
      <c r="O6" s="500"/>
      <c r="P6" s="500"/>
      <c r="Q6" s="484"/>
      <c r="R6" s="484"/>
      <c r="S6" s="77" t="s">
        <v>53</v>
      </c>
      <c r="T6" s="80" t="s">
        <v>39</v>
      </c>
      <c r="U6" s="485"/>
      <c r="V6" s="12"/>
      <c r="W6" s="486"/>
      <c r="X6" s="83" t="s">
        <v>40</v>
      </c>
      <c r="Y6" s="83" t="s">
        <v>41</v>
      </c>
      <c r="Z6" s="83" t="s">
        <v>42</v>
      </c>
      <c r="AA6" s="83" t="s">
        <v>43</v>
      </c>
      <c r="AB6" s="488"/>
      <c r="AC6" s="83" t="s">
        <v>59</v>
      </c>
      <c r="AD6" s="488"/>
    </row>
    <row r="7" spans="1:30" s="89" customFormat="1" ht="14.1" customHeight="1">
      <c r="A7" s="491"/>
      <c r="B7" s="495"/>
      <c r="C7" s="496"/>
      <c r="D7" s="14" t="s">
        <v>17</v>
      </c>
      <c r="E7" s="14" t="s">
        <v>18</v>
      </c>
      <c r="F7" s="15" t="s">
        <v>0</v>
      </c>
      <c r="G7" s="15" t="s">
        <v>1</v>
      </c>
      <c r="H7" s="85" t="s">
        <v>19</v>
      </c>
      <c r="I7" s="16" t="s">
        <v>2</v>
      </c>
      <c r="J7" s="15" t="s">
        <v>3</v>
      </c>
      <c r="K7" s="85"/>
      <c r="L7" s="15" t="s">
        <v>20</v>
      </c>
      <c r="M7" s="15" t="s">
        <v>21</v>
      </c>
      <c r="N7" s="499"/>
      <c r="O7" s="500"/>
      <c r="P7" s="500"/>
      <c r="Q7" s="484"/>
      <c r="R7" s="484"/>
      <c r="S7" s="77" t="s">
        <v>54</v>
      </c>
      <c r="T7" s="80" t="s">
        <v>44</v>
      </c>
      <c r="U7" s="485"/>
      <c r="V7" s="12"/>
      <c r="W7" s="486"/>
      <c r="X7" s="83" t="s">
        <v>44</v>
      </c>
      <c r="Y7" s="83" t="s">
        <v>45</v>
      </c>
      <c r="Z7" s="83" t="s">
        <v>46</v>
      </c>
      <c r="AA7" s="83" t="s">
        <v>72</v>
      </c>
      <c r="AB7" s="488"/>
      <c r="AC7" s="83" t="s">
        <v>73</v>
      </c>
      <c r="AD7" s="488"/>
    </row>
    <row r="8" spans="1:30" ht="13.5" customHeight="1">
      <c r="A8" s="492"/>
      <c r="B8" s="497"/>
      <c r="C8" s="498"/>
      <c r="D8" s="11"/>
      <c r="E8" s="11"/>
      <c r="F8" s="17"/>
      <c r="G8" s="17"/>
      <c r="H8" s="17"/>
      <c r="I8" s="86"/>
      <c r="J8" s="17"/>
      <c r="K8" s="17"/>
      <c r="L8" s="17"/>
      <c r="M8" s="17"/>
      <c r="N8" s="499"/>
      <c r="O8" s="500"/>
      <c r="P8" s="500"/>
      <c r="Q8" s="484"/>
      <c r="R8" s="484"/>
      <c r="S8" s="78" t="s">
        <v>55</v>
      </c>
      <c r="T8" s="81" t="s">
        <v>47</v>
      </c>
      <c r="U8" s="485"/>
      <c r="V8" s="12"/>
      <c r="W8" s="486"/>
      <c r="X8" s="84" t="s">
        <v>47</v>
      </c>
      <c r="Y8" s="84" t="s">
        <v>48</v>
      </c>
      <c r="Z8" s="84" t="s">
        <v>49</v>
      </c>
      <c r="AA8" s="84"/>
      <c r="AB8" s="489"/>
      <c r="AC8" s="70" t="s">
        <v>60</v>
      </c>
      <c r="AD8" s="489"/>
    </row>
    <row r="9" spans="1:30" ht="15" customHeight="1">
      <c r="A9" s="502">
        <f>IF(B9="","",1)</f>
        <v>1</v>
      </c>
      <c r="B9" s="393" t="s">
        <v>110</v>
      </c>
      <c r="C9" s="71">
        <v>35.034799999999997</v>
      </c>
      <c r="D9" s="472">
        <f>TRUNC(C9)+((C9-TRUNC(C9))/0.6)</f>
        <v>35.057999999999993</v>
      </c>
      <c r="E9" s="472">
        <f>TRUNC(C10)+((C10-TRUNC(C10))/0.6)</f>
        <v>136.88333333333333</v>
      </c>
      <c r="F9" s="473">
        <f>ROUND(((LOG10(TAN(PI()/4+(D9/2*PI()/180)))*7915.7046)-(3437.7468*((0.0816968^2*SIN(D9*PI()/180))+(0.0816968^4/3*((SIN(D9*PI()/180))^3))+(0.0816968^6/5*((SIN(D9*PI()/180))^5))))),2)</f>
        <v>2235.35</v>
      </c>
      <c r="G9" s="58"/>
      <c r="H9" s="464">
        <f>IF(E9&lt;0,E9+360,E9)</f>
        <v>136.88333333333333</v>
      </c>
      <c r="I9" s="88"/>
      <c r="J9" s="58"/>
      <c r="K9" s="58"/>
      <c r="L9" s="58"/>
      <c r="M9" s="58"/>
      <c r="N9" s="59"/>
      <c r="O9" s="60"/>
      <c r="P9" s="60"/>
      <c r="Q9" s="501">
        <f>IF(O10="","",0)</f>
        <v>0</v>
      </c>
      <c r="R9" s="521">
        <v>1087.8000000000002</v>
      </c>
      <c r="S9" s="61"/>
      <c r="T9" s="61" t="s">
        <v>7</v>
      </c>
      <c r="U9" s="62"/>
      <c r="V9" s="63"/>
      <c r="W9" s="482">
        <v>43255.708333333336</v>
      </c>
      <c r="X9" s="61" t="s">
        <v>87</v>
      </c>
      <c r="Y9" s="61"/>
      <c r="Z9" s="61"/>
      <c r="AA9" s="61"/>
      <c r="AB9" s="52"/>
      <c r="AC9" s="57"/>
      <c r="AD9" s="523" t="s">
        <v>90</v>
      </c>
    </row>
    <row r="10" spans="1:30" ht="15" customHeight="1">
      <c r="A10" s="502"/>
      <c r="B10" s="393"/>
      <c r="C10" s="72">
        <v>136.53</v>
      </c>
      <c r="D10" s="472"/>
      <c r="E10" s="472"/>
      <c r="F10" s="473"/>
      <c r="G10" s="464">
        <f>ABS(D9-D11)*60</f>
        <v>0.47999999999930765</v>
      </c>
      <c r="H10" s="464"/>
      <c r="I10" s="477">
        <f>ABS(H9-H11)*60</f>
        <v>0.37000000000034561</v>
      </c>
      <c r="J10" s="478">
        <f>ABS(F9-F11)</f>
        <v>0.58999999999969077</v>
      </c>
      <c r="K10" s="479">
        <f>IF(AND(D9&lt;D11,H9=H11),0,IF(AND(D9&gt;D11,H9=H11),180,IF(AND(D9=D11,H9&lt;H11),90,IF(AND(D9=D11,H9&gt;H11),270,(ATAN(I10/J10)*180/PI())))))</f>
        <v>32.092591328771768</v>
      </c>
      <c r="L10" s="472">
        <f>IF(OR(K10=0,K10=90,K10=180,K10=270),K10,IF(AND(D9&lt;D11,H9&lt;H11),K10,IF(AND(D9&lt;D11,H9&gt;H11),360-K10,IF(AND(D9&gt;D11,H9&lt;H11),180-K10,IF(AND(D9&gt;D11,H9&gt;H11),180+K10)))))</f>
        <v>212.09259132877176</v>
      </c>
      <c r="M10" s="472">
        <f>(IF(I10=0,G10,IF(G10=0,COS(D11*PI()/180)*I10,G10/COS(K10*PI()/180))))</f>
        <v>0.56657850618995642</v>
      </c>
      <c r="N10" s="468">
        <f>IF(C12="","",ROUND(L10,1))</f>
        <v>212.1</v>
      </c>
      <c r="O10" s="469">
        <f>IF(C12="","",ROUND(M10,1))</f>
        <v>0.6</v>
      </c>
      <c r="P10" s="353">
        <v>3</v>
      </c>
      <c r="Q10" s="501"/>
      <c r="R10" s="522"/>
      <c r="S10" s="64">
        <v>2.9</v>
      </c>
      <c r="T10" s="64" t="s">
        <v>23</v>
      </c>
      <c r="U10" s="358"/>
      <c r="V10" s="470">
        <f>(O10/P10+U10/60)/24</f>
        <v>8.3333333333333332E-3</v>
      </c>
      <c r="W10" s="482"/>
      <c r="X10" s="64" t="s">
        <v>88</v>
      </c>
      <c r="Y10" s="65" t="s">
        <v>89</v>
      </c>
      <c r="Z10" s="64" t="s">
        <v>32</v>
      </c>
      <c r="AA10" s="64">
        <v>3</v>
      </c>
      <c r="AB10" s="53" t="s">
        <v>74</v>
      </c>
      <c r="AC10" s="56" t="s">
        <v>83</v>
      </c>
      <c r="AD10" s="524"/>
    </row>
    <row r="11" spans="1:30" ht="15" customHeight="1">
      <c r="A11" s="471">
        <f>IF(B11="","",A9+1)</f>
        <v>2</v>
      </c>
      <c r="B11" s="348" t="s">
        <v>109</v>
      </c>
      <c r="C11" s="54">
        <v>35.03</v>
      </c>
      <c r="D11" s="472">
        <f>TRUNC(C11)+((C11-TRUNC(C11))/0.6)</f>
        <v>35.050000000000004</v>
      </c>
      <c r="E11" s="472">
        <f>TRUNC(C12)+((C12-TRUNC(C12))/0.6)</f>
        <v>136.87716666666665</v>
      </c>
      <c r="F11" s="473">
        <f>ROUND(((LOG10(TAN(PI()/4+(D11/2*PI()/180)))*7915.7046)-(3437.7468*((0.0816968^2*SIN(D11*PI()/180))+(0.0816968^4/3*((SIN(D11*PI()/180))^3))+(0.0816968^6/5*((SIN(D11*PI()/180))^5))))),2)</f>
        <v>2234.7600000000002</v>
      </c>
      <c r="G11" s="464"/>
      <c r="H11" s="464">
        <f>IF(E11&lt;0,E11+360,E11)</f>
        <v>136.87716666666665</v>
      </c>
      <c r="I11" s="477"/>
      <c r="J11" s="478"/>
      <c r="K11" s="479"/>
      <c r="L11" s="472"/>
      <c r="M11" s="472"/>
      <c r="N11" s="468"/>
      <c r="O11" s="469"/>
      <c r="P11" s="353"/>
      <c r="Q11" s="465">
        <f>IF(O10="","",Q9+O10)</f>
        <v>0.6</v>
      </c>
      <c r="R11" s="465">
        <f>IF(O10="","",R9-O10)</f>
        <v>1087.2000000000003</v>
      </c>
      <c r="S11" s="61"/>
      <c r="T11" s="61" t="s">
        <v>7</v>
      </c>
      <c r="U11" s="355"/>
      <c r="V11" s="470"/>
      <c r="W11" s="466">
        <f>IF(P10="","",W9+V10)</f>
        <v>43255.716666666667</v>
      </c>
      <c r="X11" s="61" t="s">
        <v>87</v>
      </c>
      <c r="Y11" s="61"/>
      <c r="Z11" s="61"/>
      <c r="AA11" s="61"/>
      <c r="AB11" s="52"/>
      <c r="AC11" s="57"/>
      <c r="AD11" s="504" t="s">
        <v>97</v>
      </c>
    </row>
    <row r="12" spans="1:30" ht="15" customHeight="1">
      <c r="A12" s="471"/>
      <c r="B12" s="349"/>
      <c r="C12" s="55">
        <v>136.52629999999999</v>
      </c>
      <c r="D12" s="472"/>
      <c r="E12" s="472"/>
      <c r="F12" s="473"/>
      <c r="G12" s="464">
        <f>ABS(D11-D13)*60</f>
        <v>0.95000000000041496</v>
      </c>
      <c r="H12" s="464"/>
      <c r="I12" s="477">
        <f>ABS(H11-H13)*60</f>
        <v>1.3599999999991041</v>
      </c>
      <c r="J12" s="478">
        <f>ABS(F11-F13)</f>
        <v>1.1500000000000909</v>
      </c>
      <c r="K12" s="479">
        <f>IF(AND(D11&lt;D13,H11=H13),0,IF(AND(D11&gt;D13,H11=H13),180,IF(AND(D11=D13,H11&lt;H13),90,IF(AND(D11=D13,H11&gt;H13),270,(ATAN(I12/J12)*180/PI())))))</f>
        <v>49.782532484453093</v>
      </c>
      <c r="L12" s="472">
        <f>IF(OR(K12=0,K12=90,K12=180,K12=270),K12,IF(AND(D11&lt;D13,H11&lt;H13),K12,IF(AND(D11&lt;D13,H11&gt;H13),360-K12,IF(AND(D11&gt;D13,H11&lt;H13),180-K12,IF(AND(D11&gt;D13,H11&gt;H13),180+K12)))))</f>
        <v>229.7825324844531</v>
      </c>
      <c r="M12" s="472">
        <f>(IF(I12=0,G12,IF(G12=0,COS(D13*PI()/180)*I12,G12/COS(K12*PI()/180))))</f>
        <v>1.4712931056205392</v>
      </c>
      <c r="N12" s="468">
        <f>IF(C14="","",ROUND(L12,1))</f>
        <v>229.8</v>
      </c>
      <c r="O12" s="469">
        <f>IF(C14="","",ROUND(M12,1))</f>
        <v>1.5</v>
      </c>
      <c r="P12" s="353">
        <v>5</v>
      </c>
      <c r="Q12" s="465"/>
      <c r="R12" s="465"/>
      <c r="S12" s="64">
        <v>3</v>
      </c>
      <c r="T12" s="64" t="s">
        <v>23</v>
      </c>
      <c r="U12" s="358"/>
      <c r="V12" s="470">
        <f>(O12/P12+U12/60)/24</f>
        <v>1.2499999999999999E-2</v>
      </c>
      <c r="W12" s="466"/>
      <c r="X12" s="64" t="s">
        <v>88</v>
      </c>
      <c r="Y12" s="65" t="s">
        <v>89</v>
      </c>
      <c r="Z12" s="64" t="s">
        <v>32</v>
      </c>
      <c r="AA12" s="64">
        <v>3</v>
      </c>
      <c r="AB12" s="53" t="s">
        <v>74</v>
      </c>
      <c r="AC12" s="56" t="s">
        <v>83</v>
      </c>
      <c r="AD12" s="505"/>
    </row>
    <row r="13" spans="1:30" ht="15" customHeight="1">
      <c r="A13" s="471">
        <f>IF(B13="","",A11+1)</f>
        <v>3</v>
      </c>
      <c r="B13" s="392" t="s">
        <v>108</v>
      </c>
      <c r="C13" s="54">
        <v>35.020499999999998</v>
      </c>
      <c r="D13" s="472">
        <f>TRUNC(C13)+((C13-TRUNC(C13))/0.6)</f>
        <v>35.034166666666664</v>
      </c>
      <c r="E13" s="472">
        <f>TRUNC(C14)+((C14-TRUNC(C14))/0.6)</f>
        <v>136.8545</v>
      </c>
      <c r="F13" s="473">
        <f>ROUND(((LOG10(TAN(PI()/4+(D13/2*PI()/180)))*7915.7046)-(3437.7468*((0.0816968^2*SIN(D13*PI()/180))+(0.0816968^4/3*((SIN(D13*PI()/180))^3))+(0.0816968^6/5*((SIN(D13*PI()/180))^5))))),2)</f>
        <v>2233.61</v>
      </c>
      <c r="G13" s="464"/>
      <c r="H13" s="464">
        <f>IF(E13&lt;0,E13+360,E13)</f>
        <v>136.8545</v>
      </c>
      <c r="I13" s="477"/>
      <c r="J13" s="478"/>
      <c r="K13" s="479"/>
      <c r="L13" s="472"/>
      <c r="M13" s="472"/>
      <c r="N13" s="468"/>
      <c r="O13" s="469"/>
      <c r="P13" s="353"/>
      <c r="Q13" s="465">
        <f>IF(O12="","",Q11+O12)</f>
        <v>2.1</v>
      </c>
      <c r="R13" s="465">
        <f>IF(O12="","",R11-O12)</f>
        <v>1085.7000000000003</v>
      </c>
      <c r="S13" s="61"/>
      <c r="T13" s="61" t="s">
        <v>7</v>
      </c>
      <c r="U13" s="355"/>
      <c r="V13" s="470"/>
      <c r="W13" s="466">
        <f>IF(P12="","",W11+V12)</f>
        <v>43255.729166666664</v>
      </c>
      <c r="X13" s="61" t="s">
        <v>87</v>
      </c>
      <c r="Y13" s="61"/>
      <c r="Z13" s="61"/>
      <c r="AA13" s="61"/>
      <c r="AB13" s="52"/>
      <c r="AC13" s="57"/>
      <c r="AD13" s="514" t="s">
        <v>139</v>
      </c>
    </row>
    <row r="14" spans="1:30" ht="15" customHeight="1">
      <c r="A14" s="471"/>
      <c r="B14" s="392"/>
      <c r="C14" s="55">
        <v>136.5127</v>
      </c>
      <c r="D14" s="472"/>
      <c r="E14" s="472"/>
      <c r="F14" s="473"/>
      <c r="G14" s="464">
        <f>ABS(D13-D15)*60</f>
        <v>0.69000000000031037</v>
      </c>
      <c r="H14" s="464"/>
      <c r="I14" s="477">
        <f>ABS(H13-H15)*60</f>
        <v>0.57000000000016371</v>
      </c>
      <c r="J14" s="478">
        <f>ABS(F13-F15)</f>
        <v>0.84000000000014552</v>
      </c>
      <c r="K14" s="479">
        <f>IF(AND(D13&lt;D15,H13=H15),0,IF(AND(D13&gt;D15,H13=H15),180,IF(AND(D13=D15,H13&lt;H15),90,IF(AND(D13=D15,H13&gt;H15),270,(ATAN(I14/J14)*180/PI())))))</f>
        <v>34.159694545672465</v>
      </c>
      <c r="L14" s="472">
        <f>IF(OR(K14=0,K14=90,K14=180,K14=270),K14,IF(AND(D13&lt;D15,H13&lt;H15),K14,IF(AND(D13&lt;D15,H13&gt;H15),360-K14,IF(AND(D13&gt;D15,H13&lt;H15),180-K14,IF(AND(D13&gt;D15,H13&gt;H15),180+K14)))))</f>
        <v>214.15969454567247</v>
      </c>
      <c r="M14" s="472">
        <f>(IF(I14=0,G14,IF(G14=0,COS(D15*PI()/180)*I14,G14/COS(K14*PI()/180))))</f>
        <v>0.83386126984505893</v>
      </c>
      <c r="N14" s="468">
        <f>IF(C16="","",ROUND(L14,1))</f>
        <v>214.2</v>
      </c>
      <c r="O14" s="469">
        <f>IF(C16="","",ROUND(M14,1))</f>
        <v>0.8</v>
      </c>
      <c r="P14" s="353">
        <v>5</v>
      </c>
      <c r="Q14" s="465"/>
      <c r="R14" s="465"/>
      <c r="S14" s="64">
        <v>6</v>
      </c>
      <c r="T14" s="64" t="s">
        <v>23</v>
      </c>
      <c r="U14" s="358"/>
      <c r="V14" s="470">
        <f>(O14/P14+U14/60)/24</f>
        <v>6.6666666666666671E-3</v>
      </c>
      <c r="W14" s="466"/>
      <c r="X14" s="64" t="s">
        <v>88</v>
      </c>
      <c r="Y14" s="65" t="s">
        <v>89</v>
      </c>
      <c r="Z14" s="64" t="s">
        <v>32</v>
      </c>
      <c r="AA14" s="64">
        <v>3</v>
      </c>
      <c r="AB14" s="53" t="s">
        <v>74</v>
      </c>
      <c r="AC14" s="56" t="s">
        <v>83</v>
      </c>
      <c r="AD14" s="515"/>
    </row>
    <row r="15" spans="1:30" ht="15" customHeight="1">
      <c r="A15" s="471">
        <f>IF(B15="","",A13+1)</f>
        <v>4</v>
      </c>
      <c r="B15" s="520" t="s">
        <v>105</v>
      </c>
      <c r="C15" s="90">
        <v>35.013599999999997</v>
      </c>
      <c r="D15" s="472">
        <f>TRUNC(C15)+((C15-TRUNC(C15))/0.6)</f>
        <v>35.022666666666659</v>
      </c>
      <c r="E15" s="472">
        <f>TRUNC(C16)+((C16-TRUNC(C16))/0.6)</f>
        <v>136.845</v>
      </c>
      <c r="F15" s="473">
        <f>ROUND(((LOG10(TAN(PI()/4+(D15/2*PI()/180)))*7915.7046)-(3437.7468*((0.0816968^2*SIN(D15*PI()/180))+(0.0816968^4/3*((SIN(D15*PI()/180))^3))+(0.0816968^6/5*((SIN(D15*PI()/180))^5))))),2)</f>
        <v>2232.77</v>
      </c>
      <c r="G15" s="464"/>
      <c r="H15" s="464">
        <f>IF(E15&lt;0,E15+360,E15)</f>
        <v>136.845</v>
      </c>
      <c r="I15" s="477"/>
      <c r="J15" s="478"/>
      <c r="K15" s="479"/>
      <c r="L15" s="472"/>
      <c r="M15" s="472"/>
      <c r="N15" s="468"/>
      <c r="O15" s="469"/>
      <c r="P15" s="353"/>
      <c r="Q15" s="465">
        <f>IF(O14="","",Q13+O14)</f>
        <v>2.9000000000000004</v>
      </c>
      <c r="R15" s="465">
        <f>IF(O14="","",R13-O14)</f>
        <v>1084.9000000000003</v>
      </c>
      <c r="S15" s="61"/>
      <c r="T15" s="61" t="s">
        <v>7</v>
      </c>
      <c r="U15" s="355"/>
      <c r="V15" s="470"/>
      <c r="W15" s="466">
        <f>IF(P14="","",W13+V14)</f>
        <v>43255.735833333332</v>
      </c>
      <c r="X15" s="61" t="s">
        <v>87</v>
      </c>
      <c r="Y15" s="61"/>
      <c r="Z15" s="61"/>
      <c r="AA15" s="61"/>
      <c r="AB15" s="52"/>
      <c r="AC15" s="57"/>
      <c r="AD15" s="480" t="s">
        <v>93</v>
      </c>
    </row>
    <row r="16" spans="1:30" ht="15" customHeight="1">
      <c r="A16" s="471"/>
      <c r="B16" s="520"/>
      <c r="C16" s="91">
        <v>136.50700000000001</v>
      </c>
      <c r="D16" s="472"/>
      <c r="E16" s="472"/>
      <c r="F16" s="473"/>
      <c r="G16" s="464">
        <f>ABS(D15-D17)*60</f>
        <v>5.8099999999993202</v>
      </c>
      <c r="H16" s="464"/>
      <c r="I16" s="477">
        <f>ABS(H15-H17)*60</f>
        <v>4.9000000000006594</v>
      </c>
      <c r="J16" s="478">
        <f>ABS(F15-F17)</f>
        <v>7.0599999999999454</v>
      </c>
      <c r="K16" s="479">
        <f>IF(AND(D15&lt;D17,H15=H17),0,IF(AND(D15&gt;D17,H15=H17),180,IF(AND(D15=D17,H15&lt;H17),90,IF(AND(D15=D17,H15&gt;H17),270,(ATAN(I16/J16)*180/PI())))))</f>
        <v>34.762619828597046</v>
      </c>
      <c r="L16" s="472">
        <f>IF(OR(K16=0,K16=90,K16=180,K16=270),K16,IF(AND(D15&lt;D17,H15&lt;H17),K16,IF(AND(D15&lt;D17,H15&gt;H17),360-K16,IF(AND(D15&gt;D17,H15&lt;H17),180-K16,IF(AND(D15&gt;D17,H15&gt;H17),180+K16)))))</f>
        <v>214.76261982859705</v>
      </c>
      <c r="M16" s="472">
        <f>(IF(I16=0,G16,IF(G16=0,COS(D17*PI()/180)*I16,G16/COS(K16*PI()/180))))</f>
        <v>7.0722444949239396</v>
      </c>
      <c r="N16" s="468">
        <f>IF(C18="","",ROUND(L16,1))</f>
        <v>214.8</v>
      </c>
      <c r="O16" s="469">
        <f>IF(C18="","",ROUND(M16,1))</f>
        <v>7.1</v>
      </c>
      <c r="P16" s="353">
        <v>12</v>
      </c>
      <c r="Q16" s="465"/>
      <c r="R16" s="465"/>
      <c r="S16" s="64">
        <v>7</v>
      </c>
      <c r="T16" s="64" t="s">
        <v>23</v>
      </c>
      <c r="U16" s="358"/>
      <c r="V16" s="470">
        <f>(O16/P16+U16/60)/24</f>
        <v>2.4652777777777777E-2</v>
      </c>
      <c r="W16" s="466"/>
      <c r="X16" s="64" t="s">
        <v>88</v>
      </c>
      <c r="Y16" s="65" t="s">
        <v>89</v>
      </c>
      <c r="Z16" s="64" t="s">
        <v>32</v>
      </c>
      <c r="AA16" s="64">
        <v>3</v>
      </c>
      <c r="AB16" s="53" t="s">
        <v>75</v>
      </c>
      <c r="AC16" s="56" t="s">
        <v>83</v>
      </c>
      <c r="AD16" s="480"/>
    </row>
    <row r="17" spans="1:30" ht="15" customHeight="1">
      <c r="A17" s="471">
        <f>IF(B17="","",A15+1)</f>
        <v>5</v>
      </c>
      <c r="B17" s="392" t="s">
        <v>111</v>
      </c>
      <c r="C17" s="54">
        <v>34.555500000000002</v>
      </c>
      <c r="D17" s="472">
        <f>TRUNC(C17)+((C17-TRUNC(C17))/0.6)</f>
        <v>34.925833333333337</v>
      </c>
      <c r="E17" s="472">
        <f>TRUNC(C18)+((C18-TRUNC(C18))/0.6)</f>
        <v>136.76333333333332</v>
      </c>
      <c r="F17" s="473">
        <f>ROUND(((LOG10(TAN(PI()/4+(D17/2*PI()/180)))*7915.7046)-(3437.7468*((0.0816968^2*SIN(D17*PI()/180))+(0.0816968^4/3*((SIN(D17*PI()/180))^3))+(0.0816968^6/5*((SIN(D17*PI()/180))^5))))),2)</f>
        <v>2225.71</v>
      </c>
      <c r="G17" s="464"/>
      <c r="H17" s="464">
        <f>IF(E17&lt;0,E17+360,E17)</f>
        <v>136.76333333333332</v>
      </c>
      <c r="I17" s="477"/>
      <c r="J17" s="478"/>
      <c r="K17" s="479"/>
      <c r="L17" s="472"/>
      <c r="M17" s="472"/>
      <c r="N17" s="468"/>
      <c r="O17" s="469"/>
      <c r="P17" s="353"/>
      <c r="Q17" s="465">
        <f>IF(O16="","",Q15+O16)</f>
        <v>10</v>
      </c>
      <c r="R17" s="465">
        <f>IF(O16="","",R15-O16)</f>
        <v>1077.8000000000004</v>
      </c>
      <c r="S17" s="61"/>
      <c r="T17" s="61" t="s">
        <v>7</v>
      </c>
      <c r="U17" s="355"/>
      <c r="V17" s="470"/>
      <c r="W17" s="466">
        <f>IF(P16="","",W15+V16)</f>
        <v>43255.76048611111</v>
      </c>
      <c r="X17" s="61" t="s">
        <v>87</v>
      </c>
      <c r="Y17" s="61"/>
      <c r="Z17" s="61"/>
      <c r="AA17" s="61"/>
      <c r="AB17" s="52"/>
      <c r="AC17" s="57"/>
      <c r="AD17" s="503" t="s">
        <v>91</v>
      </c>
    </row>
    <row r="18" spans="1:30" ht="15" customHeight="1">
      <c r="A18" s="471"/>
      <c r="B18" s="392"/>
      <c r="C18" s="55">
        <v>136.458</v>
      </c>
      <c r="D18" s="472"/>
      <c r="E18" s="472"/>
      <c r="F18" s="473"/>
      <c r="G18" s="464">
        <f>ABS(D17-D19)*60</f>
        <v>7.9000000000000625</v>
      </c>
      <c r="H18" s="464"/>
      <c r="I18" s="477">
        <f>ABS(H17-H19)*60</f>
        <v>0</v>
      </c>
      <c r="J18" s="478">
        <f>ABS(F17-F19)</f>
        <v>9.5799999999999272</v>
      </c>
      <c r="K18" s="479">
        <f>IF(AND(D17&lt;D19,H17=H19),0,IF(AND(D17&gt;D19,H17=H19),180,IF(AND(D17=D19,H17&lt;H19),90,IF(AND(D17=D19,H17&gt;H19),270,(ATAN(I18/J18)*180/PI())))))</f>
        <v>180</v>
      </c>
      <c r="L18" s="472">
        <f>IF(OR(K18=0,K18=90,K18=180,K18=270),K18,IF(AND(D17&lt;D19,H17&lt;H19),K18,IF(AND(D17&lt;D19,H17&gt;H19),360-K18,IF(AND(D17&gt;D19,H17&lt;H19),180-K18,IF(AND(D17&gt;D19,H17&gt;H19),180+K18)))))</f>
        <v>180</v>
      </c>
      <c r="M18" s="472">
        <f>(IF(I18=0,G18,IF(G18=0,COS(D19*PI()/180)*I18,G18/COS(K18*PI()/180))))</f>
        <v>7.9000000000000625</v>
      </c>
      <c r="N18" s="468">
        <f>IF(C20="","",ROUND(L18,1))</f>
        <v>180</v>
      </c>
      <c r="O18" s="469">
        <f>IF(C20="","",ROUND(M18,1))</f>
        <v>7.9</v>
      </c>
      <c r="P18" s="353">
        <v>12</v>
      </c>
      <c r="Q18" s="465"/>
      <c r="R18" s="465"/>
      <c r="S18" s="64">
        <v>6</v>
      </c>
      <c r="T18" s="64" t="s">
        <v>24</v>
      </c>
      <c r="U18" s="358"/>
      <c r="V18" s="470">
        <f>(O18/P18+U18/60)/24</f>
        <v>2.7430555555555555E-2</v>
      </c>
      <c r="W18" s="466"/>
      <c r="X18" s="64" t="s">
        <v>88</v>
      </c>
      <c r="Y18" s="65" t="s">
        <v>89</v>
      </c>
      <c r="Z18" s="64" t="s">
        <v>32</v>
      </c>
      <c r="AA18" s="64">
        <v>3</v>
      </c>
      <c r="AB18" s="53" t="s">
        <v>75</v>
      </c>
      <c r="AC18" s="56" t="s">
        <v>83</v>
      </c>
      <c r="AD18" s="503"/>
    </row>
    <row r="19" spans="1:30" ht="15" customHeight="1">
      <c r="A19" s="471">
        <f>IF(B19="","",A17+1)</f>
        <v>6</v>
      </c>
      <c r="B19" s="392" t="s">
        <v>114</v>
      </c>
      <c r="C19" s="54">
        <v>34.476500000000001</v>
      </c>
      <c r="D19" s="472">
        <f>TRUNC(C19)+((C19-TRUNC(C19))/0.6)</f>
        <v>34.794166666666669</v>
      </c>
      <c r="E19" s="472">
        <f>TRUNC(C20)+((C20-TRUNC(C20))/0.6)</f>
        <v>136.76333333333332</v>
      </c>
      <c r="F19" s="473">
        <f>ROUND(((LOG10(TAN(PI()/4+(D19/2*PI()/180)))*7915.7046)-(3437.7468*((0.0816968^2*SIN(D19*PI()/180))+(0.0816968^4/3*((SIN(D19*PI()/180))^3))+(0.0816968^6/5*((SIN(D19*PI()/180))^5))))),2)</f>
        <v>2216.13</v>
      </c>
      <c r="G19" s="464"/>
      <c r="H19" s="464">
        <f>IF(E19&lt;0,E19+360,E19)</f>
        <v>136.76333333333332</v>
      </c>
      <c r="I19" s="477"/>
      <c r="J19" s="478"/>
      <c r="K19" s="479"/>
      <c r="L19" s="472"/>
      <c r="M19" s="472"/>
      <c r="N19" s="468"/>
      <c r="O19" s="469"/>
      <c r="P19" s="353"/>
      <c r="Q19" s="465">
        <f>IF(O18="","",Q17+O18)</f>
        <v>17.899999999999999</v>
      </c>
      <c r="R19" s="465">
        <f>IF(O18="","",R17-O18)</f>
        <v>1069.9000000000003</v>
      </c>
      <c r="S19" s="61"/>
      <c r="T19" s="61" t="s">
        <v>7</v>
      </c>
      <c r="U19" s="355"/>
      <c r="V19" s="470"/>
      <c r="W19" s="466">
        <f>IF(P18="","",W17+V18)</f>
        <v>43255.787916666668</v>
      </c>
      <c r="X19" s="61" t="s">
        <v>87</v>
      </c>
      <c r="Y19" s="61"/>
      <c r="Z19" s="61"/>
      <c r="AA19" s="61"/>
      <c r="AB19" s="52"/>
      <c r="AC19" s="57"/>
      <c r="AD19" s="504" t="s">
        <v>92</v>
      </c>
    </row>
    <row r="20" spans="1:30" ht="15" customHeight="1">
      <c r="A20" s="471"/>
      <c r="B20" s="392"/>
      <c r="C20" s="55">
        <v>136.458</v>
      </c>
      <c r="D20" s="472"/>
      <c r="E20" s="472"/>
      <c r="F20" s="473"/>
      <c r="G20" s="464">
        <f>ABS(D19-D21)*60</f>
        <v>7.5999999999999091</v>
      </c>
      <c r="H20" s="464"/>
      <c r="I20" s="477">
        <f>ABS(H19-H21)*60</f>
        <v>4.4999999999993179</v>
      </c>
      <c r="J20" s="478">
        <f>ABS(F19-F21)</f>
        <v>9.2100000000000364</v>
      </c>
      <c r="K20" s="479">
        <f>IF(AND(D19&lt;D21,H19=H21),0,IF(AND(D19&gt;D21,H19=H21),180,IF(AND(D19=D21,H19&lt;H21),90,IF(AND(D19=D21,H19&gt;H21),270,(ATAN(I20/J20)*180/PI())))))</f>
        <v>26.040104535501776</v>
      </c>
      <c r="L20" s="472">
        <f>IF(OR(K20=0,K20=90,K20=180,K20=270),K20,IF(AND(D19&lt;D21,H19&lt;H21),K20,IF(AND(D19&lt;D21,H19&gt;H21),360-K20,IF(AND(D19&gt;D21,H19&lt;H21),180-K20,IF(AND(D19&gt;D21,H19&gt;H21),180+K20)))))</f>
        <v>153.95989546449823</v>
      </c>
      <c r="M20" s="472">
        <f>(IF(I20=0,G20,IF(G20=0,COS(D21*PI()/180)*I20,G20/COS(K20*PI()/180))))</f>
        <v>8.4586645351903851</v>
      </c>
      <c r="N20" s="468">
        <f>IF(C22="","",ROUND(L20,1))</f>
        <v>154</v>
      </c>
      <c r="O20" s="469">
        <f>IF(C22="","",ROUND(M20,1))</f>
        <v>8.5</v>
      </c>
      <c r="P20" s="353">
        <v>12</v>
      </c>
      <c r="Q20" s="465"/>
      <c r="R20" s="465"/>
      <c r="S20" s="64">
        <v>17</v>
      </c>
      <c r="T20" s="64" t="s">
        <v>23</v>
      </c>
      <c r="U20" s="358"/>
      <c r="V20" s="470">
        <f>(O20/P20+U20/60)/24</f>
        <v>2.9513888888888892E-2</v>
      </c>
      <c r="W20" s="466"/>
      <c r="X20" s="64" t="s">
        <v>88</v>
      </c>
      <c r="Y20" s="65" t="s">
        <v>89</v>
      </c>
      <c r="Z20" s="64" t="s">
        <v>32</v>
      </c>
      <c r="AA20" s="64">
        <v>3</v>
      </c>
      <c r="AB20" s="53" t="s">
        <v>76</v>
      </c>
      <c r="AC20" s="56" t="s">
        <v>83</v>
      </c>
      <c r="AD20" s="505"/>
    </row>
    <row r="21" spans="1:30" ht="15" customHeight="1">
      <c r="A21" s="471">
        <f>IF(B21="","",A19+1)</f>
        <v>7</v>
      </c>
      <c r="B21" s="392" t="s">
        <v>115</v>
      </c>
      <c r="C21" s="54">
        <v>34.400500000000001</v>
      </c>
      <c r="D21" s="472">
        <f>TRUNC(C21)+((C21-TRUNC(C21))/0.6)</f>
        <v>34.667500000000004</v>
      </c>
      <c r="E21" s="472">
        <f>TRUNC(C22)+((C22-TRUNC(C22))/0.6)</f>
        <v>136.83833333333331</v>
      </c>
      <c r="F21" s="473">
        <f>ROUND(((LOG10(TAN(PI()/4+(D21/2*PI()/180)))*7915.7046)-(3437.7468*((0.0816968^2*SIN(D21*PI()/180))+(0.0816968^4/3*((SIN(D21*PI()/180))^3))+(0.0816968^6/5*((SIN(D21*PI()/180))^5))))),2)</f>
        <v>2206.92</v>
      </c>
      <c r="G21" s="464"/>
      <c r="H21" s="464">
        <f>IF(E21&lt;0,E21+360,E21)</f>
        <v>136.83833333333331</v>
      </c>
      <c r="I21" s="477"/>
      <c r="J21" s="478"/>
      <c r="K21" s="479"/>
      <c r="L21" s="472"/>
      <c r="M21" s="472"/>
      <c r="N21" s="468"/>
      <c r="O21" s="469"/>
      <c r="P21" s="353"/>
      <c r="Q21" s="465">
        <f>IF(O20="","",Q19+O20)</f>
        <v>26.4</v>
      </c>
      <c r="R21" s="465">
        <f>IF(O20="","",R19-O20)</f>
        <v>1061.4000000000003</v>
      </c>
      <c r="S21" s="61"/>
      <c r="T21" s="61" t="s">
        <v>25</v>
      </c>
      <c r="U21" s="355"/>
      <c r="V21" s="470"/>
      <c r="W21" s="466">
        <f>IF(P20="","",W19+V20)</f>
        <v>43255.817430555559</v>
      </c>
      <c r="X21" s="61" t="s">
        <v>87</v>
      </c>
      <c r="Y21" s="61"/>
      <c r="Z21" s="61"/>
      <c r="AA21" s="61"/>
      <c r="AB21" s="52"/>
      <c r="AC21" s="57"/>
      <c r="AD21" s="504" t="s">
        <v>98</v>
      </c>
    </row>
    <row r="22" spans="1:30" ht="15" customHeight="1">
      <c r="A22" s="471"/>
      <c r="B22" s="392"/>
      <c r="C22" s="55">
        <v>136.50299999999999</v>
      </c>
      <c r="D22" s="472"/>
      <c r="E22" s="472"/>
      <c r="F22" s="473"/>
      <c r="G22" s="464">
        <f>ABS(D21-D23)*60</f>
        <v>4.8500000000007049</v>
      </c>
      <c r="H22" s="464"/>
      <c r="I22" s="477">
        <f>ABS(H21-H23)*60</f>
        <v>7.8700000000020509</v>
      </c>
      <c r="J22" s="478">
        <f>ABS(F21-F23)</f>
        <v>5.8699999999998909</v>
      </c>
      <c r="K22" s="479">
        <f>IF(AND(D21&lt;D23,H21=H23),0,IF(AND(D21&gt;D23,H21=H23),180,IF(AND(D21=D23,H21&lt;H23),90,IF(AND(D21=D23,H21&gt;H23),270,(ATAN(I22/J22)*180/PI())))))</f>
        <v>53.281832521711124</v>
      </c>
      <c r="L22" s="472">
        <f>IF(OR(K22=0,K22=90,K22=180,K22=270),K22,IF(AND(D21&lt;D23,H21&lt;H23),K22,IF(AND(D21&lt;D23,H21&gt;H23),360-K22,IF(AND(D21&gt;D23,H21&lt;H23),180-K22,IF(AND(D21&gt;D23,H21&gt;H23),180+K22)))))</f>
        <v>126.71816747828888</v>
      </c>
      <c r="M22" s="472">
        <f>(IF(I22=0,G22,IF(G22=0,COS(D23*PI()/180)*I22,G22/COS(K22*PI()/180))))</f>
        <v>8.1120045943024657</v>
      </c>
      <c r="N22" s="468">
        <f>IF(C24="","",ROUND(L22,1))</f>
        <v>126.7</v>
      </c>
      <c r="O22" s="469">
        <f>IF(C24="","",ROUND(M22,1))</f>
        <v>8.1</v>
      </c>
      <c r="P22" s="353">
        <v>12</v>
      </c>
      <c r="Q22" s="465"/>
      <c r="R22" s="465"/>
      <c r="S22" s="64" t="s">
        <v>56</v>
      </c>
      <c r="T22" s="64" t="s">
        <v>24</v>
      </c>
      <c r="U22" s="358"/>
      <c r="V22" s="470">
        <f>(O22/P22+U22/60)/24</f>
        <v>2.8124999999999997E-2</v>
      </c>
      <c r="W22" s="466"/>
      <c r="X22" s="64" t="s">
        <v>88</v>
      </c>
      <c r="Y22" s="65" t="s">
        <v>89</v>
      </c>
      <c r="Z22" s="64" t="s">
        <v>32</v>
      </c>
      <c r="AA22" s="64">
        <v>3</v>
      </c>
      <c r="AB22" s="53" t="s">
        <v>76</v>
      </c>
      <c r="AC22" s="56" t="s">
        <v>83</v>
      </c>
      <c r="AD22" s="505"/>
    </row>
    <row r="23" spans="1:30" ht="15" customHeight="1">
      <c r="A23" s="471">
        <f>IF(B23="","",A21+1)</f>
        <v>8</v>
      </c>
      <c r="B23" s="392" t="s">
        <v>116</v>
      </c>
      <c r="C23" s="54">
        <v>34.351999999999997</v>
      </c>
      <c r="D23" s="472">
        <f>TRUNC(C23)+((C23-TRUNC(C23))/0.6)</f>
        <v>34.586666666666659</v>
      </c>
      <c r="E23" s="472">
        <f>TRUNC(C24)+((C24-TRUNC(C24))/0.6)</f>
        <v>136.96950000000001</v>
      </c>
      <c r="F23" s="473">
        <f>ROUND(((LOG10(TAN(PI()/4+(D23/2*PI()/180)))*7915.7046)-(3437.7468*((0.0816968^2*SIN(D23*PI()/180))+(0.0816968^4/3*((SIN(D23*PI()/180))^3))+(0.0816968^6/5*((SIN(D23*PI()/180))^5))))),2)</f>
        <v>2201.0500000000002</v>
      </c>
      <c r="G23" s="464"/>
      <c r="H23" s="464">
        <f>IF(E23&lt;0,E23+360,E23)</f>
        <v>136.96950000000001</v>
      </c>
      <c r="I23" s="477"/>
      <c r="J23" s="478"/>
      <c r="K23" s="479"/>
      <c r="L23" s="472"/>
      <c r="M23" s="472"/>
      <c r="N23" s="468"/>
      <c r="O23" s="469"/>
      <c r="P23" s="353"/>
      <c r="Q23" s="465">
        <f>IF(O22="","",Q21+O22)</f>
        <v>34.5</v>
      </c>
      <c r="R23" s="465">
        <f>IF(O22="","",R21-O22)</f>
        <v>1053.3000000000004</v>
      </c>
      <c r="S23" s="61"/>
      <c r="T23" s="61" t="s">
        <v>25</v>
      </c>
      <c r="U23" s="355"/>
      <c r="V23" s="470"/>
      <c r="W23" s="466">
        <f>IF(P22="","",W21+V22)</f>
        <v>43255.845555555556</v>
      </c>
      <c r="X23" s="61" t="s">
        <v>87</v>
      </c>
      <c r="Y23" s="61"/>
      <c r="Z23" s="61"/>
      <c r="AA23" s="61"/>
      <c r="AB23" s="52"/>
      <c r="AC23" s="57"/>
      <c r="AD23" s="504" t="s">
        <v>99</v>
      </c>
    </row>
    <row r="24" spans="1:30" ht="15" customHeight="1">
      <c r="A24" s="471"/>
      <c r="B24" s="392"/>
      <c r="C24" s="55">
        <v>136.58170000000001</v>
      </c>
      <c r="D24" s="472"/>
      <c r="E24" s="472"/>
      <c r="F24" s="473"/>
      <c r="G24" s="464">
        <f>ABS(D23-D25)*60</f>
        <v>4.4499999999997897</v>
      </c>
      <c r="H24" s="464"/>
      <c r="I24" s="477">
        <f>ABS(H23-H25)*60</f>
        <v>5.4299999999994952</v>
      </c>
      <c r="J24" s="478">
        <f>ABS(F23-F25)</f>
        <v>5.3700000000003456</v>
      </c>
      <c r="K24" s="479">
        <f>IF(AND(D23&lt;D25,H23=H25),0,IF(AND(D23&gt;D25,H23=H25),180,IF(AND(D23=D25,H23&lt;H25),90,IF(AND(D23=D25,H23&gt;H25),270,(ATAN(I24/J24)*180/PI())))))</f>
        <v>45.318306611446857</v>
      </c>
      <c r="L24" s="472">
        <f>IF(OR(K24=0,K24=90,K24=180,K24=270),K24,IF(AND(D23&lt;D25,H23&lt;H25),K24,IF(AND(D23&lt;D25,H23&gt;H25),360-K24,IF(AND(D23&gt;D25,H23&lt;H25),180-K24,IF(AND(D23&gt;D25,H23&gt;H25),180+K24)))))</f>
        <v>134.68169338855313</v>
      </c>
      <c r="M24" s="472">
        <f>(IF(I24=0,G24,IF(G24=0,COS(D25*PI()/180)*I24,G24/COS(K24*PI()/180))))</f>
        <v>6.3285058356245845</v>
      </c>
      <c r="N24" s="468">
        <f>IF(C26="","",ROUND(L24,1))</f>
        <v>134.69999999999999</v>
      </c>
      <c r="O24" s="469">
        <f>IF(C26="","",ROUND(M24,1))</f>
        <v>6.3</v>
      </c>
      <c r="P24" s="353">
        <v>12</v>
      </c>
      <c r="Q24" s="465"/>
      <c r="R24" s="465"/>
      <c r="S24" s="64" t="s">
        <v>56</v>
      </c>
      <c r="T24" s="64" t="s">
        <v>24</v>
      </c>
      <c r="U24" s="358"/>
      <c r="V24" s="470">
        <f>(O24/P24+U24/60)/24</f>
        <v>2.1875000000000002E-2</v>
      </c>
      <c r="W24" s="466"/>
      <c r="X24" s="64" t="s">
        <v>88</v>
      </c>
      <c r="Y24" s="65" t="s">
        <v>89</v>
      </c>
      <c r="Z24" s="64" t="s">
        <v>32</v>
      </c>
      <c r="AA24" s="64">
        <v>3</v>
      </c>
      <c r="AB24" s="53" t="s">
        <v>70</v>
      </c>
      <c r="AC24" s="56" t="s">
        <v>83</v>
      </c>
      <c r="AD24" s="519"/>
    </row>
    <row r="25" spans="1:30" ht="15" customHeight="1">
      <c r="A25" s="471">
        <f>IF(B25="","",A23+1)</f>
        <v>9</v>
      </c>
      <c r="B25" s="392" t="s">
        <v>117</v>
      </c>
      <c r="C25" s="54">
        <v>34.307499999999997</v>
      </c>
      <c r="D25" s="472">
        <f>TRUNC(C25)+((C25-TRUNC(C25))/0.6)</f>
        <v>34.512499999999996</v>
      </c>
      <c r="E25" s="472">
        <f>TRUNC(C26)+((C26-TRUNC(C26))/0.6)</f>
        <v>137.06</v>
      </c>
      <c r="F25" s="473">
        <f>ROUND(((LOG10(TAN(PI()/4+(D25/2*PI()/180)))*7915.7046)-(3437.7468*((0.0816968^2*SIN(D25*PI()/180))+(0.0816968^4/3*((SIN(D25*PI()/180))^3))+(0.0816968^6/5*((SIN(D25*PI()/180))^5))))),2)</f>
        <v>2195.6799999999998</v>
      </c>
      <c r="G25" s="464"/>
      <c r="H25" s="464">
        <f>IF(E25&lt;0,E25+360,E25)</f>
        <v>137.06</v>
      </c>
      <c r="I25" s="477"/>
      <c r="J25" s="478"/>
      <c r="K25" s="479"/>
      <c r="L25" s="472"/>
      <c r="M25" s="472"/>
      <c r="N25" s="468"/>
      <c r="O25" s="469"/>
      <c r="P25" s="353"/>
      <c r="Q25" s="465">
        <f>IF(O24="","",Q23+O24)</f>
        <v>40.799999999999997</v>
      </c>
      <c r="R25" s="465">
        <f>IF(O24="","",R23-O24)</f>
        <v>1047.0000000000005</v>
      </c>
      <c r="S25" s="61"/>
      <c r="T25" s="61" t="s">
        <v>30</v>
      </c>
      <c r="U25" s="355"/>
      <c r="V25" s="470"/>
      <c r="W25" s="466">
        <f>IF(P24="","",W23+V24)</f>
        <v>43255.867430555554</v>
      </c>
      <c r="X25" s="61" t="s">
        <v>87</v>
      </c>
      <c r="Y25" s="61"/>
      <c r="Z25" s="61"/>
      <c r="AA25" s="61"/>
      <c r="AB25" s="52"/>
      <c r="AC25" s="57"/>
      <c r="AD25" s="504" t="s">
        <v>96</v>
      </c>
    </row>
    <row r="26" spans="1:30" ht="15" customHeight="1">
      <c r="A26" s="471"/>
      <c r="B26" s="392"/>
      <c r="C26" s="55">
        <v>137.036</v>
      </c>
      <c r="D26" s="472"/>
      <c r="E26" s="472"/>
      <c r="F26" s="473"/>
      <c r="G26" s="464">
        <f>ABS(D25-D27)*60</f>
        <v>2.2500000000000853</v>
      </c>
      <c r="H26" s="464"/>
      <c r="I26" s="477">
        <f>ABS(H25-H27)*60</f>
        <v>0</v>
      </c>
      <c r="J26" s="478">
        <f>ABS(F25-F27)</f>
        <v>2.7199999999997999</v>
      </c>
      <c r="K26" s="479">
        <f>IF(AND(D25&lt;D27,H25=H27),0,IF(AND(D25&gt;D27,H25=H27),180,IF(AND(D25=D27,H25&lt;H27),90,IF(AND(D25=D27,H25&gt;H27),270,(ATAN(I26/J26)*180/PI())))))</f>
        <v>180</v>
      </c>
      <c r="L26" s="472">
        <f>IF(OR(K26=0,K26=90,K26=180,K26=270),K26,IF(AND(D25&lt;D27,H25&lt;H27),K26,IF(AND(D25&lt;D27,H25&gt;H27),360-K26,IF(AND(D25&gt;D27,H25&lt;H27),180-K26,IF(AND(D25&gt;D27,H25&gt;H27),180+K26)))))</f>
        <v>180</v>
      </c>
      <c r="M26" s="472">
        <f>(IF(I26=0,G26,IF(G26=0,COS(D27*PI()/180)*I26,G26/COS(K26*PI()/180))))</f>
        <v>2.2500000000000853</v>
      </c>
      <c r="N26" s="468">
        <f>IF(C28="","",ROUND(L26,1))</f>
        <v>180</v>
      </c>
      <c r="O26" s="469">
        <f>IF(C28="","",ROUND(M26,1))</f>
        <v>2.2999999999999998</v>
      </c>
      <c r="P26" s="353">
        <v>12</v>
      </c>
      <c r="Q26" s="465"/>
      <c r="R26" s="465"/>
      <c r="S26" s="64">
        <v>14</v>
      </c>
      <c r="T26" s="64" t="s">
        <v>24</v>
      </c>
      <c r="U26" s="358"/>
      <c r="V26" s="470">
        <f>(O26/P26+U26/60)/24</f>
        <v>7.9861111111111105E-3</v>
      </c>
      <c r="W26" s="466"/>
      <c r="X26" s="64" t="s">
        <v>88</v>
      </c>
      <c r="Y26" s="65" t="s">
        <v>89</v>
      </c>
      <c r="Z26" s="64" t="s">
        <v>32</v>
      </c>
      <c r="AA26" s="64">
        <v>3</v>
      </c>
      <c r="AB26" s="53" t="s">
        <v>77</v>
      </c>
      <c r="AC26" s="56" t="s">
        <v>83</v>
      </c>
      <c r="AD26" s="505"/>
    </row>
    <row r="27" spans="1:30" ht="15" customHeight="1">
      <c r="A27" s="471">
        <f>IF(B27="","",A25+1)</f>
        <v>10</v>
      </c>
      <c r="B27" s="518" t="s">
        <v>118</v>
      </c>
      <c r="C27" s="74">
        <v>34.284999999999997</v>
      </c>
      <c r="D27" s="472">
        <f>TRUNC(C27)+((C27-TRUNC(C27))/0.6)</f>
        <v>34.474999999999994</v>
      </c>
      <c r="E27" s="472">
        <f>TRUNC(C28)+((C28-TRUNC(C28))/0.6)</f>
        <v>137.06</v>
      </c>
      <c r="F27" s="473">
        <f>ROUND(((LOG10(TAN(PI()/4+(D27/2*PI()/180)))*7915.7046)-(3437.7468*((0.0816968^2*SIN(D27*PI()/180))+(0.0816968^4/3*((SIN(D27*PI()/180))^3))+(0.0816968^6/5*((SIN(D27*PI()/180))^5))))),2)</f>
        <v>2192.96</v>
      </c>
      <c r="G27" s="464"/>
      <c r="H27" s="464">
        <f>IF(E27&lt;0,E27+360,E27)</f>
        <v>137.06</v>
      </c>
      <c r="I27" s="477"/>
      <c r="J27" s="478"/>
      <c r="K27" s="479"/>
      <c r="L27" s="472"/>
      <c r="M27" s="472"/>
      <c r="N27" s="468"/>
      <c r="O27" s="469"/>
      <c r="P27" s="353"/>
      <c r="Q27" s="513">
        <f>IF(O26="","",Q25+O26)</f>
        <v>43.099999999999994</v>
      </c>
      <c r="R27" s="513">
        <f>IF(O26="","",R25-O26)</f>
        <v>1044.7000000000005</v>
      </c>
      <c r="S27" s="61"/>
      <c r="T27" s="61" t="s">
        <v>25</v>
      </c>
      <c r="U27" s="355"/>
      <c r="V27" s="470"/>
      <c r="W27" s="466">
        <f>IF(P26="","",W25+V26)</f>
        <v>43255.875416666662</v>
      </c>
      <c r="X27" s="61" t="s">
        <v>87</v>
      </c>
      <c r="Y27" s="61"/>
      <c r="Z27" s="61"/>
      <c r="AA27" s="61"/>
      <c r="AB27" s="52"/>
      <c r="AC27" s="57"/>
      <c r="AD27" s="503" t="s">
        <v>90</v>
      </c>
    </row>
    <row r="28" spans="1:30" ht="15" customHeight="1">
      <c r="A28" s="471"/>
      <c r="B28" s="518"/>
      <c r="C28" s="75">
        <v>137.036</v>
      </c>
      <c r="D28" s="472"/>
      <c r="E28" s="472"/>
      <c r="F28" s="473"/>
      <c r="G28" s="464">
        <f>ABS(D27-D29)*60</f>
        <v>17.899999999999494</v>
      </c>
      <c r="H28" s="464"/>
      <c r="I28" s="477">
        <f>ABS(H27-H29)*60</f>
        <v>0</v>
      </c>
      <c r="J28" s="478">
        <f>ABS(F27-F29)</f>
        <v>21.579999999999927</v>
      </c>
      <c r="K28" s="479">
        <f>IF(AND(D27&lt;D29,H27=H29),0,IF(AND(D27&gt;D29,H27=H29),180,IF(AND(D27=D29,H27&lt;H29),90,IF(AND(D27=D29,H27&gt;H29),270,(ATAN(I28/J28)*180/PI())))))</f>
        <v>180</v>
      </c>
      <c r="L28" s="472">
        <f>IF(OR(K28=0,K28=90,K28=180,K28=270),K28,IF(AND(D27&lt;D29,H27&lt;H29),K28,IF(AND(D27&lt;D29,H27&gt;H29),360-K28,IF(AND(D27&gt;D29,H27&lt;H29),180-K28,IF(AND(D27&gt;D29,H27&gt;H29),180+K28)))))</f>
        <v>180</v>
      </c>
      <c r="M28" s="472">
        <f>(IF(I28=0,G28,IF(G28=0,COS(D29*PI()/180)*I28,G28/COS(K28*PI()/180))))</f>
        <v>17.899999999999494</v>
      </c>
      <c r="N28" s="468">
        <f>IF(C30="","",ROUND(L28,1))</f>
        <v>180</v>
      </c>
      <c r="O28" s="469">
        <f>IF(C30="","",ROUND(M28,1))</f>
        <v>17.899999999999999</v>
      </c>
      <c r="P28" s="353">
        <v>16</v>
      </c>
      <c r="Q28" s="513"/>
      <c r="R28" s="513"/>
      <c r="S28" s="64" t="s">
        <v>56</v>
      </c>
      <c r="T28" s="64" t="s">
        <v>23</v>
      </c>
      <c r="U28" s="358"/>
      <c r="V28" s="470">
        <f>(O28/P28+U28/60)/24</f>
        <v>4.6614583333333327E-2</v>
      </c>
      <c r="W28" s="466"/>
      <c r="X28" s="64" t="s">
        <v>88</v>
      </c>
      <c r="Y28" s="65" t="s">
        <v>89</v>
      </c>
      <c r="Z28" s="64" t="s">
        <v>32</v>
      </c>
      <c r="AA28" s="64">
        <v>2</v>
      </c>
      <c r="AB28" s="53" t="s">
        <v>69</v>
      </c>
      <c r="AC28" s="56" t="s">
        <v>32</v>
      </c>
      <c r="AD28" s="503"/>
    </row>
    <row r="29" spans="1:30" ht="15" customHeight="1">
      <c r="A29" s="471">
        <f>IF(B29="","",A27+1)</f>
        <v>11</v>
      </c>
      <c r="B29" s="392" t="s">
        <v>122</v>
      </c>
      <c r="C29" s="54">
        <v>34.106000000000002</v>
      </c>
      <c r="D29" s="472">
        <f>TRUNC(C29)+((C29-TRUNC(C29))/0.6)</f>
        <v>34.176666666666669</v>
      </c>
      <c r="E29" s="472">
        <f>TRUNC(C30)+((C30-TRUNC(C30))/0.6)</f>
        <v>137.06</v>
      </c>
      <c r="F29" s="473">
        <f>ROUND(((LOG10(TAN(PI()/4+(D29/2*PI()/180)))*7915.7046)-(3437.7468*((0.0816968^2*SIN(D29*PI()/180))+(0.0816968^4/3*((SIN(D29*PI()/180))^3))+(0.0816968^6/5*((SIN(D29*PI()/180))^5))))),2)</f>
        <v>2171.38</v>
      </c>
      <c r="G29" s="464"/>
      <c r="H29" s="464">
        <f>IF(E29&lt;0,E29+360,E29)</f>
        <v>137.06</v>
      </c>
      <c r="I29" s="477"/>
      <c r="J29" s="478"/>
      <c r="K29" s="479"/>
      <c r="L29" s="472"/>
      <c r="M29" s="472"/>
      <c r="N29" s="468"/>
      <c r="O29" s="469"/>
      <c r="P29" s="353"/>
      <c r="Q29" s="465">
        <f>IF(O28="","",Q27+O28)</f>
        <v>60.999999999999993</v>
      </c>
      <c r="R29" s="465">
        <f>IF(O28="","",R27-O28)</f>
        <v>1026.8000000000004</v>
      </c>
      <c r="S29" s="61"/>
      <c r="T29" s="61" t="s">
        <v>25</v>
      </c>
      <c r="U29" s="355"/>
      <c r="V29" s="470"/>
      <c r="W29" s="466">
        <f>IF(P28="","",W27+V28)</f>
        <v>43255.922031249997</v>
      </c>
      <c r="X29" s="61" t="s">
        <v>87</v>
      </c>
      <c r="Y29" s="61"/>
      <c r="Z29" s="61"/>
      <c r="AA29" s="61"/>
      <c r="AB29" s="52"/>
      <c r="AC29" s="57"/>
      <c r="AD29" s="516" t="s">
        <v>102</v>
      </c>
    </row>
    <row r="30" spans="1:30" ht="15" customHeight="1">
      <c r="A30" s="471"/>
      <c r="B30" s="392"/>
      <c r="C30" s="55">
        <v>137.036</v>
      </c>
      <c r="D30" s="472"/>
      <c r="E30" s="472"/>
      <c r="F30" s="473"/>
      <c r="G30" s="464">
        <f>ABS(D29-D31)*60</f>
        <v>60.599999999999881</v>
      </c>
      <c r="H30" s="464"/>
      <c r="I30" s="477">
        <f>ABS(H29-H31)*60</f>
        <v>63.600000000000136</v>
      </c>
      <c r="J30" s="478">
        <f>ABS(F29-F31)</f>
        <v>72.480000000000018</v>
      </c>
      <c r="K30" s="479">
        <f>IF(AND(D29&lt;D31,H29=H31),0,IF(AND(D29&gt;D31,H29=H31),180,IF(AND(D29=D31,H29&lt;H31),90,IF(AND(D29=D31,H29&gt;H31),270,(ATAN(I30/J30)*180/PI())))))</f>
        <v>41.266415554594992</v>
      </c>
      <c r="L30" s="472">
        <f>IF(OR(K30=0,K30=90,K30=180,K30=270),K30,IF(AND(D29&lt;D31,H29&lt;H31),K30,IF(AND(D29&lt;D31,H29&gt;H31),360-K30,IF(AND(D29&gt;D31,H29&lt;H31),180-K30,IF(AND(D29&gt;D31,H29&gt;H31),180+K30)))))</f>
        <v>221.266415554595</v>
      </c>
      <c r="M30" s="472">
        <f>(IF(I30=0,G30,IF(G30=0,COS(D31*PI()/180)*I30,G30/COS(K30*PI()/180))))</f>
        <v>80.62253684978144</v>
      </c>
      <c r="N30" s="468">
        <f>IF(C32="","",ROUND(L30,1))</f>
        <v>221.3</v>
      </c>
      <c r="O30" s="469">
        <f>IF(C32="","",ROUND(M30,1))</f>
        <v>80.599999999999994</v>
      </c>
      <c r="P30" s="353">
        <v>16</v>
      </c>
      <c r="Q30" s="465"/>
      <c r="R30" s="465"/>
      <c r="S30" s="64" t="s">
        <v>56</v>
      </c>
      <c r="T30" s="64" t="s">
        <v>22</v>
      </c>
      <c r="U30" s="358"/>
      <c r="V30" s="470">
        <f>(O30/P30+U30/60)/24</f>
        <v>0.20989583333333331</v>
      </c>
      <c r="W30" s="466"/>
      <c r="X30" s="64" t="s">
        <v>88</v>
      </c>
      <c r="Y30" s="65" t="s">
        <v>113</v>
      </c>
      <c r="Z30" s="64" t="s">
        <v>83</v>
      </c>
      <c r="AA30" s="64">
        <v>2</v>
      </c>
      <c r="AB30" s="53" t="s">
        <v>82</v>
      </c>
      <c r="AC30" s="56" t="s">
        <v>32</v>
      </c>
      <c r="AD30" s="517"/>
    </row>
    <row r="31" spans="1:30" ht="15" customHeight="1">
      <c r="A31" s="471">
        <f>IF(B31="","",A29+1)</f>
        <v>12</v>
      </c>
      <c r="B31" s="394" t="s">
        <v>123</v>
      </c>
      <c r="C31" s="54">
        <v>33.1</v>
      </c>
      <c r="D31" s="472">
        <f>TRUNC(C31)+((C31-TRUNC(C31))/0.6)</f>
        <v>33.166666666666671</v>
      </c>
      <c r="E31" s="472">
        <f>TRUNC(C32)+((C32-TRUNC(C32))/0.6)</f>
        <v>136</v>
      </c>
      <c r="F31" s="473">
        <f>ROUND(((LOG10(TAN(PI()/4+(D31/2*PI()/180)))*7915.7046)-(3437.7468*((0.0816968^2*SIN(D31*PI()/180))+(0.0816968^4/3*((SIN(D31*PI()/180))^3))+(0.0816968^6/5*((SIN(D31*PI()/180))^5))))),2)</f>
        <v>2098.9</v>
      </c>
      <c r="G31" s="464"/>
      <c r="H31" s="464">
        <f>IF(E31&lt;0,E31+360,E31)</f>
        <v>136</v>
      </c>
      <c r="I31" s="477"/>
      <c r="J31" s="478"/>
      <c r="K31" s="479"/>
      <c r="L31" s="472"/>
      <c r="M31" s="472"/>
      <c r="N31" s="468"/>
      <c r="O31" s="469"/>
      <c r="P31" s="353"/>
      <c r="Q31" s="465">
        <f>IF(O30="","",Q29+O30)</f>
        <v>141.6</v>
      </c>
      <c r="R31" s="465">
        <f>IF(O30="","",R29-O30)</f>
        <v>946.20000000000039</v>
      </c>
      <c r="S31" s="61"/>
      <c r="T31" s="61" t="s">
        <v>25</v>
      </c>
      <c r="U31" s="355"/>
      <c r="V31" s="470"/>
      <c r="W31" s="466">
        <f>IF(P30="","",W29+V30)</f>
        <v>43256.131927083326</v>
      </c>
      <c r="X31" s="61" t="s">
        <v>87</v>
      </c>
      <c r="Y31" s="61"/>
      <c r="Z31" s="61"/>
      <c r="AA31" s="61"/>
      <c r="AB31" s="52" t="s">
        <v>133</v>
      </c>
      <c r="AC31" s="57"/>
      <c r="AD31" s="504" t="s">
        <v>101</v>
      </c>
    </row>
    <row r="32" spans="1:30" ht="16.5">
      <c r="A32" s="471"/>
      <c r="B32" s="395"/>
      <c r="C32" s="55">
        <v>136</v>
      </c>
      <c r="D32" s="472"/>
      <c r="E32" s="472"/>
      <c r="F32" s="473"/>
      <c r="G32" s="464">
        <f>ABS(D31-D33)*60</f>
        <v>157.00000000000045</v>
      </c>
      <c r="H32" s="464"/>
      <c r="I32" s="477">
        <f>ABS(H31-H33)*60</f>
        <v>354.99999999999943</v>
      </c>
      <c r="J32" s="478">
        <f>ABS(F31-F33)</f>
        <v>183.98000000000002</v>
      </c>
      <c r="K32" s="479">
        <f>IF(AND(D31&lt;D33,H31=H33),0,IF(AND(D31&gt;D33,H31=H33),180,IF(AND(D31=D33,H31&lt;H33),90,IF(AND(D31=D33,H31&gt;H33),270,(ATAN(I32/J32)*180/PI())))))</f>
        <v>62.604391886307681</v>
      </c>
      <c r="L32" s="472">
        <f>IF(OR(K32=0,K32=90,K32=180,K32=270),K32,IF(AND(D31&lt;D33,H31&lt;H33),K32,IF(AND(D31&lt;D33,H31&gt;H33),360-K32,IF(AND(D31&gt;D33,H31&lt;H33),180-K32,IF(AND(D31&gt;D33,H31&gt;H33),180+K32)))))</f>
        <v>242.60439188630767</v>
      </c>
      <c r="M32" s="472">
        <f>(IF(I32=0,G32,IF(G32=0,COS(D33*PI()/180)*I32,G32/COS(K32*PI()/180))))</f>
        <v>341.20663675677838</v>
      </c>
      <c r="N32" s="468">
        <f>IF(C34="","",ROUND(L32,1))</f>
        <v>242.6</v>
      </c>
      <c r="O32" s="469">
        <f>IF(C34="","",ROUND(M32,1))</f>
        <v>341.2</v>
      </c>
      <c r="P32" s="353">
        <v>16</v>
      </c>
      <c r="Q32" s="465"/>
      <c r="R32" s="465"/>
      <c r="S32" s="64" t="s">
        <v>56</v>
      </c>
      <c r="T32" s="64" t="s">
        <v>22</v>
      </c>
      <c r="U32" s="358"/>
      <c r="V32" s="470">
        <f>(O32/P32+U32/60)/24</f>
        <v>0.88854166666666667</v>
      </c>
      <c r="W32" s="466"/>
      <c r="X32" s="64" t="s">
        <v>88</v>
      </c>
      <c r="Y32" s="65" t="s">
        <v>113</v>
      </c>
      <c r="Z32" s="64" t="s">
        <v>83</v>
      </c>
      <c r="AA32" s="64">
        <v>2</v>
      </c>
      <c r="AB32" s="53">
        <v>1648</v>
      </c>
      <c r="AC32" s="56" t="s">
        <v>32</v>
      </c>
      <c r="AD32" s="505"/>
    </row>
    <row r="33" spans="1:30" ht="15" customHeight="1">
      <c r="A33" s="471">
        <f>IF(B33="","",A31+1)</f>
        <v>13</v>
      </c>
      <c r="B33" s="394" t="s">
        <v>124</v>
      </c>
      <c r="C33" s="54">
        <v>30.33</v>
      </c>
      <c r="D33" s="472">
        <f>TRUNC(C33)+((C33-TRUNC(C33))/0.6)</f>
        <v>30.549999999999997</v>
      </c>
      <c r="E33" s="472">
        <f>TRUNC(C34)+((C34-TRUNC(C34))/0.6)</f>
        <v>130.08333333333334</v>
      </c>
      <c r="F33" s="473">
        <f>ROUND(((LOG10(TAN(PI()/4+(D33/2*PI()/180)))*7915.7046)-(3437.7468*((0.0816968^2*SIN(D33*PI()/180))+(0.0816968^4/3*((SIN(D33*PI()/180))^3))+(0.0816968^6/5*((SIN(D33*PI()/180))^5))))),2)</f>
        <v>1914.92</v>
      </c>
      <c r="G33" s="464"/>
      <c r="H33" s="464">
        <f>IF(E33&lt;0,E33+360,E33)</f>
        <v>130.08333333333334</v>
      </c>
      <c r="I33" s="477"/>
      <c r="J33" s="478"/>
      <c r="K33" s="479"/>
      <c r="L33" s="472"/>
      <c r="M33" s="472"/>
      <c r="N33" s="468"/>
      <c r="O33" s="469"/>
      <c r="P33" s="353"/>
      <c r="Q33" s="465">
        <f>IF(O32="","",Q31+O32)</f>
        <v>482.79999999999995</v>
      </c>
      <c r="R33" s="465">
        <f>IF(O32="","",R31-O32)</f>
        <v>605.00000000000045</v>
      </c>
      <c r="S33" s="61"/>
      <c r="T33" s="61" t="s">
        <v>25</v>
      </c>
      <c r="U33" s="355"/>
      <c r="V33" s="470"/>
      <c r="W33" s="466">
        <f>IF(P32="","",W31+V32)</f>
        <v>43257.020468749994</v>
      </c>
      <c r="X33" s="61" t="s">
        <v>87</v>
      </c>
      <c r="Y33" s="61"/>
      <c r="Z33" s="61"/>
      <c r="AA33" s="61"/>
      <c r="AB33" s="52" t="s">
        <v>131</v>
      </c>
      <c r="AC33" s="57"/>
      <c r="AD33" s="504" t="s">
        <v>100</v>
      </c>
    </row>
    <row r="34" spans="1:30" ht="15" customHeight="1">
      <c r="A34" s="471"/>
      <c r="B34" s="395"/>
      <c r="C34" s="55">
        <v>130.05000000000001</v>
      </c>
      <c r="D34" s="472"/>
      <c r="E34" s="472"/>
      <c r="F34" s="473"/>
      <c r="G34" s="464">
        <f>ABS(D33-D35)*60</f>
        <v>272.99999999999983</v>
      </c>
      <c r="H34" s="464"/>
      <c r="I34" s="477">
        <f>ABS(H33-H35)*60</f>
        <v>528.00000000000068</v>
      </c>
      <c r="J34" s="478">
        <f>ABS(F33-F35)</f>
        <v>308.51</v>
      </c>
      <c r="K34" s="479">
        <f>IF(AND(D33&lt;D35,H33=H35),0,IF(AND(D33&gt;D35,H33=H35),180,IF(AND(D33=D35,H33&lt;H35),90,IF(AND(D33=D35,H33&gt;H35),270,(ATAN(I34/J34)*180/PI())))))</f>
        <v>59.702288371077096</v>
      </c>
      <c r="L34" s="472">
        <f>IF(OR(K34=0,K34=90,K34=180,K34=270),K34,IF(AND(D33&lt;D35,H33&lt;H35),K34,IF(AND(D33&lt;D35,H33&gt;H35),360-K34,IF(AND(D33&gt;D35,H33&lt;H35),180-K34,IF(AND(D33&gt;D35,H33&gt;H35),180+K34)))))</f>
        <v>239.70228837107709</v>
      </c>
      <c r="M34" s="472">
        <f>(IF(I34=0,G34,IF(G34=0,COS(D35*PI()/180)*I34,G34/COS(K34*PI()/180))))</f>
        <v>541.13718998328238</v>
      </c>
      <c r="N34" s="468">
        <f>IF(C36="","",ROUND(L34,1))</f>
        <v>239.7</v>
      </c>
      <c r="O34" s="469">
        <f>IF(C36="","",ROUND(M34,1))</f>
        <v>541.1</v>
      </c>
      <c r="P34" s="353">
        <v>16</v>
      </c>
      <c r="Q34" s="465"/>
      <c r="R34" s="465"/>
      <c r="S34" s="64" t="s">
        <v>56</v>
      </c>
      <c r="T34" s="64" t="s">
        <v>27</v>
      </c>
      <c r="U34" s="358"/>
      <c r="V34" s="470">
        <f>(O34/P34+U34/60)/24</f>
        <v>1.4091145833333334</v>
      </c>
      <c r="W34" s="466"/>
      <c r="X34" s="64" t="s">
        <v>88</v>
      </c>
      <c r="Y34" s="65" t="s">
        <v>113</v>
      </c>
      <c r="Z34" s="64" t="s">
        <v>83</v>
      </c>
      <c r="AA34" s="64">
        <v>2</v>
      </c>
      <c r="AB34" s="53" t="s">
        <v>132</v>
      </c>
      <c r="AC34" s="56" t="s">
        <v>32</v>
      </c>
      <c r="AD34" s="505"/>
    </row>
    <row r="35" spans="1:30" ht="15" customHeight="1">
      <c r="A35" s="471">
        <f>IF(B35="","",A33+1)</f>
        <v>14</v>
      </c>
      <c r="B35" s="394" t="s">
        <v>125</v>
      </c>
      <c r="C35" s="54">
        <v>26</v>
      </c>
      <c r="D35" s="472">
        <f>TRUNC(C35)+((C35-TRUNC(C35))/0.6)</f>
        <v>26</v>
      </c>
      <c r="E35" s="472">
        <f>TRUNC(C36)+((C36-TRUNC(C36))/0.6)</f>
        <v>121.28333333333333</v>
      </c>
      <c r="F35" s="473">
        <f>ROUND(((LOG10(TAN(PI()/4+(D35/2*PI()/180)))*7915.7046)-(3437.7468*((0.0816968^2*SIN(D35*PI()/180))+(0.0816968^4/3*((SIN(D35*PI()/180))^3))+(0.0816968^6/5*((SIN(D35*PI()/180))^5))))),2)</f>
        <v>1606.41</v>
      </c>
      <c r="G35" s="464"/>
      <c r="H35" s="464">
        <f>IF(E35&lt;0,E35+360,E35)</f>
        <v>121.28333333333333</v>
      </c>
      <c r="I35" s="477"/>
      <c r="J35" s="478"/>
      <c r="K35" s="479"/>
      <c r="L35" s="472"/>
      <c r="M35" s="472"/>
      <c r="N35" s="468"/>
      <c r="O35" s="469"/>
      <c r="P35" s="353"/>
      <c r="Q35" s="465">
        <f>IF(O34="","",Q33+O34)</f>
        <v>1023.9</v>
      </c>
      <c r="R35" s="465">
        <f>IF(O34="","",R33-O34)</f>
        <v>63.900000000000432</v>
      </c>
      <c r="S35" s="61"/>
      <c r="T35" s="61" t="s">
        <v>25</v>
      </c>
      <c r="U35" s="355"/>
      <c r="V35" s="470"/>
      <c r="W35" s="466">
        <f>IF(P34="","",W33+V34)</f>
        <v>43258.429583333324</v>
      </c>
      <c r="X35" s="61" t="s">
        <v>87</v>
      </c>
      <c r="Y35" s="61"/>
      <c r="Z35" s="61"/>
      <c r="AA35" s="61"/>
      <c r="AB35" s="52">
        <v>3237</v>
      </c>
      <c r="AC35" s="57"/>
      <c r="AD35" s="514" t="s">
        <v>134</v>
      </c>
    </row>
    <row r="36" spans="1:30" ht="15" customHeight="1">
      <c r="A36" s="471"/>
      <c r="B36" s="395"/>
      <c r="C36" s="55">
        <v>121.17</v>
      </c>
      <c r="D36" s="472"/>
      <c r="E36" s="472"/>
      <c r="F36" s="473"/>
      <c r="G36" s="464">
        <f>ABS(D35-D37)*60</f>
        <v>30</v>
      </c>
      <c r="H36" s="464"/>
      <c r="I36" s="477">
        <f>ABS(H35-H37)*60</f>
        <v>15.999999999999091</v>
      </c>
      <c r="J36" s="478">
        <f>ABS(F35-F37)</f>
        <v>33.130000000000109</v>
      </c>
      <c r="K36" s="479">
        <f>IF(AND(D35&lt;D37,H35=H37),0,IF(AND(D35&gt;D37,H35=H37),180,IF(AND(D35=D37,H35&lt;H37),90,IF(AND(D35=D37,H35&gt;H37),270,(ATAN(I36/J36)*180/PI())))))</f>
        <v>25.77803247020028</v>
      </c>
      <c r="L36" s="472">
        <f>IF(OR(K36=0,K36=90,K36=180,K36=270),K36,IF(AND(D35&lt;D37,H35&lt;H37),K36,IF(AND(D35&lt;D37,H35&gt;H37),360-K36,IF(AND(D35&gt;D37,H35&lt;H37),180-K36,IF(AND(D35&gt;D37,H35&gt;H37),180+K36)))))</f>
        <v>205.77803247020029</v>
      </c>
      <c r="M36" s="472">
        <f>(IF(I36=0,G36,IF(G36=0,COS(D37*PI()/180)*I36,G36/COS(K36*PI()/180))))</f>
        <v>33.315358760037618</v>
      </c>
      <c r="N36" s="468">
        <f>IF(C38="","",ROUND(L36,1))</f>
        <v>205.8</v>
      </c>
      <c r="O36" s="469">
        <f>IF(C38="","",ROUND(M36,1))</f>
        <v>33.299999999999997</v>
      </c>
      <c r="P36" s="353">
        <v>16</v>
      </c>
      <c r="Q36" s="465"/>
      <c r="R36" s="465"/>
      <c r="S36" s="64" t="s">
        <v>56</v>
      </c>
      <c r="T36" s="64" t="s">
        <v>27</v>
      </c>
      <c r="U36" s="358"/>
      <c r="V36" s="470">
        <f>(O36/P36+U36/60)/24</f>
        <v>8.6718749999999997E-2</v>
      </c>
      <c r="W36" s="466"/>
      <c r="X36" s="64" t="s">
        <v>88</v>
      </c>
      <c r="Y36" s="65" t="s">
        <v>113</v>
      </c>
      <c r="Z36" s="64" t="s">
        <v>83</v>
      </c>
      <c r="AA36" s="64">
        <v>2</v>
      </c>
      <c r="AB36" s="53">
        <v>2412</v>
      </c>
      <c r="AC36" s="56" t="s">
        <v>32</v>
      </c>
      <c r="AD36" s="515"/>
    </row>
    <row r="37" spans="1:30" ht="15" customHeight="1">
      <c r="A37" s="471">
        <f>IF(B37="","",A35+1)</f>
        <v>15</v>
      </c>
      <c r="B37" s="394" t="s">
        <v>126</v>
      </c>
      <c r="C37" s="54">
        <v>25.3</v>
      </c>
      <c r="D37" s="472">
        <f>TRUNC(C37)+((C37-TRUNC(C37))/0.6)</f>
        <v>25.5</v>
      </c>
      <c r="E37" s="472">
        <f>TRUNC(C38)+((C38-TRUNC(C38))/0.6)</f>
        <v>121.01666666666668</v>
      </c>
      <c r="F37" s="473">
        <f>ROUND(((LOG10(TAN(PI()/4+(D37/2*PI()/180)))*7915.7046)-(3437.7468*((0.0816968^2*SIN(D37*PI()/180))+(0.0816968^4/3*((SIN(D37*PI()/180))^3))+(0.0816968^6/5*((SIN(D37*PI()/180))^5))))),2)</f>
        <v>1573.28</v>
      </c>
      <c r="G37" s="464"/>
      <c r="H37" s="464">
        <f>IF(E37&lt;0,E37+360,E37)</f>
        <v>121.01666666666668</v>
      </c>
      <c r="I37" s="477"/>
      <c r="J37" s="478"/>
      <c r="K37" s="479"/>
      <c r="L37" s="472"/>
      <c r="M37" s="472"/>
      <c r="N37" s="468"/>
      <c r="O37" s="469"/>
      <c r="P37" s="353"/>
      <c r="Q37" s="465">
        <f>IF(O36="","",Q35+O36)</f>
        <v>1057.2</v>
      </c>
      <c r="R37" s="465">
        <f>IF(O36="","",R35-O36)</f>
        <v>30.600000000000435</v>
      </c>
      <c r="S37" s="61"/>
      <c r="T37" s="61" t="s">
        <v>26</v>
      </c>
      <c r="U37" s="355"/>
      <c r="V37" s="470"/>
      <c r="W37" s="466">
        <f>IF(P36="","",W35+V36)</f>
        <v>43258.516302083321</v>
      </c>
      <c r="X37" s="61" t="s">
        <v>87</v>
      </c>
      <c r="Y37" s="61"/>
      <c r="Z37" s="61"/>
      <c r="AA37" s="61"/>
      <c r="AB37" s="52"/>
      <c r="AC37" s="57"/>
      <c r="AD37" s="506" t="s">
        <v>135</v>
      </c>
    </row>
    <row r="38" spans="1:30" ht="15" customHeight="1">
      <c r="A38" s="471"/>
      <c r="B38" s="395"/>
      <c r="C38" s="55">
        <v>121.01</v>
      </c>
      <c r="D38" s="472"/>
      <c r="E38" s="472"/>
      <c r="F38" s="473"/>
      <c r="G38" s="464">
        <f>ABS(D37-D39)*60</f>
        <v>20.59999999999981</v>
      </c>
      <c r="H38" s="464"/>
      <c r="I38" s="477">
        <f>ABS(H37-H39)*60</f>
        <v>18.999999999999773</v>
      </c>
      <c r="J38" s="478">
        <f>ABS(F37-F39)</f>
        <v>22.660000000000082</v>
      </c>
      <c r="K38" s="479">
        <f>IF(AND(D37&lt;D39,H37=H39),0,IF(AND(D37&gt;D39,H37=H39),180,IF(AND(D37=D39,H37&lt;H39),90,IF(AND(D37=D39,H37&gt;H39),270,(ATAN(I38/J38)*180/PI())))))</f>
        <v>39.979224204722172</v>
      </c>
      <c r="L38" s="472">
        <f>IF(OR(K38=0,K38=90,K38=180,K38=270),K38,IF(AND(D37&lt;D39,H37&lt;H39),K38,IF(AND(D37&lt;D39,H37&gt;H39),360-K38,IF(AND(D37&gt;D39,H37&lt;H39),180-K38,IF(AND(D37&gt;D39,H37&gt;H39),180+K38)))))</f>
        <v>140.02077579527781</v>
      </c>
      <c r="M38" s="472">
        <f>(IF(I38=0,G38,IF(G38=0,COS(D39*PI()/180)*I38,G38/COS(K38*PI()/180))))</f>
        <v>26.883212371998887</v>
      </c>
      <c r="N38" s="468">
        <f>IF(C40="","",ROUND(L38,1))</f>
        <v>140</v>
      </c>
      <c r="O38" s="469">
        <f>IF(C40="","",ROUND(M38,1))</f>
        <v>26.9</v>
      </c>
      <c r="P38" s="353">
        <v>16</v>
      </c>
      <c r="Q38" s="465"/>
      <c r="R38" s="465"/>
      <c r="S38" s="64" t="s">
        <v>56</v>
      </c>
      <c r="T38" s="64" t="s">
        <v>29</v>
      </c>
      <c r="U38" s="358"/>
      <c r="V38" s="470">
        <f>(O38/P38+U38/60)/24</f>
        <v>7.0052083333333334E-2</v>
      </c>
      <c r="W38" s="466"/>
      <c r="X38" s="64" t="s">
        <v>88</v>
      </c>
      <c r="Y38" s="65" t="s">
        <v>89</v>
      </c>
      <c r="Z38" s="64" t="s">
        <v>32</v>
      </c>
      <c r="AA38" s="64">
        <v>3</v>
      </c>
      <c r="AB38" s="53">
        <v>1761</v>
      </c>
      <c r="AC38" s="56" t="s">
        <v>83</v>
      </c>
      <c r="AD38" s="507"/>
    </row>
    <row r="39" spans="1:30" ht="15" customHeight="1">
      <c r="A39" s="471">
        <f>IF(B39="","",A37+1)</f>
        <v>16</v>
      </c>
      <c r="B39" s="511" t="s">
        <v>127</v>
      </c>
      <c r="C39" s="74">
        <v>25.094000000000001</v>
      </c>
      <c r="D39" s="472">
        <f>TRUNC(C39)+((C39-TRUNC(C39))/0.6)</f>
        <v>25.15666666666667</v>
      </c>
      <c r="E39" s="472">
        <f>TRUNC(C40)+((C40-TRUNC(C40))/0.6)</f>
        <v>121.33333333333334</v>
      </c>
      <c r="F39" s="473">
        <f>ROUND(((LOG10(TAN(PI()/4+(D39/2*PI()/180)))*7915.7046)-(3437.7468*((0.0816968^2*SIN(D39*PI()/180))+(0.0816968^4/3*((SIN(D39*PI()/180))^3))+(0.0816968^6/5*((SIN(D39*PI()/180))^5))))),2)</f>
        <v>1550.62</v>
      </c>
      <c r="G39" s="464"/>
      <c r="H39" s="464">
        <f>IF(E39&lt;0,E39+360,E39)</f>
        <v>121.33333333333334</v>
      </c>
      <c r="I39" s="477"/>
      <c r="J39" s="478"/>
      <c r="K39" s="479"/>
      <c r="L39" s="472"/>
      <c r="M39" s="472"/>
      <c r="N39" s="468"/>
      <c r="O39" s="469"/>
      <c r="P39" s="353"/>
      <c r="Q39" s="513">
        <f>IF(O38="","",Q37+O38)</f>
        <v>1084.1000000000001</v>
      </c>
      <c r="R39" s="513">
        <f>IF(O38="","",R37-O38)</f>
        <v>3.7000000000004363</v>
      </c>
      <c r="S39" s="61"/>
      <c r="T39" s="61" t="s">
        <v>26</v>
      </c>
      <c r="U39" s="355"/>
      <c r="V39" s="470"/>
      <c r="W39" s="466">
        <f>IF(P38="","",W37+V38)</f>
        <v>43258.586354166655</v>
      </c>
      <c r="X39" s="61" t="s">
        <v>87</v>
      </c>
      <c r="Y39" s="61"/>
      <c r="Z39" s="61"/>
      <c r="AA39" s="61"/>
      <c r="AB39" s="52"/>
      <c r="AC39" s="57"/>
      <c r="AD39" s="506" t="s">
        <v>136</v>
      </c>
    </row>
    <row r="40" spans="1:30" ht="15" customHeight="1">
      <c r="A40" s="471"/>
      <c r="B40" s="512"/>
      <c r="C40" s="75">
        <v>121.2</v>
      </c>
      <c r="D40" s="472"/>
      <c r="E40" s="472"/>
      <c r="F40" s="473"/>
      <c r="G40" s="464">
        <f>ABS(D39-D41)*60</f>
        <v>0.25000000000019895</v>
      </c>
      <c r="H40" s="464"/>
      <c r="I40" s="477">
        <f>ABS(H39-H41)*60</f>
        <v>1.2999999999988177</v>
      </c>
      <c r="J40" s="478">
        <f>ABS(F39-F41)</f>
        <v>0.27999999999997272</v>
      </c>
      <c r="K40" s="479">
        <f>IF(AND(D39&lt;D41,H39=H41),0,IF(AND(D39&gt;D41,H39=H41),180,IF(AND(D39=D41,H39&lt;H41),90,IF(AND(D39=D41,H39&gt;H41),270,(ATAN(I40/J40)*180/PI())))))</f>
        <v>77.845058302768209</v>
      </c>
      <c r="L40" s="472">
        <f>IF(OR(K40=0,K40=90,K40=180,K40=270),K40,IF(AND(D39&lt;D41,H39&lt;H41),K40,IF(AND(D39&lt;D41,H39&gt;H41),360-K40,IF(AND(D39&gt;D41,H39&lt;H41),180-K40,IF(AND(D39&gt;D41,H39&gt;H41),180+K40)))))</f>
        <v>102.15494169723179</v>
      </c>
      <c r="M40" s="472">
        <f>(IF(I40=0,G40,IF(G40=0,COS(D41*PI()/180)*I40,G40/COS(K40*PI()/180))))</f>
        <v>1.1873321578485447</v>
      </c>
      <c r="N40" s="468">
        <f>IF(C42="","",ROUND(L40,1))</f>
        <v>102.2</v>
      </c>
      <c r="O40" s="469">
        <f>IF(C42="","",ROUND(M40,1))</f>
        <v>1.2</v>
      </c>
      <c r="P40" s="353">
        <v>12</v>
      </c>
      <c r="Q40" s="513"/>
      <c r="R40" s="513"/>
      <c r="S40" s="64">
        <v>13</v>
      </c>
      <c r="T40" s="64" t="s">
        <v>29</v>
      </c>
      <c r="U40" s="358"/>
      <c r="V40" s="470">
        <f>(O40/P40+U40/60)/24</f>
        <v>4.1666666666666666E-3</v>
      </c>
      <c r="W40" s="466"/>
      <c r="X40" s="64" t="s">
        <v>88</v>
      </c>
      <c r="Y40" s="65" t="s">
        <v>89</v>
      </c>
      <c r="Z40" s="64" t="s">
        <v>32</v>
      </c>
      <c r="AA40" s="64">
        <v>3</v>
      </c>
      <c r="AB40" s="53">
        <v>1761</v>
      </c>
      <c r="AC40" s="56" t="s">
        <v>83</v>
      </c>
      <c r="AD40" s="507"/>
    </row>
    <row r="41" spans="1:30" ht="15" customHeight="1">
      <c r="A41" s="471">
        <f>IF(B41="","",A39+1)</f>
        <v>17</v>
      </c>
      <c r="B41" s="348" t="s">
        <v>128</v>
      </c>
      <c r="C41" s="54">
        <v>25.0915</v>
      </c>
      <c r="D41" s="472">
        <f>TRUNC(C41)+((C41-TRUNC(C41))/0.6)</f>
        <v>25.1525</v>
      </c>
      <c r="E41" s="472">
        <f>TRUNC(C42)+((C42-TRUNC(C42))/0.6)</f>
        <v>121.35499999999999</v>
      </c>
      <c r="F41" s="473">
        <f>ROUND(((LOG10(TAN(PI()/4+(D41/2*PI()/180)))*7915.7046)-(3437.7468*((0.0816968^2*SIN(D41*PI()/180))+(0.0816968^4/3*((SIN(D41*PI()/180))^3))+(0.0816968^6/5*((SIN(D41*PI()/180))^5))))),2)</f>
        <v>1550.34</v>
      </c>
      <c r="G41" s="464"/>
      <c r="H41" s="464">
        <f>IF(E41&lt;0,E41+360,E41)</f>
        <v>121.35499999999999</v>
      </c>
      <c r="I41" s="477"/>
      <c r="J41" s="478"/>
      <c r="K41" s="479"/>
      <c r="L41" s="472"/>
      <c r="M41" s="472"/>
      <c r="N41" s="468"/>
      <c r="O41" s="469"/>
      <c r="P41" s="353"/>
      <c r="Q41" s="465">
        <f>IF(O40="","",Q39+O40)</f>
        <v>1085.3000000000002</v>
      </c>
      <c r="R41" s="465">
        <f>IF(O40="","",R39-O40)</f>
        <v>2.5000000000004361</v>
      </c>
      <c r="S41" s="61"/>
      <c r="T41" s="61" t="s">
        <v>25</v>
      </c>
      <c r="U41" s="355"/>
      <c r="V41" s="470"/>
      <c r="W41" s="466">
        <f>IF(P40="","",W39+V40)</f>
        <v>43258.590520833321</v>
      </c>
      <c r="X41" s="61" t="s">
        <v>87</v>
      </c>
      <c r="Y41" s="61"/>
      <c r="Z41" s="61"/>
      <c r="AA41" s="61"/>
      <c r="AB41" s="52"/>
      <c r="AC41" s="57"/>
      <c r="AD41" s="504" t="s">
        <v>137</v>
      </c>
    </row>
    <row r="42" spans="1:30" ht="15" customHeight="1">
      <c r="A42" s="471"/>
      <c r="B42" s="349"/>
      <c r="C42" s="55">
        <v>121.21299999999999</v>
      </c>
      <c r="D42" s="472"/>
      <c r="E42" s="472"/>
      <c r="F42" s="473"/>
      <c r="G42" s="464">
        <f>ABS(D41-D43)*60</f>
        <v>0</v>
      </c>
      <c r="H42" s="464"/>
      <c r="I42" s="477">
        <f>ABS(H41-H43)*60</f>
        <v>0.85000000000093223</v>
      </c>
      <c r="J42" s="478">
        <f>ABS(F41-F43)</f>
        <v>0</v>
      </c>
      <c r="K42" s="479">
        <f>IF(AND(D41&lt;D43,H41=H43),0,IF(AND(D41&gt;D43,H41=H43),180,IF(AND(D41=D43,H41&lt;H43),90,IF(AND(D41=D43,H41&gt;H43),270,(ATAN(I42/J42)*180/PI())))))</f>
        <v>90</v>
      </c>
      <c r="L42" s="472">
        <f>IF(OR(K42=0,K42=90,K42=180,K42=270),K42,IF(AND(D41&lt;D43,H41&lt;H43),K42,IF(AND(D41&lt;D43,H41&gt;H43),360-K42,IF(AND(D41&gt;D43,H41&lt;H43),180-K42,IF(AND(D41&gt;D43,H41&gt;H43),180+K42)))))</f>
        <v>90</v>
      </c>
      <c r="M42" s="472">
        <f>(IF(I42=0,G42,IF(G42=0,COS(D43*PI()/180)*I42,G42/COS(K42*PI()/180))))</f>
        <v>0.7694027670029655</v>
      </c>
      <c r="N42" s="468">
        <f>IF(C44="","",ROUND(L42,1))</f>
        <v>90</v>
      </c>
      <c r="O42" s="469">
        <f>IF(C44="","",ROUND(M42,1))</f>
        <v>0.8</v>
      </c>
      <c r="P42" s="353">
        <v>8</v>
      </c>
      <c r="Q42" s="465"/>
      <c r="R42" s="465"/>
      <c r="S42" s="64">
        <v>6.4</v>
      </c>
      <c r="T42" s="64" t="s">
        <v>27</v>
      </c>
      <c r="U42" s="358"/>
      <c r="V42" s="470">
        <f>(O42/P42+U42/60)/24</f>
        <v>4.1666666666666666E-3</v>
      </c>
      <c r="W42" s="466"/>
      <c r="X42" s="64" t="s">
        <v>88</v>
      </c>
      <c r="Y42" s="65" t="s">
        <v>89</v>
      </c>
      <c r="Z42" s="64" t="s">
        <v>32</v>
      </c>
      <c r="AA42" s="64">
        <v>3</v>
      </c>
      <c r="AB42" s="53">
        <v>3658</v>
      </c>
      <c r="AC42" s="56" t="s">
        <v>83</v>
      </c>
      <c r="AD42" s="505"/>
    </row>
    <row r="43" spans="1:30" ht="15" customHeight="1">
      <c r="A43" s="471">
        <f t="shared" ref="A43" si="0">IF(B43="","",A41+1)</f>
        <v>18</v>
      </c>
      <c r="B43" s="392" t="s">
        <v>129</v>
      </c>
      <c r="C43" s="54">
        <v>25.0915</v>
      </c>
      <c r="D43" s="472">
        <f>TRUNC(C43)+((C43-TRUNC(C43))/0.6)</f>
        <v>25.1525</v>
      </c>
      <c r="E43" s="472">
        <f>TRUNC(C44)+((C44-TRUNC(C44))/0.6)</f>
        <v>121.36916666666667</v>
      </c>
      <c r="F43" s="473">
        <f>ROUND(((LOG10(TAN(PI()/4+(D43/2*PI()/180)))*7915.7046)-(3437.7468*((0.0816968^2*SIN(D43*PI()/180))+(0.0816968^4/3*((SIN(D43*PI()/180))^3))+(0.0816968^6/5*((SIN(D43*PI()/180))^5))))),2)</f>
        <v>1550.34</v>
      </c>
      <c r="G43" s="464"/>
      <c r="H43" s="464">
        <f>IF(E43&lt;0,E43+360,E43)</f>
        <v>121.36916666666667</v>
      </c>
      <c r="I43" s="477"/>
      <c r="J43" s="478"/>
      <c r="K43" s="479"/>
      <c r="L43" s="472"/>
      <c r="M43" s="472"/>
      <c r="N43" s="468"/>
      <c r="O43" s="469"/>
      <c r="P43" s="353"/>
      <c r="Q43" s="465">
        <f>IF(O42="","",Q41+O42)</f>
        <v>1086.1000000000001</v>
      </c>
      <c r="R43" s="465">
        <f>IF(O42="","",R41-O42)</f>
        <v>1.7000000000004361</v>
      </c>
      <c r="S43" s="61"/>
      <c r="T43" s="61" t="s">
        <v>25</v>
      </c>
      <c r="U43" s="355"/>
      <c r="V43" s="470"/>
      <c r="W43" s="466">
        <f>IF(P42="","",W41+V42)</f>
        <v>43258.594687499986</v>
      </c>
      <c r="X43" s="61" t="s">
        <v>87</v>
      </c>
      <c r="Y43" s="61"/>
      <c r="Z43" s="61"/>
      <c r="AA43" s="61"/>
      <c r="AB43" s="52"/>
      <c r="AC43" s="57"/>
      <c r="AD43" s="503" t="s">
        <v>90</v>
      </c>
    </row>
    <row r="44" spans="1:30" ht="15" customHeight="1">
      <c r="A44" s="471"/>
      <c r="B44" s="392"/>
      <c r="C44" s="55">
        <v>121.22150000000001</v>
      </c>
      <c r="D44" s="472"/>
      <c r="E44" s="472"/>
      <c r="F44" s="473"/>
      <c r="G44" s="464">
        <f>ABS(D43-D45)*60</f>
        <v>0.45000000000001705</v>
      </c>
      <c r="H44" s="464"/>
      <c r="I44" s="477">
        <f>ABS(H43-H45)*60</f>
        <v>0.99999999999909051</v>
      </c>
      <c r="J44" s="478">
        <f>ABS(F43-F45)</f>
        <v>0.5</v>
      </c>
      <c r="K44" s="479">
        <f>IF(AND(D43&lt;D45,H43=H45),0,IF(AND(D43&gt;D45,H43=H45),180,IF(AND(D43=D45,H43&lt;H45),90,IF(AND(D43=D45,H43&gt;H45),270,(ATAN(I44/J44)*180/PI())))))</f>
        <v>63.43494882290117</v>
      </c>
      <c r="L44" s="472">
        <f>IF(OR(K44=0,K44=90,K44=180,K44=270),K44,IF(AND(D43&lt;D45,H43&lt;H45),K44,IF(AND(D43&lt;D45,H43&gt;H45),360-K44,IF(AND(D43&gt;D45,H43&lt;H45),180-K44,IF(AND(D43&gt;D45,H43&gt;H45),180+K44)))))</f>
        <v>63.43494882290117</v>
      </c>
      <c r="M44" s="472">
        <f>(IF(I44=0,G44,IF(G44=0,COS(D45*PI()/180)*I44,G44/COS(K44*PI()/180))))</f>
        <v>1.0062305898742114</v>
      </c>
      <c r="N44" s="468">
        <f>IF(C46="","",ROUND(L44,1))</f>
        <v>63.4</v>
      </c>
      <c r="O44" s="469">
        <f>IF(C46="","",ROUND(M44,1))</f>
        <v>1</v>
      </c>
      <c r="P44" s="353">
        <v>5</v>
      </c>
      <c r="Q44" s="465"/>
      <c r="R44" s="465"/>
      <c r="S44" s="64">
        <v>4.9000000000000004</v>
      </c>
      <c r="T44" s="64" t="s">
        <v>22</v>
      </c>
      <c r="U44" s="358"/>
      <c r="V44" s="470">
        <f>(O44/P44+U44/60)/24</f>
        <v>8.3333333333333332E-3</v>
      </c>
      <c r="W44" s="466"/>
      <c r="X44" s="64" t="s">
        <v>88</v>
      </c>
      <c r="Y44" s="65" t="s">
        <v>89</v>
      </c>
      <c r="Z44" s="64" t="s">
        <v>32</v>
      </c>
      <c r="AA44" s="64">
        <v>3</v>
      </c>
      <c r="AB44" s="53">
        <v>3658</v>
      </c>
      <c r="AC44" s="56" t="s">
        <v>83</v>
      </c>
      <c r="AD44" s="503"/>
    </row>
    <row r="45" spans="1:30" ht="15" customHeight="1">
      <c r="A45" s="471">
        <f t="shared" ref="A45" si="1">IF(B45="","",A43+1)</f>
        <v>19</v>
      </c>
      <c r="B45" s="394" t="s">
        <v>57</v>
      </c>
      <c r="C45" s="54">
        <v>25.096</v>
      </c>
      <c r="D45" s="472">
        <f>TRUNC(C45)+((C45-TRUNC(C45))/0.6)</f>
        <v>25.16</v>
      </c>
      <c r="E45" s="472">
        <f>TRUNC(C46)+((C46-TRUNC(C46))/0.6)</f>
        <v>121.38583333333332</v>
      </c>
      <c r="F45" s="473">
        <f>ROUND(((LOG10(TAN(PI()/4+(D45/2*PI()/180)))*7915.7046)-(3437.7468*((0.0816968^2*SIN(D45*PI()/180))+(0.0816968^4/3*((SIN(D45*PI()/180))^3))+(0.0816968^6/5*((SIN(D45*PI()/180))^5))))),2)</f>
        <v>1550.84</v>
      </c>
      <c r="G45" s="464"/>
      <c r="H45" s="464">
        <f>IF(E45&lt;0,E45+360,E45)</f>
        <v>121.38583333333332</v>
      </c>
      <c r="I45" s="477"/>
      <c r="J45" s="478"/>
      <c r="K45" s="479"/>
      <c r="L45" s="472"/>
      <c r="M45" s="472"/>
      <c r="N45" s="468"/>
      <c r="O45" s="469"/>
      <c r="P45" s="353"/>
      <c r="Q45" s="465">
        <f>IF(O44="","",Q43+O44)</f>
        <v>1087.1000000000001</v>
      </c>
      <c r="R45" s="465">
        <f>IF(O44="","",R43-O44)</f>
        <v>0.70000000000043605</v>
      </c>
      <c r="S45" s="61"/>
      <c r="T45" s="61" t="s">
        <v>25</v>
      </c>
      <c r="U45" s="355"/>
      <c r="V45" s="470"/>
      <c r="W45" s="466">
        <f>IF(P44="","",W43+V44)</f>
        <v>43258.603020833318</v>
      </c>
      <c r="X45" s="61" t="s">
        <v>87</v>
      </c>
      <c r="Y45" s="61"/>
      <c r="Z45" s="61"/>
      <c r="AA45" s="61"/>
      <c r="AB45" s="52"/>
      <c r="AC45" s="68"/>
      <c r="AD45" s="474" t="s">
        <v>71</v>
      </c>
    </row>
    <row r="46" spans="1:30" ht="15" customHeight="1">
      <c r="A46" s="471"/>
      <c r="B46" s="395"/>
      <c r="C46" s="55">
        <v>121.2315</v>
      </c>
      <c r="D46" s="472"/>
      <c r="E46" s="472"/>
      <c r="F46" s="473"/>
      <c r="G46" s="464">
        <f>ABS(D45-D47)*60</f>
        <v>6.2000000000139721E-2</v>
      </c>
      <c r="H46" s="464"/>
      <c r="I46" s="477">
        <f>ABS(H45-H47)*60</f>
        <v>0.62900000000126965</v>
      </c>
      <c r="J46" s="478">
        <f>ABS(F45-F47)</f>
        <v>6.0000000000172804E-2</v>
      </c>
      <c r="K46" s="479">
        <f>IF(AND(D45&lt;D47,H45=H47),0,IF(AND(D45&gt;D47,H45=H47),180,IF(AND(D45=D47,H45&lt;H47),90,IF(AND(D45=D47,H45&gt;H47),270,(ATAN(I46/J46)*180/PI())))))</f>
        <v>84.551070808050056</v>
      </c>
      <c r="L46" s="472">
        <f>IF(OR(K46=0,K46=90,K46=180,K46=270),K46,IF(AND(D45&lt;D47,H45&lt;H47),K46,IF(AND(D45&lt;D47,H45&gt;H47),360-K46,IF(AND(D45&gt;D47,H45&lt;H47),180-K46,IF(AND(D45&gt;D47,H45&gt;H47),180+K46)))))</f>
        <v>84.551070808050056</v>
      </c>
      <c r="M46" s="472">
        <f>(IF(I46=0,G46,IF(G46=0,COS(D47*PI()/180)*I46,G46/COS(K46*PI()/180))))</f>
        <v>0.65291704509759163</v>
      </c>
      <c r="N46" s="468">
        <f>IF(C48="","",ROUND(L46,1))</f>
        <v>84.6</v>
      </c>
      <c r="O46" s="469">
        <f>IF(C48="","",ROUND(M46,1))</f>
        <v>0.7</v>
      </c>
      <c r="P46" s="353">
        <v>2</v>
      </c>
      <c r="Q46" s="465"/>
      <c r="R46" s="465"/>
      <c r="S46" s="64">
        <v>6</v>
      </c>
      <c r="T46" s="64" t="s">
        <v>23</v>
      </c>
      <c r="U46" s="358"/>
      <c r="V46" s="470">
        <f>(O46/P46+U46/60)/24</f>
        <v>1.4583333333333332E-2</v>
      </c>
      <c r="W46" s="466"/>
      <c r="X46" s="64" t="s">
        <v>88</v>
      </c>
      <c r="Y46" s="65" t="s">
        <v>89</v>
      </c>
      <c r="Z46" s="64" t="s">
        <v>32</v>
      </c>
      <c r="AA46" s="64">
        <v>3</v>
      </c>
      <c r="AB46" s="53">
        <v>3658</v>
      </c>
      <c r="AC46" s="69" t="s">
        <v>83</v>
      </c>
      <c r="AD46" s="475"/>
    </row>
    <row r="47" spans="1:30" ht="15" customHeight="1">
      <c r="A47" s="471">
        <f t="shared" ref="A47" si="2">IF(B47="","",A45+1)</f>
        <v>20</v>
      </c>
      <c r="B47" s="393" t="s">
        <v>130</v>
      </c>
      <c r="C47" s="71">
        <v>25.096620000000001</v>
      </c>
      <c r="D47" s="472">
        <f>TRUNC(C47)+((C47-TRUNC(C47))/0.6)</f>
        <v>25.161033333333336</v>
      </c>
      <c r="E47" s="472">
        <f>TRUNC(C48)+((C48-TRUNC(C48))/0.6)</f>
        <v>121.39631666666668</v>
      </c>
      <c r="F47" s="473">
        <f>ROUND(((LOG10(TAN(PI()/4+(D47/2*PI()/180)))*7915.7046)-(3437.7468*((0.0816968^2*SIN(D47*PI()/180))+(0.0816968^4/3*((SIN(D47*PI()/180))^3))+(0.0816968^6/5*((SIN(D47*PI()/180))^5))))),2)</f>
        <v>1550.9</v>
      </c>
      <c r="G47" s="464"/>
      <c r="H47" s="464">
        <f>IF(E47&lt;0,E47+360,E47)</f>
        <v>121.39631666666668</v>
      </c>
      <c r="I47" s="477"/>
      <c r="J47" s="478"/>
      <c r="K47" s="479"/>
      <c r="L47" s="472"/>
      <c r="M47" s="472"/>
      <c r="N47" s="468"/>
      <c r="O47" s="469"/>
      <c r="P47" s="353"/>
      <c r="Q47" s="501">
        <f>IF(O46="","",Q45+O46)</f>
        <v>1087.8000000000002</v>
      </c>
      <c r="R47" s="501">
        <f>IF(O46="","",R45-O46)</f>
        <v>4.3609560407276149E-13</v>
      </c>
      <c r="S47" s="61"/>
      <c r="T47" s="61"/>
      <c r="U47" s="355"/>
      <c r="V47" s="470"/>
      <c r="W47" s="466">
        <f>IF(P46="","",W45+V46)</f>
        <v>43258.617604166648</v>
      </c>
      <c r="X47" s="61" t="s">
        <v>87</v>
      </c>
      <c r="Y47" s="61"/>
      <c r="Z47" s="61"/>
      <c r="AA47" s="61"/>
      <c r="AB47" s="52"/>
      <c r="AC47" s="68"/>
      <c r="AD47" s="475"/>
    </row>
    <row r="48" spans="1:30" ht="15" customHeight="1">
      <c r="A48" s="471"/>
      <c r="B48" s="393"/>
      <c r="C48" s="72">
        <v>121.23779</v>
      </c>
      <c r="D48" s="472"/>
      <c r="E48" s="472"/>
      <c r="F48" s="473"/>
      <c r="G48" s="66"/>
      <c r="H48" s="464"/>
      <c r="I48" s="66"/>
      <c r="J48" s="66"/>
      <c r="K48" s="66"/>
      <c r="L48" s="66"/>
      <c r="M48" s="66"/>
      <c r="N48" s="59"/>
      <c r="O48" s="60"/>
      <c r="P48" s="60"/>
      <c r="Q48" s="501"/>
      <c r="R48" s="501"/>
      <c r="S48" s="64">
        <v>1.7</v>
      </c>
      <c r="T48" s="64"/>
      <c r="U48" s="62"/>
      <c r="V48" s="63"/>
      <c r="W48" s="466"/>
      <c r="X48" s="64" t="s">
        <v>88</v>
      </c>
      <c r="Y48" s="65" t="s">
        <v>89</v>
      </c>
      <c r="Z48" s="64" t="s">
        <v>32</v>
      </c>
      <c r="AA48" s="64">
        <v>3</v>
      </c>
      <c r="AB48" s="53">
        <v>3658</v>
      </c>
      <c r="AC48" s="69" t="s">
        <v>83</v>
      </c>
      <c r="AD48" s="476"/>
    </row>
    <row r="49" spans="1:30" s="1" customFormat="1" ht="0.75" hidden="1" customHeight="1">
      <c r="A49" s="19" t="s">
        <v>8</v>
      </c>
      <c r="B49" s="508" t="s">
        <v>62</v>
      </c>
      <c r="C49" s="48">
        <v>35.03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1" t="s">
        <v>9</v>
      </c>
      <c r="Q49" s="22">
        <f>Q1</f>
        <v>0</v>
      </c>
      <c r="R49" s="23"/>
      <c r="S49" s="23"/>
      <c r="T49" s="21">
        <f>T1</f>
        <v>0</v>
      </c>
      <c r="U49" s="24"/>
      <c r="V49" s="20"/>
      <c r="W49" s="45"/>
      <c r="X49" s="20"/>
      <c r="Y49" s="20"/>
      <c r="Z49" s="20"/>
      <c r="AA49" s="20"/>
      <c r="AB49" s="20"/>
      <c r="AC49" s="51"/>
      <c r="AD49" s="18"/>
    </row>
    <row r="50" spans="1:30" s="1" customFormat="1" ht="13.5" hidden="1" customHeight="1">
      <c r="B50" s="509"/>
      <c r="C50" s="49">
        <v>136.51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6"/>
      <c r="P50" s="27" t="s">
        <v>10</v>
      </c>
      <c r="Q50" s="28">
        <f>Q2</f>
        <v>0</v>
      </c>
      <c r="R50" s="29"/>
      <c r="S50" s="30"/>
      <c r="T50" s="21">
        <f>T2</f>
        <v>0</v>
      </c>
      <c r="U50" s="31"/>
      <c r="V50" s="32"/>
      <c r="W50" s="46"/>
      <c r="X50" s="33"/>
      <c r="Y50" s="33"/>
      <c r="Z50" s="33"/>
      <c r="AA50" s="33"/>
      <c r="AB50" s="33"/>
      <c r="AC50" s="33"/>
      <c r="AD50" s="26"/>
    </row>
    <row r="51" spans="1:30" s="1" customFormat="1" ht="49.5" hidden="1" customHeight="1">
      <c r="A51" s="34" t="str">
        <f>A3</f>
        <v>DATE :  04-05 JUNE 2018</v>
      </c>
      <c r="B51" s="34"/>
      <c r="C51" s="3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5"/>
      <c r="O51" s="36"/>
      <c r="P51" s="36"/>
      <c r="Q51" s="37"/>
      <c r="R51" s="37"/>
      <c r="S51" s="20"/>
      <c r="T51" s="20"/>
      <c r="U51" s="24"/>
      <c r="V51" s="38"/>
      <c r="W51" s="45"/>
      <c r="X51" s="20"/>
      <c r="Y51" s="20"/>
      <c r="Z51" s="20"/>
      <c r="AA51" s="20"/>
      <c r="AB51" s="20"/>
      <c r="AC51" s="20"/>
      <c r="AD51" s="1" t="str">
        <f>AD3</f>
        <v>AVE.SPD.16.0 KTS</v>
      </c>
    </row>
    <row r="52" spans="1:30" s="1" customFormat="1" ht="48" customHeight="1">
      <c r="A52" s="510" t="s">
        <v>51</v>
      </c>
      <c r="B52" s="510"/>
      <c r="C52" s="510"/>
      <c r="D52" s="510"/>
      <c r="E52" s="510"/>
      <c r="F52" s="510"/>
      <c r="G52" s="510"/>
      <c r="H52" s="510"/>
      <c r="I52" s="510"/>
      <c r="J52" s="510"/>
      <c r="K52" s="510"/>
      <c r="L52" s="510"/>
      <c r="M52" s="510"/>
      <c r="N52" s="510"/>
      <c r="O52" s="510"/>
      <c r="P52" s="510"/>
      <c r="Q52" s="510"/>
      <c r="R52" s="510"/>
      <c r="S52" s="510"/>
      <c r="T52" s="510"/>
      <c r="U52" s="510"/>
      <c r="V52" s="510"/>
      <c r="W52" s="510"/>
      <c r="X52" s="510"/>
      <c r="Y52" s="510"/>
      <c r="Z52" s="510"/>
      <c r="AA52" s="510"/>
      <c r="AB52" s="510"/>
      <c r="AC52" s="510"/>
      <c r="AD52" s="510"/>
    </row>
    <row r="53" spans="1:30" ht="26.25" customHeight="1">
      <c r="A53" s="510"/>
      <c r="B53" s="510"/>
      <c r="C53" s="510"/>
      <c r="D53" s="510"/>
      <c r="E53" s="510"/>
      <c r="F53" s="510"/>
      <c r="G53" s="510"/>
      <c r="H53" s="510"/>
      <c r="I53" s="510"/>
      <c r="J53" s="510"/>
      <c r="K53" s="510"/>
      <c r="L53" s="510"/>
      <c r="M53" s="510"/>
      <c r="N53" s="510"/>
      <c r="O53" s="510"/>
      <c r="P53" s="510"/>
      <c r="Q53" s="510"/>
      <c r="R53" s="510"/>
      <c r="S53" s="510"/>
      <c r="T53" s="510"/>
      <c r="U53" s="510"/>
      <c r="V53" s="510"/>
      <c r="W53" s="510"/>
      <c r="X53" s="510"/>
      <c r="Y53" s="510"/>
      <c r="Z53" s="510"/>
      <c r="AA53" s="510"/>
      <c r="AB53" s="510"/>
      <c r="AC53" s="510"/>
      <c r="AD53" s="510"/>
    </row>
    <row r="54" spans="1:30" ht="14.1" customHeight="1">
      <c r="A54" s="490" t="s">
        <v>11</v>
      </c>
      <c r="B54" s="493" t="s">
        <v>12</v>
      </c>
      <c r="C54" s="49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499" t="s">
        <v>4</v>
      </c>
      <c r="O54" s="500" t="s">
        <v>5</v>
      </c>
      <c r="P54" s="500" t="s">
        <v>13</v>
      </c>
      <c r="Q54" s="484" t="s">
        <v>14</v>
      </c>
      <c r="R54" s="484" t="s">
        <v>6</v>
      </c>
      <c r="S54" s="76" t="s">
        <v>52</v>
      </c>
      <c r="T54" s="82" t="s">
        <v>33</v>
      </c>
      <c r="U54" s="485" t="s">
        <v>15</v>
      </c>
      <c r="V54" s="12"/>
      <c r="W54" s="486" t="s">
        <v>16</v>
      </c>
      <c r="X54" s="82" t="s">
        <v>34</v>
      </c>
      <c r="Y54" s="82" t="s">
        <v>33</v>
      </c>
      <c r="Z54" s="82" t="s">
        <v>35</v>
      </c>
      <c r="AA54" s="82" t="s">
        <v>36</v>
      </c>
      <c r="AB54" s="487" t="s">
        <v>37</v>
      </c>
      <c r="AC54" s="82" t="s">
        <v>58</v>
      </c>
      <c r="AD54" s="487" t="s">
        <v>38</v>
      </c>
    </row>
    <row r="55" spans="1:30" s="89" customFormat="1" ht="14.1" customHeight="1">
      <c r="A55" s="491"/>
      <c r="B55" s="495"/>
      <c r="C55" s="496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499"/>
      <c r="O55" s="500"/>
      <c r="P55" s="500"/>
      <c r="Q55" s="484"/>
      <c r="R55" s="484"/>
      <c r="S55" s="77" t="s">
        <v>53</v>
      </c>
      <c r="T55" s="83" t="s">
        <v>39</v>
      </c>
      <c r="U55" s="485"/>
      <c r="V55" s="12"/>
      <c r="W55" s="486"/>
      <c r="X55" s="83" t="s">
        <v>40</v>
      </c>
      <c r="Y55" s="83" t="s">
        <v>41</v>
      </c>
      <c r="Z55" s="83" t="s">
        <v>42</v>
      </c>
      <c r="AA55" s="83" t="s">
        <v>43</v>
      </c>
      <c r="AB55" s="488"/>
      <c r="AC55" s="83" t="s">
        <v>59</v>
      </c>
      <c r="AD55" s="488"/>
    </row>
    <row r="56" spans="1:30" ht="14.1" customHeight="1">
      <c r="A56" s="491"/>
      <c r="B56" s="495"/>
      <c r="C56" s="496"/>
      <c r="D56" s="14" t="s">
        <v>17</v>
      </c>
      <c r="E56" s="14" t="s">
        <v>18</v>
      </c>
      <c r="F56" s="15" t="s">
        <v>0</v>
      </c>
      <c r="G56" s="15" t="s">
        <v>1</v>
      </c>
      <c r="H56" s="85" t="s">
        <v>19</v>
      </c>
      <c r="I56" s="16" t="s">
        <v>2</v>
      </c>
      <c r="J56" s="15" t="s">
        <v>3</v>
      </c>
      <c r="K56" s="85"/>
      <c r="L56" s="15" t="s">
        <v>20</v>
      </c>
      <c r="M56" s="15" t="s">
        <v>21</v>
      </c>
      <c r="N56" s="499"/>
      <c r="O56" s="500"/>
      <c r="P56" s="500"/>
      <c r="Q56" s="484"/>
      <c r="R56" s="484"/>
      <c r="S56" s="77" t="s">
        <v>54</v>
      </c>
      <c r="T56" s="83" t="s">
        <v>44</v>
      </c>
      <c r="U56" s="485"/>
      <c r="V56" s="12"/>
      <c r="W56" s="486"/>
      <c r="X56" s="83" t="s">
        <v>44</v>
      </c>
      <c r="Y56" s="83" t="s">
        <v>45</v>
      </c>
      <c r="Z56" s="83" t="s">
        <v>46</v>
      </c>
      <c r="AA56" s="83" t="s">
        <v>72</v>
      </c>
      <c r="AB56" s="488"/>
      <c r="AC56" s="83"/>
      <c r="AD56" s="488"/>
    </row>
    <row r="57" spans="1:30" ht="14.1" customHeight="1">
      <c r="A57" s="492"/>
      <c r="B57" s="497"/>
      <c r="C57" s="498"/>
      <c r="D57" s="11"/>
      <c r="E57" s="11"/>
      <c r="F57" s="17"/>
      <c r="G57" s="17"/>
      <c r="H57" s="17"/>
      <c r="I57" s="86"/>
      <c r="J57" s="17"/>
      <c r="K57" s="17"/>
      <c r="L57" s="17"/>
      <c r="M57" s="17"/>
      <c r="N57" s="499"/>
      <c r="O57" s="500"/>
      <c r="P57" s="500"/>
      <c r="Q57" s="484"/>
      <c r="R57" s="484"/>
      <c r="S57" s="78" t="s">
        <v>55</v>
      </c>
      <c r="T57" s="84" t="s">
        <v>47</v>
      </c>
      <c r="U57" s="485"/>
      <c r="V57" s="12"/>
      <c r="W57" s="486"/>
      <c r="X57" s="84" t="s">
        <v>47</v>
      </c>
      <c r="Y57" s="84" t="s">
        <v>48</v>
      </c>
      <c r="Z57" s="84" t="s">
        <v>49</v>
      </c>
      <c r="AA57" s="84"/>
      <c r="AB57" s="489"/>
      <c r="AC57" s="84" t="s">
        <v>60</v>
      </c>
      <c r="AD57" s="489"/>
    </row>
    <row r="58" spans="1:30" ht="15" customHeight="1">
      <c r="A58" s="471">
        <v>20</v>
      </c>
      <c r="B58" s="392"/>
      <c r="C58" s="54"/>
      <c r="D58" s="472">
        <f>TRUNC(C58)+((C58-TRUNC(C58))/0.6)</f>
        <v>0</v>
      </c>
      <c r="E58" s="472">
        <f>TRUNC(C59)+((C59-TRUNC(C59))/0.6)</f>
        <v>0</v>
      </c>
      <c r="F58" s="473">
        <f>ROUND(((LOG10(TAN(PI()/4+(D58/2*PI()/180)))*7915.7046)-(3437.7468*((0.0816968^2*SIN(D58*PI()/180))+(0.0816968^4/3*((SIN(D58*PI()/180))^3))+(0.0816968^6/5*((SIN(D58*PI()/180))^5))))),2)</f>
        <v>0</v>
      </c>
      <c r="G58" s="58"/>
      <c r="H58" s="464">
        <f>IF(E58&lt;0,E58+360,E58)</f>
        <v>0</v>
      </c>
      <c r="I58" s="88"/>
      <c r="J58" s="58"/>
      <c r="K58" s="58"/>
      <c r="L58" s="58"/>
      <c r="M58" s="58"/>
      <c r="N58" s="59"/>
      <c r="O58" s="60"/>
      <c r="P58" s="60"/>
      <c r="Q58" s="465"/>
      <c r="R58" s="465"/>
      <c r="S58" s="61"/>
      <c r="T58" s="61" t="s">
        <v>7</v>
      </c>
      <c r="U58" s="62"/>
      <c r="V58" s="63"/>
      <c r="W58" s="482">
        <v>43080.521041666667</v>
      </c>
      <c r="X58" s="61"/>
      <c r="Y58" s="61"/>
      <c r="Z58" s="61"/>
      <c r="AA58" s="61"/>
      <c r="AB58" s="52"/>
      <c r="AC58" s="68"/>
      <c r="AD58" s="506"/>
    </row>
    <row r="59" spans="1:30" ht="15" customHeight="1">
      <c r="A59" s="471"/>
      <c r="B59" s="392"/>
      <c r="C59" s="55"/>
      <c r="D59" s="472"/>
      <c r="E59" s="472"/>
      <c r="F59" s="473"/>
      <c r="G59" s="464">
        <f>ABS(D58-D60)*60</f>
        <v>0</v>
      </c>
      <c r="H59" s="464"/>
      <c r="I59" s="477">
        <f>ABS(H58-H60)*60</f>
        <v>0</v>
      </c>
      <c r="J59" s="478">
        <f>ABS(F58-F60)</f>
        <v>0</v>
      </c>
      <c r="K59" s="479" t="e">
        <f>IF(AND(D58&lt;D60,H58=H60),0,IF(AND(D58&gt;D60,H58=H60),180,IF(AND(D58=D60,H58&lt;H60),90,IF(AND(D58=D60,H58&gt;H60),270,(ATAN(I59/J59)*180/PI())))))</f>
        <v>#DIV/0!</v>
      </c>
      <c r="L59" s="472" t="e">
        <f>IF(OR(K59=0,K59=90,K59=180,K59=270),K59,IF(AND(D58&lt;D60,H58&lt;H60),K59,IF(AND(D58&lt;D60,H58&gt;H60),360-K59,IF(AND(D58&gt;D60,H58&lt;H60),180-K59,IF(AND(D58&gt;D60,H58&gt;H60),180+K59)))))</f>
        <v>#DIV/0!</v>
      </c>
      <c r="M59" s="472">
        <f>(IF(I59=0,G59,IF(G59=0,COS(D60*PI()/180)*I59,G59/COS(K59*PI()/180))))</f>
        <v>0</v>
      </c>
      <c r="N59" s="468" t="str">
        <f>IF(C61="","",ROUND(L59,1))</f>
        <v/>
      </c>
      <c r="O59" s="469" t="str">
        <f>IF(C61="","",ROUND(M59,1))</f>
        <v/>
      </c>
      <c r="P59" s="353"/>
      <c r="Q59" s="465"/>
      <c r="R59" s="465"/>
      <c r="S59" s="64"/>
      <c r="T59" s="64" t="s">
        <v>23</v>
      </c>
      <c r="U59" s="358"/>
      <c r="V59" s="470" t="e">
        <f>(O59/P59+U59/60)/24</f>
        <v>#VALUE!</v>
      </c>
      <c r="W59" s="482"/>
      <c r="X59" s="64"/>
      <c r="Y59" s="65"/>
      <c r="Z59" s="64"/>
      <c r="AA59" s="64"/>
      <c r="AB59" s="53"/>
      <c r="AC59" s="69"/>
      <c r="AD59" s="507"/>
    </row>
    <row r="60" spans="1:30" ht="15" customHeight="1">
      <c r="A60" s="471" t="str">
        <f>IF(B60="","",A58+1)</f>
        <v/>
      </c>
      <c r="B60" s="394"/>
      <c r="C60" s="54"/>
      <c r="D60" s="472">
        <f>TRUNC(C60)+((C60-TRUNC(C60))/0.6)</f>
        <v>0</v>
      </c>
      <c r="E60" s="472">
        <f>TRUNC(C61)+((C61-TRUNC(C61))/0.6)</f>
        <v>0</v>
      </c>
      <c r="F60" s="473">
        <f>ROUND(((LOG10(TAN(PI()/4+(D60/2*PI()/180)))*7915.7046)-(3437.7468*((0.0816968^2*SIN(D60*PI()/180))+(0.0816968^4/3*((SIN(D60*PI()/180))^3))+(0.0816968^6/5*((SIN(D60*PI()/180))^5))))),2)</f>
        <v>0</v>
      </c>
      <c r="G60" s="464"/>
      <c r="H60" s="464">
        <f>IF(E60&lt;0,E60+360,E60)</f>
        <v>0</v>
      </c>
      <c r="I60" s="477"/>
      <c r="J60" s="478"/>
      <c r="K60" s="479"/>
      <c r="L60" s="472"/>
      <c r="M60" s="472"/>
      <c r="N60" s="468"/>
      <c r="O60" s="469"/>
      <c r="P60" s="353"/>
      <c r="Q60" s="465" t="str">
        <f>IF(O59="","",Q58+O59)</f>
        <v/>
      </c>
      <c r="R60" s="465" t="str">
        <f>IF(O59="","",R58-O59)</f>
        <v/>
      </c>
      <c r="S60" s="61"/>
      <c r="T60" s="61" t="s">
        <v>7</v>
      </c>
      <c r="U60" s="355"/>
      <c r="V60" s="470"/>
      <c r="W60" s="466" t="str">
        <f>IF(P59="","",W58+V59)</f>
        <v/>
      </c>
      <c r="X60" s="61"/>
      <c r="Y60" s="61"/>
      <c r="Z60" s="61"/>
      <c r="AA60" s="61"/>
      <c r="AB60" s="52"/>
      <c r="AC60" s="68"/>
      <c r="AD60" s="480"/>
    </row>
    <row r="61" spans="1:30" ht="15" customHeight="1">
      <c r="A61" s="471"/>
      <c r="B61" s="395"/>
      <c r="C61" s="55"/>
      <c r="D61" s="472"/>
      <c r="E61" s="472"/>
      <c r="F61" s="473"/>
      <c r="G61" s="464">
        <f>ABS(D60-D62)*60</f>
        <v>0</v>
      </c>
      <c r="H61" s="464"/>
      <c r="I61" s="477">
        <f>ABS(H60-H62)*60</f>
        <v>0</v>
      </c>
      <c r="J61" s="478">
        <f>ABS(F60-F62)</f>
        <v>0</v>
      </c>
      <c r="K61" s="479" t="e">
        <f>IF(AND(D60&lt;D62,H60=H62),0,IF(AND(D60&gt;D62,H60=H62),180,IF(AND(D60=D62,H60&lt;H62),90,IF(AND(D60=D62,H60&gt;H62),270,(ATAN(I61/J61)*180/PI())))))</f>
        <v>#DIV/0!</v>
      </c>
      <c r="L61" s="472" t="e">
        <f>IF(OR(K61=0,K61=90,K61=180,K61=270),K61,IF(AND(D60&lt;D62,H60&lt;H62),K61,IF(AND(D60&lt;D62,H60&gt;H62),360-K61,IF(AND(D60&gt;D62,H60&lt;H62),180-K61,IF(AND(D60&gt;D62,H60&gt;H62),180+K61)))))</f>
        <v>#DIV/0!</v>
      </c>
      <c r="M61" s="472">
        <f>(IF(I61=0,G61,IF(G61=0,COS(D62*PI()/180)*I61,G61/COS(K61*PI()/180))))</f>
        <v>0</v>
      </c>
      <c r="N61" s="468" t="str">
        <f>IF(C63="","",ROUND(L61,1))</f>
        <v/>
      </c>
      <c r="O61" s="469" t="str">
        <f>IF(C63="","",ROUND(M61,1))</f>
        <v/>
      </c>
      <c r="P61" s="353"/>
      <c r="Q61" s="465"/>
      <c r="R61" s="465"/>
      <c r="S61" s="64"/>
      <c r="T61" s="64" t="s">
        <v>23</v>
      </c>
      <c r="U61" s="358"/>
      <c r="V61" s="470" t="e">
        <f>(O61/P61+U61/60)/24</f>
        <v>#VALUE!</v>
      </c>
      <c r="W61" s="466"/>
      <c r="X61" s="64"/>
      <c r="Y61" s="65"/>
      <c r="Z61" s="64"/>
      <c r="AA61" s="64"/>
      <c r="AB61" s="53"/>
      <c r="AC61" s="69"/>
      <c r="AD61" s="480"/>
    </row>
    <row r="62" spans="1:30" ht="15" customHeight="1">
      <c r="A62" s="471" t="str">
        <f>IF(B62="","",A60+1)</f>
        <v/>
      </c>
      <c r="B62" s="308"/>
      <c r="C62" s="71"/>
      <c r="D62" s="472">
        <f>TRUNC(C62)+((C62-TRUNC(C62))/0.6)</f>
        <v>0</v>
      </c>
      <c r="E62" s="472">
        <f>TRUNC(C63)+((C63-TRUNC(C63))/0.6)</f>
        <v>0</v>
      </c>
      <c r="F62" s="473">
        <f>ROUND(((LOG10(TAN(PI()/4+(D62/2*PI()/180)))*7915.7046)-(3437.7468*((0.0816968^2*SIN(D62*PI()/180))+(0.0816968^4/3*((SIN(D62*PI()/180))^3))+(0.0816968^6/5*((SIN(D62*PI()/180))^5))))),2)</f>
        <v>0</v>
      </c>
      <c r="G62" s="464"/>
      <c r="H62" s="464">
        <f>IF(E62&lt;0,E62+360,E62)</f>
        <v>0</v>
      </c>
      <c r="I62" s="477"/>
      <c r="J62" s="478"/>
      <c r="K62" s="479"/>
      <c r="L62" s="472"/>
      <c r="M62" s="472"/>
      <c r="N62" s="468"/>
      <c r="O62" s="469"/>
      <c r="P62" s="353"/>
      <c r="Q62" s="501" t="str">
        <f>IF(O61="","",Q60+O61)</f>
        <v/>
      </c>
      <c r="R62" s="501" t="str">
        <f>IF(O61="","",R60-O61)</f>
        <v/>
      </c>
      <c r="S62" s="61"/>
      <c r="T62" s="61" t="s">
        <v>7</v>
      </c>
      <c r="U62" s="355"/>
      <c r="V62" s="470"/>
      <c r="W62" s="466" t="str">
        <f>IF(P61="","",W60+V61)</f>
        <v/>
      </c>
      <c r="X62" s="61"/>
      <c r="Y62" s="61"/>
      <c r="Z62" s="61"/>
      <c r="AA62" s="61"/>
      <c r="AB62" s="52"/>
      <c r="AC62" s="68"/>
      <c r="AD62" s="504"/>
    </row>
    <row r="63" spans="1:30" ht="15" customHeight="1">
      <c r="A63" s="471"/>
      <c r="B63" s="309"/>
      <c r="C63" s="72"/>
      <c r="D63" s="472"/>
      <c r="E63" s="472"/>
      <c r="F63" s="473"/>
      <c r="G63" s="464">
        <f>ABS(D62-D64)*60</f>
        <v>0</v>
      </c>
      <c r="H63" s="464"/>
      <c r="I63" s="477">
        <f>ABS(H62-H64)*60</f>
        <v>0</v>
      </c>
      <c r="J63" s="478">
        <f>ABS(F62-F64)</f>
        <v>0</v>
      </c>
      <c r="K63" s="479" t="e">
        <f>IF(AND(D62&lt;D64,H62=H64),0,IF(AND(D62&gt;D64,H62=H64),180,IF(AND(D62=D64,H62&lt;H64),90,IF(AND(D62=D64,H62&gt;H64),270,(ATAN(I63/J63)*180/PI())))))</f>
        <v>#DIV/0!</v>
      </c>
      <c r="L63" s="472" t="e">
        <f>IF(OR(K63=0,K63=90,K63=180,K63=270),K63,IF(AND(D62&lt;D64,H62&lt;H64),K63,IF(AND(D62&lt;D64,H62&gt;H64),360-K63,IF(AND(D62&gt;D64,H62&lt;H64),180-K63,IF(AND(D62&gt;D64,H62&gt;H64),180+K63)))))</f>
        <v>#DIV/0!</v>
      </c>
      <c r="M63" s="472">
        <f>(IF(I63=0,G63,IF(G63=0,COS(D64*PI()/180)*I63,G63/COS(K63*PI()/180))))</f>
        <v>0</v>
      </c>
      <c r="N63" s="468" t="str">
        <f>IF(C65="","",ROUND(L63,1))</f>
        <v/>
      </c>
      <c r="O63" s="469" t="str">
        <f>IF(C65="","",ROUND(M63,1))</f>
        <v/>
      </c>
      <c r="P63" s="353"/>
      <c r="Q63" s="501"/>
      <c r="R63" s="501"/>
      <c r="S63" s="64"/>
      <c r="T63" s="64" t="s">
        <v>23</v>
      </c>
      <c r="U63" s="358"/>
      <c r="V63" s="470" t="e">
        <f>(O63/P63+U63/60)/24</f>
        <v>#VALUE!</v>
      </c>
      <c r="W63" s="466"/>
      <c r="X63" s="64"/>
      <c r="Y63" s="65"/>
      <c r="Z63" s="64"/>
      <c r="AA63" s="64"/>
      <c r="AB63" s="73"/>
      <c r="AC63" s="69"/>
      <c r="AD63" s="505"/>
    </row>
    <row r="64" spans="1:30" ht="15" customHeight="1">
      <c r="A64" s="471" t="str">
        <f>IF(B64="","",A62+1)</f>
        <v/>
      </c>
      <c r="B64" s="308"/>
      <c r="C64" s="71"/>
      <c r="D64" s="472">
        <f>TRUNC(C64)+((C64-TRUNC(C64))/0.6)</f>
        <v>0</v>
      </c>
      <c r="E64" s="472">
        <f>TRUNC(C65)+((C65-TRUNC(C65))/0.6)</f>
        <v>0</v>
      </c>
      <c r="F64" s="473">
        <f>ROUND(((LOG10(TAN(PI()/4+(D64/2*PI()/180)))*7915.7046)-(3437.7468*((0.0816968^2*SIN(D64*PI()/180))+(0.0816968^4/3*((SIN(D64*PI()/180))^3))+(0.0816968^6/5*((SIN(D64*PI()/180))^5))))),2)</f>
        <v>0</v>
      </c>
      <c r="G64" s="464"/>
      <c r="H64" s="464">
        <f>IF(E64&lt;0,E64+360,E64)</f>
        <v>0</v>
      </c>
      <c r="I64" s="477"/>
      <c r="J64" s="478"/>
      <c r="K64" s="479"/>
      <c r="L64" s="472"/>
      <c r="M64" s="472"/>
      <c r="N64" s="468"/>
      <c r="O64" s="469"/>
      <c r="P64" s="353"/>
      <c r="Q64" s="501" t="str">
        <f>IF(O63="","",Q62+O63)</f>
        <v/>
      </c>
      <c r="R64" s="501" t="str">
        <f>IF(O63="","",R62-O63)</f>
        <v/>
      </c>
      <c r="S64" s="61"/>
      <c r="T64" s="61" t="s">
        <v>7</v>
      </c>
      <c r="U64" s="355"/>
      <c r="V64" s="470"/>
      <c r="W64" s="466" t="str">
        <f>IF(P63="","",W62+V63)</f>
        <v/>
      </c>
      <c r="X64" s="61"/>
      <c r="Y64" s="61"/>
      <c r="Z64" s="61"/>
      <c r="AA64" s="61"/>
      <c r="AB64" s="52"/>
      <c r="AC64" s="68"/>
      <c r="AD64" s="480"/>
    </row>
    <row r="65" spans="1:30" ht="15" customHeight="1">
      <c r="A65" s="471"/>
      <c r="B65" s="309"/>
      <c r="C65" s="72"/>
      <c r="D65" s="472"/>
      <c r="E65" s="472"/>
      <c r="F65" s="473"/>
      <c r="G65" s="464">
        <f>ABS(D64-D66)*60</f>
        <v>0</v>
      </c>
      <c r="H65" s="464"/>
      <c r="I65" s="477">
        <f>ABS(H64-H66)*60</f>
        <v>0</v>
      </c>
      <c r="J65" s="478">
        <f>ABS(F64-F66)</f>
        <v>0</v>
      </c>
      <c r="K65" s="479" t="e">
        <f>IF(AND(D64&lt;D66,H64=H66),0,IF(AND(D64&gt;D66,H64=H66),180,IF(AND(D64=D66,H64&lt;H66),90,IF(AND(D64=D66,H64&gt;H66),270,(ATAN(I65/J65)*180/PI())))))</f>
        <v>#DIV/0!</v>
      </c>
      <c r="L65" s="472" t="e">
        <f>IF(OR(K65=0,K65=90,K65=180,K65=270),K65,IF(AND(D64&lt;D66,H64&lt;H66),K65,IF(AND(D64&lt;D66,H64&gt;H66),360-K65,IF(AND(D64&gt;D66,H64&lt;H66),180-K65,IF(AND(D64&gt;D66,H64&gt;H66),180+K65)))))</f>
        <v>#DIV/0!</v>
      </c>
      <c r="M65" s="472">
        <f>(IF(I65=0,G65,IF(G65=0,COS(D66*PI()/180)*I65,G65/COS(K65*PI()/180))))</f>
        <v>0</v>
      </c>
      <c r="N65" s="468" t="str">
        <f>IF(C67="","",ROUND(L65,1))</f>
        <v/>
      </c>
      <c r="O65" s="469" t="str">
        <f>IF(C67="","",ROUND(M65,1))</f>
        <v/>
      </c>
      <c r="P65" s="353"/>
      <c r="Q65" s="501"/>
      <c r="R65" s="501"/>
      <c r="S65" s="64"/>
      <c r="T65" s="64" t="s">
        <v>23</v>
      </c>
      <c r="U65" s="358"/>
      <c r="V65" s="470" t="e">
        <f>(O65/P65+U65/60)/24</f>
        <v>#VALUE!</v>
      </c>
      <c r="W65" s="466"/>
      <c r="X65" s="64"/>
      <c r="Y65" s="65"/>
      <c r="Z65" s="64"/>
      <c r="AA65" s="64"/>
      <c r="AB65" s="53"/>
      <c r="AC65" s="69"/>
      <c r="AD65" s="480"/>
    </row>
    <row r="66" spans="1:30" ht="15" customHeight="1">
      <c r="A66" s="471" t="str">
        <f>IF(B66="","",A64+1)</f>
        <v/>
      </c>
      <c r="B66" s="392"/>
      <c r="C66" s="54"/>
      <c r="D66" s="472">
        <f>TRUNC(C66)+((C66-TRUNC(C66))/0.6)</f>
        <v>0</v>
      </c>
      <c r="E66" s="472">
        <f>TRUNC(C67)+((C67-TRUNC(C67))/0.6)</f>
        <v>0</v>
      </c>
      <c r="F66" s="473">
        <f>ROUND(((LOG10(TAN(PI()/4+(D66/2*PI()/180)))*7915.7046)-(3437.7468*((0.0816968^2*SIN(D66*PI()/180))+(0.0816968^4/3*((SIN(D66*PI()/180))^3))+(0.0816968^6/5*((SIN(D66*PI()/180))^5))))),2)</f>
        <v>0</v>
      </c>
      <c r="G66" s="464"/>
      <c r="H66" s="464">
        <f>IF(E66&lt;0,E66+360,E66)</f>
        <v>0</v>
      </c>
      <c r="I66" s="477"/>
      <c r="J66" s="478"/>
      <c r="K66" s="479"/>
      <c r="L66" s="472"/>
      <c r="M66" s="472"/>
      <c r="N66" s="468"/>
      <c r="O66" s="469"/>
      <c r="P66" s="353"/>
      <c r="Q66" s="465" t="str">
        <f>IF(O65="","",Q64+O65)</f>
        <v/>
      </c>
      <c r="R66" s="465" t="str">
        <f>IF(O65="","",R64-O65)</f>
        <v/>
      </c>
      <c r="S66" s="61"/>
      <c r="T66" s="61" t="s">
        <v>7</v>
      </c>
      <c r="U66" s="355"/>
      <c r="V66" s="470"/>
      <c r="W66" s="466" t="str">
        <f>IF(P65="","",W64+V65)</f>
        <v/>
      </c>
      <c r="X66" s="61"/>
      <c r="Y66" s="61"/>
      <c r="Z66" s="61"/>
      <c r="AA66" s="61"/>
      <c r="AB66" s="52"/>
      <c r="AC66" s="68"/>
      <c r="AD66" s="503"/>
    </row>
    <row r="67" spans="1:30" ht="15" customHeight="1">
      <c r="A67" s="471"/>
      <c r="B67" s="392"/>
      <c r="C67" s="55"/>
      <c r="D67" s="472"/>
      <c r="E67" s="472"/>
      <c r="F67" s="473"/>
      <c r="G67" s="464">
        <f>ABS(D66-D68)*60</f>
        <v>0</v>
      </c>
      <c r="H67" s="464"/>
      <c r="I67" s="477">
        <f>ABS(H66-H68)*60</f>
        <v>0</v>
      </c>
      <c r="J67" s="478">
        <f>ABS(F66-F68)</f>
        <v>0</v>
      </c>
      <c r="K67" s="479" t="e">
        <f>IF(AND(D66&lt;D68,H66=H68),0,IF(AND(D66&gt;D68,H66=H68),180,IF(AND(D66=D68,H66&lt;H68),90,IF(AND(D66=D68,H66&gt;H68),270,(ATAN(I67/J67)*180/PI())))))</f>
        <v>#DIV/0!</v>
      </c>
      <c r="L67" s="472" t="e">
        <f>IF(OR(K67=0,K67=90,K67=180,K67=270),K67,IF(AND(D66&lt;D68,H66&lt;H68),K67,IF(AND(D66&lt;D68,H66&gt;H68),360-K67,IF(AND(D66&gt;D68,H66&lt;H68),180-K67,IF(AND(D66&gt;D68,H66&gt;H68),180+K67)))))</f>
        <v>#DIV/0!</v>
      </c>
      <c r="M67" s="472">
        <f>(IF(I67=0,G67,IF(G67=0,COS(D68*PI()/180)*I67,G67/COS(K67*PI()/180))))</f>
        <v>0</v>
      </c>
      <c r="N67" s="468" t="str">
        <f>IF(C69="","",ROUND(L67,1))</f>
        <v/>
      </c>
      <c r="O67" s="469" t="str">
        <f>IF(C69="","",ROUND(M67,1))</f>
        <v/>
      </c>
      <c r="P67" s="353"/>
      <c r="Q67" s="465"/>
      <c r="R67" s="465"/>
      <c r="S67" s="64"/>
      <c r="T67" s="64" t="s">
        <v>24</v>
      </c>
      <c r="U67" s="358"/>
      <c r="V67" s="470" t="e">
        <f>(O67/P67+U67/60)/24</f>
        <v>#VALUE!</v>
      </c>
      <c r="W67" s="466"/>
      <c r="X67" s="64"/>
      <c r="Y67" s="65"/>
      <c r="Z67" s="64"/>
      <c r="AA67" s="64"/>
      <c r="AB67" s="53"/>
      <c r="AC67" s="69"/>
      <c r="AD67" s="503"/>
    </row>
    <row r="68" spans="1:30" ht="15" customHeight="1">
      <c r="A68" s="502" t="str">
        <f>IF(B68="","",A66+1)</f>
        <v/>
      </c>
      <c r="B68" s="393"/>
      <c r="C68" s="71"/>
      <c r="D68" s="472">
        <f>TRUNC(C68)+((C68-TRUNC(C68))/0.6)</f>
        <v>0</v>
      </c>
      <c r="E68" s="472">
        <f>TRUNC(C69)+((C69-TRUNC(C69))/0.6)</f>
        <v>0</v>
      </c>
      <c r="F68" s="473">
        <f>ROUND(((LOG10(TAN(PI()/4+(D68/2*PI()/180)))*7915.7046)-(3437.7468*((0.0816968^2*SIN(D68*PI()/180))+(0.0816968^4/3*((SIN(D68*PI()/180))^3))+(0.0816968^6/5*((SIN(D68*PI()/180))^5))))),2)</f>
        <v>0</v>
      </c>
      <c r="G68" s="464"/>
      <c r="H68" s="464">
        <f>IF(E68&lt;0,E68+360,E68)</f>
        <v>0</v>
      </c>
      <c r="I68" s="477"/>
      <c r="J68" s="478"/>
      <c r="K68" s="479"/>
      <c r="L68" s="472"/>
      <c r="M68" s="472"/>
      <c r="N68" s="468"/>
      <c r="O68" s="469"/>
      <c r="P68" s="353"/>
      <c r="Q68" s="501" t="str">
        <f>IF(O67="","",Q66+O67)</f>
        <v/>
      </c>
      <c r="R68" s="501" t="str">
        <f>IF(O67="","",R66-O67)</f>
        <v/>
      </c>
      <c r="S68" s="61"/>
      <c r="T68" s="61" t="s">
        <v>7</v>
      </c>
      <c r="U68" s="355"/>
      <c r="V68" s="470"/>
      <c r="W68" s="466" t="str">
        <f>IF(P67="","",W66+V67)</f>
        <v/>
      </c>
      <c r="X68" s="61"/>
      <c r="Y68" s="61"/>
      <c r="Z68" s="61"/>
      <c r="AA68" s="61"/>
      <c r="AB68" s="52"/>
      <c r="AC68" s="68"/>
      <c r="AD68" s="480"/>
    </row>
    <row r="69" spans="1:30" ht="15" customHeight="1">
      <c r="A69" s="502"/>
      <c r="B69" s="393"/>
      <c r="C69" s="72"/>
      <c r="D69" s="472"/>
      <c r="E69" s="472"/>
      <c r="F69" s="473"/>
      <c r="G69" s="464">
        <f>ABS(D68-D70)*60</f>
        <v>0</v>
      </c>
      <c r="H69" s="464"/>
      <c r="I69" s="477">
        <f>ABS(H68-H70)*60</f>
        <v>0</v>
      </c>
      <c r="J69" s="478">
        <f>ABS(F68-F70)</f>
        <v>0</v>
      </c>
      <c r="K69" s="479" t="e">
        <f>IF(AND(D68&lt;D70,H68=H70),0,IF(AND(D68&gt;D70,H68=H70),180,IF(AND(D68=D70,H68&lt;H70),90,IF(AND(D68=D70,H68&gt;H70),270,(ATAN(I69/J69)*180/PI())))))</f>
        <v>#DIV/0!</v>
      </c>
      <c r="L69" s="472" t="e">
        <f>IF(OR(K69=0,K69=90,K69=180,K69=270),K69,IF(AND(D68&lt;D70,H68&lt;H70),K69,IF(AND(D68&lt;D70,H68&gt;H70),360-K69,IF(AND(D68&gt;D70,H68&lt;H70),180-K69,IF(AND(D68&gt;D70,H68&gt;H70),180+K69)))))</f>
        <v>#DIV/0!</v>
      </c>
      <c r="M69" s="472">
        <f>(IF(I69=0,G69,IF(G69=0,COS(D70*PI()/180)*I69,G69/COS(K69*PI()/180))))</f>
        <v>0</v>
      </c>
      <c r="N69" s="468" t="str">
        <f>IF(C71="","",ROUND(L69,1))</f>
        <v/>
      </c>
      <c r="O69" s="469" t="str">
        <f>IF(C71="","",ROUND(M69,1))</f>
        <v/>
      </c>
      <c r="P69" s="353"/>
      <c r="Q69" s="501"/>
      <c r="R69" s="501"/>
      <c r="S69" s="64"/>
      <c r="T69" s="64" t="s">
        <v>23</v>
      </c>
      <c r="U69" s="358"/>
      <c r="V69" s="470" t="e">
        <f>(O69/P69+U69/60)/24</f>
        <v>#VALUE!</v>
      </c>
      <c r="W69" s="466"/>
      <c r="X69" s="64"/>
      <c r="Y69" s="65"/>
      <c r="Z69" s="64"/>
      <c r="AA69" s="64"/>
      <c r="AB69" s="53"/>
      <c r="AC69" s="69"/>
      <c r="AD69" s="480"/>
    </row>
    <row r="70" spans="1:30" ht="15" customHeight="1">
      <c r="A70" s="471" t="str">
        <f>IF(B70="","",A68+1)</f>
        <v/>
      </c>
      <c r="B70" s="392"/>
      <c r="C70" s="54"/>
      <c r="D70" s="472">
        <f>TRUNC(C70)+((C70-TRUNC(C70))/0.6)</f>
        <v>0</v>
      </c>
      <c r="E70" s="472">
        <f>TRUNC(C71)+((C71-TRUNC(C71))/0.6)</f>
        <v>0</v>
      </c>
      <c r="F70" s="473">
        <f>ROUND(((LOG10(TAN(PI()/4+(D70/2*PI()/180)))*7915.7046)-(3437.7468*((0.0816968^2*SIN(D70*PI()/180))+(0.0816968^4/3*((SIN(D70*PI()/180))^3))+(0.0816968^6/5*((SIN(D70*PI()/180))^5))))),2)</f>
        <v>0</v>
      </c>
      <c r="G70" s="464"/>
      <c r="H70" s="464">
        <f>IF(E70&lt;0,E70+360,E70)</f>
        <v>0</v>
      </c>
      <c r="I70" s="477"/>
      <c r="J70" s="478"/>
      <c r="K70" s="479"/>
      <c r="L70" s="472"/>
      <c r="M70" s="472"/>
      <c r="N70" s="468"/>
      <c r="O70" s="469"/>
      <c r="P70" s="353"/>
      <c r="Q70" s="465" t="str">
        <f>IF(O69="","",Q68+O69)</f>
        <v/>
      </c>
      <c r="R70" s="465" t="str">
        <f>IF(O69="","",R68-O69)</f>
        <v/>
      </c>
      <c r="S70" s="61"/>
      <c r="T70" s="61" t="s">
        <v>25</v>
      </c>
      <c r="U70" s="355"/>
      <c r="V70" s="470"/>
      <c r="W70" s="466" t="str">
        <f>IF(P69="","",W68+V69)</f>
        <v/>
      </c>
      <c r="X70" s="61"/>
      <c r="Y70" s="61"/>
      <c r="Z70" s="61"/>
      <c r="AA70" s="61"/>
      <c r="AB70" s="52"/>
      <c r="AC70" s="68"/>
      <c r="AD70" s="480"/>
    </row>
    <row r="71" spans="1:30" ht="15" customHeight="1">
      <c r="A71" s="471"/>
      <c r="B71" s="392"/>
      <c r="C71" s="55"/>
      <c r="D71" s="472"/>
      <c r="E71" s="472"/>
      <c r="F71" s="473"/>
      <c r="G71" s="464">
        <f>ABS(D70-D72)*60</f>
        <v>0</v>
      </c>
      <c r="H71" s="464"/>
      <c r="I71" s="477">
        <f>ABS(H70-H72)*60</f>
        <v>0</v>
      </c>
      <c r="J71" s="478">
        <f>ABS(F70-F72)</f>
        <v>0</v>
      </c>
      <c r="K71" s="479" t="e">
        <f>IF(AND(D70&lt;D72,H70=H72),0,IF(AND(D70&gt;D72,H70=H72),180,IF(AND(D70=D72,H70&lt;H72),90,IF(AND(D70=D72,H70&gt;H72),270,(ATAN(I71/J71)*180/PI())))))</f>
        <v>#DIV/0!</v>
      </c>
      <c r="L71" s="472" t="e">
        <f>IF(OR(K71=0,K71=90,K71=180,K71=270),K71,IF(AND(D70&lt;D72,H70&lt;H72),K71,IF(AND(D70&lt;D72,H70&gt;H72),360-K71,IF(AND(D70&gt;D72,H70&lt;H72),180-K71,IF(AND(D70&gt;D72,H70&gt;H72),180+K71)))))</f>
        <v>#DIV/0!</v>
      </c>
      <c r="M71" s="472">
        <f>(IF(I71=0,G71,IF(G71=0,COS(D72*PI()/180)*I71,G71/COS(K71*PI()/180))))</f>
        <v>0</v>
      </c>
      <c r="N71" s="468" t="str">
        <f>IF(C73="","",ROUND(L71,1))</f>
        <v/>
      </c>
      <c r="O71" s="469" t="str">
        <f>IF(C73="","",ROUND(M71,1))</f>
        <v/>
      </c>
      <c r="P71" s="353"/>
      <c r="Q71" s="465"/>
      <c r="R71" s="465"/>
      <c r="S71" s="64"/>
      <c r="T71" s="64" t="s">
        <v>24</v>
      </c>
      <c r="U71" s="358"/>
      <c r="V71" s="470" t="e">
        <f>(O71/P71+U71/60)/24</f>
        <v>#VALUE!</v>
      </c>
      <c r="W71" s="466"/>
      <c r="X71" s="64"/>
      <c r="Y71" s="65"/>
      <c r="Z71" s="64"/>
      <c r="AA71" s="64"/>
      <c r="AB71" s="53"/>
      <c r="AC71" s="69"/>
      <c r="AD71" s="480"/>
    </row>
    <row r="72" spans="1:30" ht="15" customHeight="1">
      <c r="A72" s="471" t="str">
        <f>IF(B72="","",A70+1)</f>
        <v/>
      </c>
      <c r="B72" s="392"/>
      <c r="C72" s="54"/>
      <c r="D72" s="472">
        <f>TRUNC(C72)+((C72-TRUNC(C72))/0.6)</f>
        <v>0</v>
      </c>
      <c r="E72" s="472">
        <f>TRUNC(C73)+((C73-TRUNC(C73))/0.6)</f>
        <v>0</v>
      </c>
      <c r="F72" s="473">
        <f>ROUND(((LOG10(TAN(PI()/4+(D72/2*PI()/180)))*7915.7046)-(3437.7468*((0.0816968^2*SIN(D72*PI()/180))+(0.0816968^4/3*((SIN(D72*PI()/180))^3))+(0.0816968^6/5*((SIN(D72*PI()/180))^5))))),2)</f>
        <v>0</v>
      </c>
      <c r="G72" s="464"/>
      <c r="H72" s="464">
        <f>IF(E72&lt;0,E72+360,E72)</f>
        <v>0</v>
      </c>
      <c r="I72" s="477"/>
      <c r="J72" s="478"/>
      <c r="K72" s="479"/>
      <c r="L72" s="472"/>
      <c r="M72" s="472"/>
      <c r="N72" s="468"/>
      <c r="O72" s="469"/>
      <c r="P72" s="353"/>
      <c r="Q72" s="465" t="str">
        <f>IF(O71="","",Q70+O71)</f>
        <v/>
      </c>
      <c r="R72" s="465" t="str">
        <f>IF(O71="","",R70-O71)</f>
        <v/>
      </c>
      <c r="S72" s="61"/>
      <c r="T72" s="61" t="s">
        <v>25</v>
      </c>
      <c r="U72" s="355"/>
      <c r="V72" s="470"/>
      <c r="W72" s="466" t="str">
        <f>IF(P71="","",W70+V71)</f>
        <v/>
      </c>
      <c r="X72" s="61"/>
      <c r="Y72" s="61"/>
      <c r="Z72" s="61"/>
      <c r="AA72" s="61"/>
      <c r="AB72" s="52"/>
      <c r="AC72" s="68"/>
      <c r="AD72" s="480"/>
    </row>
    <row r="73" spans="1:30" ht="15" customHeight="1">
      <c r="A73" s="471"/>
      <c r="B73" s="392"/>
      <c r="C73" s="55"/>
      <c r="D73" s="472"/>
      <c r="E73" s="472"/>
      <c r="F73" s="473"/>
      <c r="G73" s="464">
        <f>ABS(D72-D74)*60</f>
        <v>0</v>
      </c>
      <c r="H73" s="464"/>
      <c r="I73" s="477">
        <f>ABS(H72-H74)*60</f>
        <v>0</v>
      </c>
      <c r="J73" s="478">
        <f>ABS(F72-F74)</f>
        <v>0</v>
      </c>
      <c r="K73" s="479" t="e">
        <f>IF(AND(D72&lt;D74,H72=H74),0,IF(AND(D72&gt;D74,H72=H74),180,IF(AND(D72=D74,H72&lt;H74),90,IF(AND(D72=D74,H72&gt;H74),270,(ATAN(I73/J73)*180/PI())))))</f>
        <v>#DIV/0!</v>
      </c>
      <c r="L73" s="472" t="e">
        <f>IF(OR(K73=0,K73=90,K73=180,K73=270),K73,IF(AND(D72&lt;D74,H72&lt;H74),K73,IF(AND(D72&lt;D74,H72&gt;H74),360-K73,IF(AND(D72&gt;D74,H72&lt;H74),180-K73,IF(AND(D72&gt;D74,H72&gt;H74),180+K73)))))</f>
        <v>#DIV/0!</v>
      </c>
      <c r="M73" s="472">
        <f>(IF(I73=0,G73,IF(G73=0,COS(D74*PI()/180)*I73,G73/COS(K73*PI()/180))))</f>
        <v>0</v>
      </c>
      <c r="N73" s="468" t="str">
        <f>IF(C75="","",ROUND(L73,1))</f>
        <v/>
      </c>
      <c r="O73" s="469" t="str">
        <f>IF(C75="","",ROUND(M73,1))</f>
        <v/>
      </c>
      <c r="P73" s="353"/>
      <c r="Q73" s="465"/>
      <c r="R73" s="465"/>
      <c r="S73" s="64"/>
      <c r="T73" s="64" t="s">
        <v>24</v>
      </c>
      <c r="U73" s="358"/>
      <c r="V73" s="470" t="e">
        <f>(O73/P73+U73/60)/24</f>
        <v>#VALUE!</v>
      </c>
      <c r="W73" s="466"/>
      <c r="X73" s="64"/>
      <c r="Y73" s="65"/>
      <c r="Z73" s="64"/>
      <c r="AA73" s="64"/>
      <c r="AB73" s="53"/>
      <c r="AC73" s="69"/>
      <c r="AD73" s="480"/>
    </row>
    <row r="74" spans="1:30" ht="15" customHeight="1">
      <c r="A74" s="471" t="str">
        <f>IF(B74="","",A72+1)</f>
        <v/>
      </c>
      <c r="B74" s="392"/>
      <c r="C74" s="54"/>
      <c r="D74" s="472">
        <f>TRUNC(C74)+((C74-TRUNC(C74))/0.6)</f>
        <v>0</v>
      </c>
      <c r="E74" s="472">
        <f>TRUNC(C75)+((C75-TRUNC(C75))/0.6)</f>
        <v>0</v>
      </c>
      <c r="F74" s="473">
        <f>ROUND(((LOG10(TAN(PI()/4+(D74/2*PI()/180)))*7915.7046)-(3437.7468*((0.0816968^2*SIN(D74*PI()/180))+(0.0816968^4/3*((SIN(D74*PI()/180))^3))+(0.0816968^6/5*((SIN(D74*PI()/180))^5))))),2)</f>
        <v>0</v>
      </c>
      <c r="G74" s="464"/>
      <c r="H74" s="464">
        <f>IF(E74&lt;0,E74+360,E74)</f>
        <v>0</v>
      </c>
      <c r="I74" s="477"/>
      <c r="J74" s="478"/>
      <c r="K74" s="479"/>
      <c r="L74" s="472"/>
      <c r="M74" s="472"/>
      <c r="N74" s="468"/>
      <c r="O74" s="469"/>
      <c r="P74" s="353"/>
      <c r="Q74" s="465" t="str">
        <f>IF(O73="","",Q72+O73)</f>
        <v/>
      </c>
      <c r="R74" s="465" t="str">
        <f>IF(O73="","",R72-O73)</f>
        <v/>
      </c>
      <c r="S74" s="61"/>
      <c r="T74" s="61" t="s">
        <v>30</v>
      </c>
      <c r="U74" s="355"/>
      <c r="V74" s="470"/>
      <c r="W74" s="466" t="str">
        <f>IF(P73="","",W72+V73)</f>
        <v/>
      </c>
      <c r="X74" s="61"/>
      <c r="Y74" s="61"/>
      <c r="Z74" s="61"/>
      <c r="AA74" s="61"/>
      <c r="AB74" s="52"/>
      <c r="AC74" s="68"/>
      <c r="AD74" s="480"/>
    </row>
    <row r="75" spans="1:30" ht="15" customHeight="1">
      <c r="A75" s="471"/>
      <c r="B75" s="392"/>
      <c r="C75" s="55"/>
      <c r="D75" s="472"/>
      <c r="E75" s="472"/>
      <c r="F75" s="473"/>
      <c r="G75" s="464">
        <f>ABS(D74-D76)*60</f>
        <v>0</v>
      </c>
      <c r="H75" s="464"/>
      <c r="I75" s="477">
        <f>ABS(H74-H76)*60</f>
        <v>0</v>
      </c>
      <c r="J75" s="478">
        <f>ABS(F74-F76)</f>
        <v>0</v>
      </c>
      <c r="K75" s="479" t="e">
        <f>IF(AND(D74&lt;D76,H74=H76),0,IF(AND(D74&gt;D76,H74=H76),180,IF(AND(D74=D76,H74&lt;H76),90,IF(AND(D74=D76,H74&gt;H76),270,(ATAN(I75/J75)*180/PI())))))</f>
        <v>#DIV/0!</v>
      </c>
      <c r="L75" s="472" t="e">
        <f>IF(OR(K75=0,K75=90,K75=180,K75=270),K75,IF(AND(D74&lt;D76,H74&lt;H76),K75,IF(AND(D74&lt;D76,H74&gt;H76),360-K75,IF(AND(D74&gt;D76,H74&lt;H76),180-K75,IF(AND(D74&gt;D76,H74&gt;H76),180+K75)))))</f>
        <v>#DIV/0!</v>
      </c>
      <c r="M75" s="472">
        <f>(IF(I75=0,G75,IF(G75=0,COS(D76*PI()/180)*I75,G75/COS(K75*PI()/180))))</f>
        <v>0</v>
      </c>
      <c r="N75" s="468" t="str">
        <f>IF(C77="","",ROUND(L75,1))</f>
        <v/>
      </c>
      <c r="O75" s="469" t="str">
        <f>IF(C77="","",ROUND(M75,1))</f>
        <v/>
      </c>
      <c r="P75" s="353"/>
      <c r="Q75" s="465"/>
      <c r="R75" s="465"/>
      <c r="S75" s="64"/>
      <c r="T75" s="64" t="s">
        <v>24</v>
      </c>
      <c r="U75" s="358"/>
      <c r="V75" s="470" t="e">
        <f>(O75/P75+U75/60)/24</f>
        <v>#VALUE!</v>
      </c>
      <c r="W75" s="466"/>
      <c r="X75" s="64"/>
      <c r="Y75" s="65"/>
      <c r="Z75" s="64"/>
      <c r="AA75" s="64"/>
      <c r="AB75" s="53"/>
      <c r="AC75" s="69"/>
      <c r="AD75" s="480"/>
    </row>
    <row r="76" spans="1:30" ht="15" customHeight="1">
      <c r="A76" s="471" t="str">
        <f>IF(B76="","",A74+1)</f>
        <v/>
      </c>
      <c r="B76" s="392"/>
      <c r="C76" s="54"/>
      <c r="D76" s="472">
        <f>TRUNC(C76)+((C76-TRUNC(C76))/0.6)</f>
        <v>0</v>
      </c>
      <c r="E76" s="472">
        <f>TRUNC(C77)+((C77-TRUNC(C77))/0.6)</f>
        <v>0</v>
      </c>
      <c r="F76" s="473">
        <f>ROUND(((LOG10(TAN(PI()/4+(D76/2*PI()/180)))*7915.7046)-(3437.7468*((0.0816968^2*SIN(D76*PI()/180))+(0.0816968^4/3*((SIN(D76*PI()/180))^3))+(0.0816968^6/5*((SIN(D76*PI()/180))^5))))),2)</f>
        <v>0</v>
      </c>
      <c r="G76" s="464"/>
      <c r="H76" s="464">
        <f>IF(E76&lt;0,E76+360,E76)</f>
        <v>0</v>
      </c>
      <c r="I76" s="477"/>
      <c r="J76" s="478"/>
      <c r="K76" s="479"/>
      <c r="L76" s="472"/>
      <c r="M76" s="472"/>
      <c r="N76" s="468"/>
      <c r="O76" s="469"/>
      <c r="P76" s="353"/>
      <c r="Q76" s="465" t="str">
        <f>IF(O75="","",Q74+O75)</f>
        <v/>
      </c>
      <c r="R76" s="465" t="str">
        <f>IF(O75="","",R74-O75)</f>
        <v/>
      </c>
      <c r="S76" s="61"/>
      <c r="T76" s="61" t="s">
        <v>25</v>
      </c>
      <c r="U76" s="355"/>
      <c r="V76" s="470"/>
      <c r="W76" s="466" t="str">
        <f>IF(P75="","",W74+V75)</f>
        <v/>
      </c>
      <c r="X76" s="61"/>
      <c r="Y76" s="61"/>
      <c r="Z76" s="61"/>
      <c r="AA76" s="61"/>
      <c r="AB76" s="52"/>
      <c r="AC76" s="68"/>
      <c r="AD76" s="480"/>
    </row>
    <row r="77" spans="1:30" ht="15" customHeight="1">
      <c r="A77" s="471"/>
      <c r="B77" s="392"/>
      <c r="C77" s="55"/>
      <c r="D77" s="472"/>
      <c r="E77" s="472"/>
      <c r="F77" s="473"/>
      <c r="G77" s="464">
        <f>ABS(D76-D78)*60</f>
        <v>0</v>
      </c>
      <c r="H77" s="464"/>
      <c r="I77" s="477">
        <f>ABS(H76-H78)*60</f>
        <v>0</v>
      </c>
      <c r="J77" s="478">
        <f>ABS(F76-F78)</f>
        <v>0</v>
      </c>
      <c r="K77" s="479" t="e">
        <f>IF(AND(D76&lt;D78,H76=H78),0,IF(AND(D76&gt;D78,H76=H78),180,IF(AND(D76=D78,H76&lt;H78),90,IF(AND(D76=D78,H76&gt;H78),270,(ATAN(I77/J77)*180/PI())))))</f>
        <v>#DIV/0!</v>
      </c>
      <c r="L77" s="472" t="e">
        <f>IF(OR(K77=0,K77=90,K77=180,K77=270),K77,IF(AND(D76&lt;D78,H76&lt;H78),K77,IF(AND(D76&lt;D78,H76&gt;H78),360-K77,IF(AND(D76&gt;D78,H76&lt;H78),180-K77,IF(AND(D76&gt;D78,H76&gt;H78),180+K77)))))</f>
        <v>#DIV/0!</v>
      </c>
      <c r="M77" s="472">
        <f>(IF(I77=0,G77,IF(G77=0,COS(D78*PI()/180)*I77,G77/COS(K77*PI()/180))))</f>
        <v>0</v>
      </c>
      <c r="N77" s="468" t="str">
        <f>IF(C79="","",ROUND(L77,1))</f>
        <v/>
      </c>
      <c r="O77" s="469" t="str">
        <f>IF(C79="","",ROUND(M77,1))</f>
        <v/>
      </c>
      <c r="P77" s="353"/>
      <c r="Q77" s="465"/>
      <c r="R77" s="465"/>
      <c r="S77" s="64"/>
      <c r="T77" s="64" t="s">
        <v>23</v>
      </c>
      <c r="U77" s="358"/>
      <c r="V77" s="470" t="e">
        <f>(O77/P77+U77/60)/24</f>
        <v>#VALUE!</v>
      </c>
      <c r="W77" s="466"/>
      <c r="X77" s="64"/>
      <c r="Y77" s="65"/>
      <c r="Z77" s="64"/>
      <c r="AA77" s="64"/>
      <c r="AB77" s="53"/>
      <c r="AC77" s="69"/>
      <c r="AD77" s="480"/>
    </row>
    <row r="78" spans="1:30" ht="15" customHeight="1">
      <c r="A78" s="471" t="str">
        <f>IF(B78="","",A76+1)</f>
        <v/>
      </c>
      <c r="B78" s="392"/>
      <c r="C78" s="54"/>
      <c r="D78" s="472">
        <f>TRUNC(C78)+((C78-TRUNC(C78))/0.6)</f>
        <v>0</v>
      </c>
      <c r="E78" s="472">
        <f>TRUNC(C79)+((C79-TRUNC(C79))/0.6)</f>
        <v>0</v>
      </c>
      <c r="F78" s="473">
        <f>ROUND(((LOG10(TAN(PI()/4+(D78/2*PI()/180)))*7915.7046)-(3437.7468*((0.0816968^2*SIN(D78*PI()/180))+(0.0816968^4/3*((SIN(D78*PI()/180))^3))+(0.0816968^6/5*((SIN(D78*PI()/180))^5))))),2)</f>
        <v>0</v>
      </c>
      <c r="G78" s="464"/>
      <c r="H78" s="464">
        <f>IF(E78&lt;0,E78+360,E78)</f>
        <v>0</v>
      </c>
      <c r="I78" s="477"/>
      <c r="J78" s="478"/>
      <c r="K78" s="479"/>
      <c r="L78" s="472"/>
      <c r="M78" s="472"/>
      <c r="N78" s="468"/>
      <c r="O78" s="469"/>
      <c r="P78" s="353"/>
      <c r="Q78" s="465" t="str">
        <f>IF(O77="","",Q76+O77)</f>
        <v/>
      </c>
      <c r="R78" s="465" t="str">
        <f>IF(O77="","",R76-O77)</f>
        <v/>
      </c>
      <c r="S78" s="61"/>
      <c r="T78" s="61" t="s">
        <v>25</v>
      </c>
      <c r="U78" s="355"/>
      <c r="V78" s="470"/>
      <c r="W78" s="466" t="str">
        <f>IF(P77="","",W76+V77)</f>
        <v/>
      </c>
      <c r="X78" s="61"/>
      <c r="Y78" s="61"/>
      <c r="Z78" s="61"/>
      <c r="AA78" s="61"/>
      <c r="AB78" s="52"/>
      <c r="AC78" s="68"/>
      <c r="AD78" s="480"/>
    </row>
    <row r="79" spans="1:30" ht="15" customHeight="1">
      <c r="A79" s="471"/>
      <c r="B79" s="392"/>
      <c r="C79" s="55"/>
      <c r="D79" s="472"/>
      <c r="E79" s="472"/>
      <c r="F79" s="473"/>
      <c r="G79" s="464">
        <f>ABS(D78-D80)*60</f>
        <v>0</v>
      </c>
      <c r="H79" s="464"/>
      <c r="I79" s="477">
        <f>ABS(H78-H80)*60</f>
        <v>0</v>
      </c>
      <c r="J79" s="478">
        <f>ABS(F78-F80)</f>
        <v>0</v>
      </c>
      <c r="K79" s="479" t="e">
        <f>IF(AND(D78&lt;D80,H78=H80),0,IF(AND(D78&gt;D80,H78=H80),180,IF(AND(D78=D80,H78&lt;H80),90,IF(AND(D78=D80,H78&gt;H80),270,(ATAN(I79/J79)*180/PI())))))</f>
        <v>#DIV/0!</v>
      </c>
      <c r="L79" s="472" t="e">
        <f>IF(OR(K79=0,K79=90,K79=180,K79=270),K79,IF(AND(D78&lt;D80,H78&lt;H80),K79,IF(AND(D78&lt;D80,H78&gt;H80),360-K79,IF(AND(D78&gt;D80,H78&lt;H80),180-K79,IF(AND(D78&gt;D80,H78&gt;H80),180+K79)))))</f>
        <v>#DIV/0!</v>
      </c>
      <c r="M79" s="472">
        <f>(IF(I79=0,G79,IF(G79=0,COS(D80*PI()/180)*I79,G79/COS(K79*PI()/180))))</f>
        <v>0</v>
      </c>
      <c r="N79" s="468" t="str">
        <f>IF(C81="","",ROUND(L79,1))</f>
        <v/>
      </c>
      <c r="O79" s="469" t="str">
        <f>IF(C81="","",ROUND(M79,1))</f>
        <v/>
      </c>
      <c r="P79" s="353"/>
      <c r="Q79" s="465"/>
      <c r="R79" s="465"/>
      <c r="S79" s="64"/>
      <c r="T79" s="64" t="s">
        <v>22</v>
      </c>
      <c r="U79" s="358"/>
      <c r="V79" s="470" t="e">
        <f>(O79/P79+U79/60)/24</f>
        <v>#VALUE!</v>
      </c>
      <c r="W79" s="466"/>
      <c r="X79" s="64"/>
      <c r="Y79" s="65"/>
      <c r="Z79" s="64"/>
      <c r="AA79" s="64"/>
      <c r="AB79" s="53"/>
      <c r="AC79" s="69"/>
      <c r="AD79" s="480"/>
    </row>
    <row r="80" spans="1:30" ht="15" customHeight="1">
      <c r="A80" s="471" t="str">
        <f>IF(B80="","",A78+1)</f>
        <v/>
      </c>
      <c r="B80" s="392"/>
      <c r="C80" s="54"/>
      <c r="D80" s="472">
        <f>TRUNC(C80)+((C80-TRUNC(C80))/0.6)</f>
        <v>0</v>
      </c>
      <c r="E80" s="472">
        <f>TRUNC(C81)+((C81-TRUNC(C81))/0.6)</f>
        <v>0</v>
      </c>
      <c r="F80" s="473">
        <f>ROUND(((LOG10(TAN(PI()/4+(D80/2*PI()/180)))*7915.7046)-(3437.7468*((0.0816968^2*SIN(D80*PI()/180))+(0.0816968^4/3*((SIN(D80*PI()/180))^3))+(0.0816968^6/5*((SIN(D80*PI()/180))^5))))),2)</f>
        <v>0</v>
      </c>
      <c r="G80" s="464"/>
      <c r="H80" s="464">
        <f>IF(E80&lt;0,E80+360,E80)</f>
        <v>0</v>
      </c>
      <c r="I80" s="477"/>
      <c r="J80" s="478"/>
      <c r="K80" s="479"/>
      <c r="L80" s="472"/>
      <c r="M80" s="472"/>
      <c r="N80" s="468"/>
      <c r="O80" s="469"/>
      <c r="P80" s="353"/>
      <c r="Q80" s="465" t="str">
        <f>IF(O79="","",Q78+O79)</f>
        <v/>
      </c>
      <c r="R80" s="465" t="str">
        <f>IF(O79="","",R78-O79)</f>
        <v/>
      </c>
      <c r="S80" s="61"/>
      <c r="T80" s="61" t="s">
        <v>25</v>
      </c>
      <c r="U80" s="355"/>
      <c r="V80" s="470"/>
      <c r="W80" s="466" t="str">
        <f>IF(P79="","",W78+V79)</f>
        <v/>
      </c>
      <c r="X80" s="61"/>
      <c r="Y80" s="61"/>
      <c r="Z80" s="61"/>
      <c r="AA80" s="61"/>
      <c r="AB80" s="52"/>
      <c r="AC80" s="68"/>
      <c r="AD80" s="480"/>
    </row>
    <row r="81" spans="1:30" ht="15" customHeight="1">
      <c r="A81" s="471"/>
      <c r="B81" s="392"/>
      <c r="C81" s="55"/>
      <c r="D81" s="472"/>
      <c r="E81" s="472"/>
      <c r="F81" s="473"/>
      <c r="G81" s="464">
        <f>ABS(D80-D82)*60</f>
        <v>0</v>
      </c>
      <c r="H81" s="464"/>
      <c r="I81" s="477">
        <f>ABS(H80-H82)*60</f>
        <v>0</v>
      </c>
      <c r="J81" s="478">
        <f>ABS(F80-F82)</f>
        <v>0</v>
      </c>
      <c r="K81" s="479" t="e">
        <f>IF(AND(D80&lt;D82,H80=H82),0,IF(AND(D80&gt;D82,H80=H82),180,IF(AND(D80=D82,H80&lt;H82),90,IF(AND(D80=D82,H80&gt;H82),270,(ATAN(I81/J81)*180/PI())))))</f>
        <v>#DIV/0!</v>
      </c>
      <c r="L81" s="472" t="e">
        <f>IF(OR(K81=0,K81=90,K81=180,K81=270),K81,IF(AND(D80&lt;D82,H80&lt;H82),K81,IF(AND(D80&lt;D82,H80&gt;H82),360-K81,IF(AND(D80&gt;D82,H80&lt;H82),180-K81,IF(AND(D80&gt;D82,H80&gt;H82),180+K81)))))</f>
        <v>#DIV/0!</v>
      </c>
      <c r="M81" s="472">
        <f>(IF(I81=0,G81,IF(G81=0,COS(D82*PI()/180)*I81,G81/COS(K81*PI()/180))))</f>
        <v>0</v>
      </c>
      <c r="N81" s="468" t="str">
        <f>IF(C83="","",ROUND(L81,1))</f>
        <v/>
      </c>
      <c r="O81" s="469" t="str">
        <f>IF(C83="","",ROUND(M81,1))</f>
        <v/>
      </c>
      <c r="P81" s="353"/>
      <c r="Q81" s="465"/>
      <c r="R81" s="465"/>
      <c r="S81" s="64"/>
      <c r="T81" s="64" t="s">
        <v>22</v>
      </c>
      <c r="U81" s="358"/>
      <c r="V81" s="470" t="e">
        <f>(O81/P81+U81/60)/24</f>
        <v>#VALUE!</v>
      </c>
      <c r="W81" s="466"/>
      <c r="X81" s="64"/>
      <c r="Y81" s="65"/>
      <c r="Z81" s="64"/>
      <c r="AA81" s="64"/>
      <c r="AB81" s="53"/>
      <c r="AC81" s="69"/>
      <c r="AD81" s="480"/>
    </row>
    <row r="82" spans="1:30" ht="15" customHeight="1">
      <c r="A82" s="471" t="str">
        <f>IF(B82="","",A80+1)</f>
        <v/>
      </c>
      <c r="B82" s="392"/>
      <c r="C82" s="54"/>
      <c r="D82" s="472">
        <f>TRUNC(C82)+((C82-TRUNC(C82))/0.6)</f>
        <v>0</v>
      </c>
      <c r="E82" s="472">
        <f>TRUNC(C83)+((C83-TRUNC(C83))/0.6)</f>
        <v>0</v>
      </c>
      <c r="F82" s="473">
        <f>ROUND(((LOG10(TAN(PI()/4+(D82/2*PI()/180)))*7915.7046)-(3437.7468*((0.0816968^2*SIN(D82*PI()/180))+(0.0816968^4/3*((SIN(D82*PI()/180))^3))+(0.0816968^6/5*((SIN(D82*PI()/180))^5))))),2)</f>
        <v>0</v>
      </c>
      <c r="G82" s="464"/>
      <c r="H82" s="464">
        <f>IF(E82&lt;0,E82+360,E82)</f>
        <v>0</v>
      </c>
      <c r="I82" s="477"/>
      <c r="J82" s="478"/>
      <c r="K82" s="479"/>
      <c r="L82" s="472"/>
      <c r="M82" s="472"/>
      <c r="N82" s="468"/>
      <c r="O82" s="469"/>
      <c r="P82" s="353"/>
      <c r="Q82" s="465" t="str">
        <f>IF(O81="","",Q80+O81)</f>
        <v/>
      </c>
      <c r="R82" s="465" t="str">
        <f>IF(O81="","",R80-O81)</f>
        <v/>
      </c>
      <c r="S82" s="61"/>
      <c r="T82" s="61" t="s">
        <v>25</v>
      </c>
      <c r="U82" s="355"/>
      <c r="V82" s="470"/>
      <c r="W82" s="466" t="str">
        <f>IF(P81="","",W80+V81)</f>
        <v/>
      </c>
      <c r="X82" s="61"/>
      <c r="Y82" s="61"/>
      <c r="Z82" s="61"/>
      <c r="AA82" s="61"/>
      <c r="AB82" s="52"/>
      <c r="AC82" s="68"/>
      <c r="AD82" s="480"/>
    </row>
    <row r="83" spans="1:30" ht="15" customHeight="1">
      <c r="A83" s="471"/>
      <c r="B83" s="392"/>
      <c r="C83" s="55"/>
      <c r="D83" s="472"/>
      <c r="E83" s="472"/>
      <c r="F83" s="473"/>
      <c r="G83" s="464">
        <f>ABS(D82-D84)*60</f>
        <v>0</v>
      </c>
      <c r="H83" s="464"/>
      <c r="I83" s="477">
        <f>ABS(H82-H84)*60</f>
        <v>0</v>
      </c>
      <c r="J83" s="478">
        <f>ABS(F82-F84)</f>
        <v>0</v>
      </c>
      <c r="K83" s="479" t="e">
        <f>IF(AND(D82&lt;D84,H82=H84),0,IF(AND(D82&gt;D84,H82=H84),180,IF(AND(D82=D84,H82&lt;H84),90,IF(AND(D82=D84,H82&gt;H84),270,(ATAN(I83/J83)*180/PI())))))</f>
        <v>#DIV/0!</v>
      </c>
      <c r="L83" s="472" t="e">
        <f>IF(OR(K83=0,K83=90,K83=180,K83=270),K83,IF(AND(D82&lt;D84,H82&lt;H84),K83,IF(AND(D82&lt;D84,H82&gt;H84),360-K83,IF(AND(D82&gt;D84,H82&lt;H84),180-K83,IF(AND(D82&gt;D84,H82&gt;H84),180+K83)))))</f>
        <v>#DIV/0!</v>
      </c>
      <c r="M83" s="472">
        <f>(IF(I83=0,G83,IF(G83=0,COS(D84*PI()/180)*I83,G83/COS(K83*PI()/180))))</f>
        <v>0</v>
      </c>
      <c r="N83" s="468" t="str">
        <f>IF(C85="","",ROUND(L83,1))</f>
        <v/>
      </c>
      <c r="O83" s="469" t="str">
        <f>IF(C85="","",ROUND(M83,1))</f>
        <v/>
      </c>
      <c r="P83" s="353"/>
      <c r="Q83" s="465"/>
      <c r="R83" s="465"/>
      <c r="S83" s="64"/>
      <c r="T83" s="64" t="s">
        <v>27</v>
      </c>
      <c r="U83" s="358"/>
      <c r="V83" s="470" t="e">
        <f>(O83/P83+U83/60)/24</f>
        <v>#VALUE!</v>
      </c>
      <c r="W83" s="466"/>
      <c r="X83" s="64"/>
      <c r="Y83" s="65"/>
      <c r="Z83" s="64"/>
      <c r="AA83" s="64"/>
      <c r="AB83" s="53"/>
      <c r="AC83" s="69"/>
      <c r="AD83" s="480"/>
    </row>
    <row r="84" spans="1:30" ht="15" customHeight="1">
      <c r="A84" s="471" t="str">
        <f>IF(B84="","",A82+1)</f>
        <v/>
      </c>
      <c r="B84" s="392"/>
      <c r="C84" s="54"/>
      <c r="D84" s="472">
        <f>TRUNC(C84)+((C84-TRUNC(C84))/0.6)</f>
        <v>0</v>
      </c>
      <c r="E84" s="472">
        <f>TRUNC(C85)+((C85-TRUNC(C85))/0.6)</f>
        <v>0</v>
      </c>
      <c r="F84" s="473">
        <f>ROUND(((LOG10(TAN(PI()/4+(D84/2*PI()/180)))*7915.7046)-(3437.7468*((0.0816968^2*SIN(D84*PI()/180))+(0.0816968^4/3*((SIN(D84*PI()/180))^3))+(0.0816968^6/5*((SIN(D84*PI()/180))^5))))),2)</f>
        <v>0</v>
      </c>
      <c r="G84" s="464"/>
      <c r="H84" s="464">
        <f>IF(E84&lt;0,E84+360,E84)</f>
        <v>0</v>
      </c>
      <c r="I84" s="477"/>
      <c r="J84" s="478"/>
      <c r="K84" s="479"/>
      <c r="L84" s="472"/>
      <c r="M84" s="472"/>
      <c r="N84" s="468"/>
      <c r="O84" s="469"/>
      <c r="P84" s="353"/>
      <c r="Q84" s="465" t="str">
        <f>IF(O83="","",Q82+O83)</f>
        <v/>
      </c>
      <c r="R84" s="465" t="str">
        <f>IF(O83="","",R82-O83)</f>
        <v/>
      </c>
      <c r="S84" s="61"/>
      <c r="T84" s="61" t="s">
        <v>25</v>
      </c>
      <c r="U84" s="355"/>
      <c r="V84" s="470"/>
      <c r="W84" s="466" t="str">
        <f>IF(P83="","",W82+V83)</f>
        <v/>
      </c>
      <c r="X84" s="61"/>
      <c r="Y84" s="61"/>
      <c r="Z84" s="61"/>
      <c r="AA84" s="61"/>
      <c r="AB84" s="52"/>
      <c r="AC84" s="68"/>
      <c r="AD84" s="481"/>
    </row>
    <row r="85" spans="1:30" ht="15" customHeight="1">
      <c r="A85" s="471"/>
      <c r="B85" s="392"/>
      <c r="C85" s="55"/>
      <c r="D85" s="472"/>
      <c r="E85" s="472"/>
      <c r="F85" s="473"/>
      <c r="G85" s="464">
        <f>ABS(D84-D86)*60</f>
        <v>0</v>
      </c>
      <c r="H85" s="464"/>
      <c r="I85" s="477">
        <f>ABS(H84-H86)*60</f>
        <v>0</v>
      </c>
      <c r="J85" s="478">
        <f>ABS(F84-F86)</f>
        <v>0</v>
      </c>
      <c r="K85" s="479" t="e">
        <f>IF(AND(D84&lt;D86,H84=H86),0,IF(AND(D84&gt;D86,H84=H86),180,IF(AND(D84=D86,H84&lt;H86),90,IF(AND(D84=D86,H84&gt;H86),270,(ATAN(I85/J85)*180/PI())))))</f>
        <v>#DIV/0!</v>
      </c>
      <c r="L85" s="472" t="e">
        <f>IF(OR(K85=0,K85=90,K85=180,K85=270),K85,IF(AND(D84&lt;D86,H84&lt;H86),K85,IF(AND(D84&lt;D86,H84&gt;H86),360-K85,IF(AND(D84&gt;D86,H84&lt;H86),180-K85,IF(AND(D84&gt;D86,H84&gt;H86),180+K85)))))</f>
        <v>#DIV/0!</v>
      </c>
      <c r="M85" s="472">
        <f>(IF(I85=0,G85,IF(G85=0,COS(D86*PI()/180)*I85,G85/COS(K85*PI()/180))))</f>
        <v>0</v>
      </c>
      <c r="N85" s="468" t="str">
        <f>IF(C87="","",ROUND(L85,1))</f>
        <v/>
      </c>
      <c r="O85" s="469" t="str">
        <f>IF(C87="","",ROUND(M85,1))</f>
        <v/>
      </c>
      <c r="P85" s="353"/>
      <c r="Q85" s="465"/>
      <c r="R85" s="465"/>
      <c r="S85" s="64"/>
      <c r="T85" s="64" t="s">
        <v>27</v>
      </c>
      <c r="U85" s="358"/>
      <c r="V85" s="470" t="e">
        <f>(O85/P85+U85/60)/24</f>
        <v>#VALUE!</v>
      </c>
      <c r="W85" s="466"/>
      <c r="X85" s="64"/>
      <c r="Y85" s="65"/>
      <c r="Z85" s="64"/>
      <c r="AA85" s="64"/>
      <c r="AB85" s="53"/>
      <c r="AC85" s="69"/>
      <c r="AD85" s="481"/>
    </row>
    <row r="86" spans="1:30" ht="15" customHeight="1">
      <c r="A86" s="471" t="str">
        <f>IF(B86="","",A84+1)</f>
        <v/>
      </c>
      <c r="B86" s="392"/>
      <c r="C86" s="54"/>
      <c r="D86" s="472">
        <f>TRUNC(C86)+((C86-TRUNC(C86))/0.6)</f>
        <v>0</v>
      </c>
      <c r="E86" s="472">
        <f>TRUNC(C87)+((C87-TRUNC(C87))/0.6)</f>
        <v>0</v>
      </c>
      <c r="F86" s="473">
        <f>ROUND(((LOG10(TAN(PI()/4+(D86/2*PI()/180)))*7915.7046)-(3437.7468*((0.0816968^2*SIN(D86*PI()/180))+(0.0816968^4/3*((SIN(D86*PI()/180))^3))+(0.0816968^6/5*((SIN(D86*PI()/180))^5))))),2)</f>
        <v>0</v>
      </c>
      <c r="G86" s="464"/>
      <c r="H86" s="464">
        <f>IF(E86&lt;0,E86+360,E86)</f>
        <v>0</v>
      </c>
      <c r="I86" s="477"/>
      <c r="J86" s="478"/>
      <c r="K86" s="479"/>
      <c r="L86" s="472"/>
      <c r="M86" s="472"/>
      <c r="N86" s="468"/>
      <c r="O86" s="469"/>
      <c r="P86" s="353"/>
      <c r="Q86" s="465" t="str">
        <f>IF(O85="","",Q84+O85)</f>
        <v/>
      </c>
      <c r="R86" s="465" t="str">
        <f>IF(O85="","",R84-O85)</f>
        <v/>
      </c>
      <c r="S86" s="61"/>
      <c r="T86" s="61" t="s">
        <v>26</v>
      </c>
      <c r="U86" s="355"/>
      <c r="V86" s="470"/>
      <c r="W86" s="466" t="str">
        <f>IF(P85="","",W84+V85)</f>
        <v/>
      </c>
      <c r="X86" s="61"/>
      <c r="Y86" s="61"/>
      <c r="Z86" s="61"/>
      <c r="AA86" s="61"/>
      <c r="AB86" s="52"/>
      <c r="AC86" s="68"/>
      <c r="AD86" s="480"/>
    </row>
    <row r="87" spans="1:30" ht="15" customHeight="1">
      <c r="A87" s="471"/>
      <c r="B87" s="392"/>
      <c r="C87" s="55"/>
      <c r="D87" s="472"/>
      <c r="E87" s="472"/>
      <c r="F87" s="473"/>
      <c r="G87" s="464">
        <f>ABS(D86-D88)*60</f>
        <v>0</v>
      </c>
      <c r="H87" s="464"/>
      <c r="I87" s="477">
        <f>ABS(H86-H88)*60</f>
        <v>0</v>
      </c>
      <c r="J87" s="478">
        <f>ABS(F86-F88)</f>
        <v>0</v>
      </c>
      <c r="K87" s="479" t="e">
        <f>IF(AND(D86&lt;D88,H86=H88),0,IF(AND(D86&gt;D88,H86=H88),180,IF(AND(D86=D88,H86&lt;H88),90,IF(AND(D86=D88,H86&gt;H88),270,(ATAN(I87/J87)*180/PI())))))</f>
        <v>#DIV/0!</v>
      </c>
      <c r="L87" s="472" t="e">
        <f>IF(OR(K87=0,K87=90,K87=180,K87=270),K87,IF(AND(D86&lt;D88,H86&lt;H88),K87,IF(AND(D86&lt;D88,H86&gt;H88),360-K87,IF(AND(D86&gt;D88,H86&lt;H88),180-K87,IF(AND(D86&gt;D88,H86&gt;H88),180+K87)))))</f>
        <v>#DIV/0!</v>
      </c>
      <c r="M87" s="472">
        <f>(IF(I87=0,G87,IF(G87=0,COS(D88*PI()/180)*I87,G87/COS(K87*PI()/180))))</f>
        <v>0</v>
      </c>
      <c r="N87" s="468" t="str">
        <f>IF(C89="","",ROUND(L87,1))</f>
        <v/>
      </c>
      <c r="O87" s="469" t="str">
        <f>IF(C89="","",ROUND(M87,1))</f>
        <v/>
      </c>
      <c r="P87" s="353"/>
      <c r="Q87" s="465"/>
      <c r="R87" s="465"/>
      <c r="S87" s="64"/>
      <c r="T87" s="64" t="s">
        <v>29</v>
      </c>
      <c r="U87" s="358"/>
      <c r="V87" s="470" t="e">
        <f>(O87/P87+U87/60)/24</f>
        <v>#VALUE!</v>
      </c>
      <c r="W87" s="466"/>
      <c r="X87" s="64"/>
      <c r="Y87" s="65"/>
      <c r="Z87" s="64"/>
      <c r="AA87" s="64"/>
      <c r="AB87" s="53"/>
      <c r="AC87" s="69"/>
      <c r="AD87" s="480"/>
    </row>
    <row r="88" spans="1:30" ht="15" customHeight="1">
      <c r="A88" s="471" t="str">
        <f>IF(B88="","",A86+1)</f>
        <v/>
      </c>
      <c r="B88" s="394"/>
      <c r="C88" s="54"/>
      <c r="D88" s="472">
        <f>TRUNC(C88)+((C88-TRUNC(C88))/0.6)</f>
        <v>0</v>
      </c>
      <c r="E88" s="472">
        <f>TRUNC(C89)+((C89-TRUNC(C89))/0.6)</f>
        <v>0</v>
      </c>
      <c r="F88" s="473">
        <f>ROUND(((LOG10(TAN(PI()/4+(D88/2*PI()/180)))*7915.7046)-(3437.7468*((0.0816968^2*SIN(D88*PI()/180))+(0.0816968^4/3*((SIN(D88*PI()/180))^3))+(0.0816968^6/5*((SIN(D88*PI()/180))^5))))),2)</f>
        <v>0</v>
      </c>
      <c r="G88" s="464"/>
      <c r="H88" s="464">
        <f>IF(E88&lt;0,E88+360,E88)</f>
        <v>0</v>
      </c>
      <c r="I88" s="477"/>
      <c r="J88" s="478"/>
      <c r="K88" s="479"/>
      <c r="L88" s="472"/>
      <c r="M88" s="472"/>
      <c r="N88" s="468"/>
      <c r="O88" s="469"/>
      <c r="P88" s="353"/>
      <c r="Q88" s="465" t="str">
        <f>IF(O87="","",Q86+O87)</f>
        <v/>
      </c>
      <c r="R88" s="465" t="str">
        <f>IF(O87="","",R86-O87)</f>
        <v/>
      </c>
      <c r="S88" s="61"/>
      <c r="T88" s="61" t="s">
        <v>26</v>
      </c>
      <c r="U88" s="355"/>
      <c r="V88" s="470"/>
      <c r="W88" s="466" t="str">
        <f>IF(P87="","",W86+V87)</f>
        <v/>
      </c>
      <c r="X88" s="61"/>
      <c r="Y88" s="61"/>
      <c r="Z88" s="61"/>
      <c r="AA88" s="61"/>
      <c r="AB88" s="52"/>
      <c r="AC88" s="68"/>
      <c r="AD88" s="481" t="s">
        <v>28</v>
      </c>
    </row>
    <row r="89" spans="1:30" ht="15" customHeight="1">
      <c r="A89" s="471"/>
      <c r="B89" s="395"/>
      <c r="C89" s="55"/>
      <c r="D89" s="472"/>
      <c r="E89" s="472"/>
      <c r="F89" s="473"/>
      <c r="G89" s="464">
        <f>ABS(D88-D90)*60</f>
        <v>0</v>
      </c>
      <c r="H89" s="464"/>
      <c r="I89" s="477">
        <f>ABS(H88-H90)*60</f>
        <v>0</v>
      </c>
      <c r="J89" s="478">
        <f>ABS(F88-F90)</f>
        <v>0</v>
      </c>
      <c r="K89" s="479" t="e">
        <f>IF(AND(D88&lt;D90,H88=H90),0,IF(AND(D88&gt;D90,H88=H90),180,IF(AND(D88=D90,H88&lt;H90),90,IF(AND(D88=D90,H88&gt;H90),270,(ATAN(I89/J89)*180/PI())))))</f>
        <v>#DIV/0!</v>
      </c>
      <c r="L89" s="472" t="e">
        <f>IF(OR(K89=0,K89=90,K89=180,K89=270),K89,IF(AND(D88&lt;D90,H88&lt;H90),K89,IF(AND(D88&lt;D90,H88&gt;H90),360-K89,IF(AND(D88&gt;D90,H88&lt;H90),180-K89,IF(AND(D88&gt;D90,H88&gt;H90),180+K89)))))</f>
        <v>#DIV/0!</v>
      </c>
      <c r="M89" s="472">
        <f>(IF(I89=0,G89,IF(G89=0,COS(D90*PI()/180)*I89,G89/COS(K89*PI()/180))))</f>
        <v>0</v>
      </c>
      <c r="N89" s="468" t="str">
        <f>IF(C91="","",ROUND(L89,1))</f>
        <v/>
      </c>
      <c r="O89" s="469" t="str">
        <f>IF(C91="","",ROUND(M89,1))</f>
        <v/>
      </c>
      <c r="P89" s="353"/>
      <c r="Q89" s="465"/>
      <c r="R89" s="465"/>
      <c r="S89" s="64"/>
      <c r="T89" s="64" t="s">
        <v>29</v>
      </c>
      <c r="U89" s="358"/>
      <c r="V89" s="470" t="e">
        <f>(O89/P89+U89/60)/24</f>
        <v>#VALUE!</v>
      </c>
      <c r="W89" s="466"/>
      <c r="X89" s="64"/>
      <c r="Y89" s="65"/>
      <c r="Z89" s="64"/>
      <c r="AA89" s="64"/>
      <c r="AB89" s="53"/>
      <c r="AC89" s="69"/>
      <c r="AD89" s="481"/>
    </row>
    <row r="90" spans="1:30" ht="15" customHeight="1">
      <c r="A90" s="471" t="str">
        <f>IF(B90="","",A88+1)</f>
        <v/>
      </c>
      <c r="B90" s="394"/>
      <c r="C90" s="54"/>
      <c r="D90" s="472">
        <f>TRUNC(C90)+((C90-TRUNC(C90))/0.6)</f>
        <v>0</v>
      </c>
      <c r="E90" s="472">
        <f>TRUNC(C91)+((C91-TRUNC(C91))/0.6)</f>
        <v>0</v>
      </c>
      <c r="F90" s="473">
        <f>ROUND(((LOG10(TAN(PI()/4+(D90/2*PI()/180)))*7915.7046)-(3437.7468*((0.0816968^2*SIN(D90*PI()/180))+(0.0816968^4/3*((SIN(D90*PI()/180))^3))+(0.0816968^6/5*((SIN(D90*PI()/180))^5))))),2)</f>
        <v>0</v>
      </c>
      <c r="G90" s="464"/>
      <c r="H90" s="464">
        <f>IF(E90&lt;0,E90+360,E90)</f>
        <v>0</v>
      </c>
      <c r="I90" s="477"/>
      <c r="J90" s="478"/>
      <c r="K90" s="479"/>
      <c r="L90" s="472"/>
      <c r="M90" s="472"/>
      <c r="N90" s="468"/>
      <c r="O90" s="469"/>
      <c r="P90" s="353"/>
      <c r="Q90" s="465" t="str">
        <f>IF(O89="","",Q88+O89)</f>
        <v/>
      </c>
      <c r="R90" s="465" t="str">
        <f>IF(O89="","",R88-O89)</f>
        <v/>
      </c>
      <c r="S90" s="61"/>
      <c r="T90" s="61" t="s">
        <v>25</v>
      </c>
      <c r="U90" s="355"/>
      <c r="V90" s="470"/>
      <c r="W90" s="466" t="str">
        <f>IF(P89="","",W88+V89)</f>
        <v/>
      </c>
      <c r="X90" s="61"/>
      <c r="Y90" s="61"/>
      <c r="Z90" s="61"/>
      <c r="AA90" s="61"/>
      <c r="AB90" s="52"/>
      <c r="AC90" s="68"/>
      <c r="AD90" s="480" t="s">
        <v>28</v>
      </c>
    </row>
    <row r="91" spans="1:30" ht="15" customHeight="1">
      <c r="A91" s="471"/>
      <c r="B91" s="395"/>
      <c r="C91" s="55"/>
      <c r="D91" s="472"/>
      <c r="E91" s="472"/>
      <c r="F91" s="473"/>
      <c r="G91" s="464">
        <f>ABS(D90-D92)*60</f>
        <v>0</v>
      </c>
      <c r="H91" s="464"/>
      <c r="I91" s="477">
        <f>ABS(H90-H92)*60</f>
        <v>0</v>
      </c>
      <c r="J91" s="478">
        <f>ABS(F90-F92)</f>
        <v>0</v>
      </c>
      <c r="K91" s="479" t="e">
        <f>IF(AND(D90&lt;D92,H90=H92),0,IF(AND(D90&gt;D92,H90=H92),180,IF(AND(D90=D92,H90&lt;H92),90,IF(AND(D90=D92,H90&gt;H92),270,(ATAN(I91/J91)*180/PI())))))</f>
        <v>#DIV/0!</v>
      </c>
      <c r="L91" s="472" t="e">
        <f>IF(OR(K91=0,K91=90,K91=180,K91=270),K91,IF(AND(D90&lt;D92,H90&lt;H92),K91,IF(AND(D90&lt;D92,H90&gt;H92),360-K91,IF(AND(D90&gt;D92,H90&lt;H92),180-K91,IF(AND(D90&gt;D92,H90&gt;H92),180+K91)))))</f>
        <v>#DIV/0!</v>
      </c>
      <c r="M91" s="472">
        <f>(IF(I91=0,G91,IF(G91=0,COS(D92*PI()/180)*I91,G91/COS(K91*PI()/180))))</f>
        <v>0</v>
      </c>
      <c r="N91" s="468" t="str">
        <f>IF(C93="","",ROUND(L91,1))</f>
        <v/>
      </c>
      <c r="O91" s="469" t="str">
        <f>IF(C93="","",ROUND(M91,1))</f>
        <v/>
      </c>
      <c r="P91" s="353"/>
      <c r="Q91" s="465"/>
      <c r="R91" s="465"/>
      <c r="S91" s="64"/>
      <c r="T91" s="64" t="s">
        <v>27</v>
      </c>
      <c r="U91" s="358"/>
      <c r="V91" s="470" t="e">
        <f>(O91/P91+U91/60)/24</f>
        <v>#VALUE!</v>
      </c>
      <c r="W91" s="466"/>
      <c r="X91" s="64"/>
      <c r="Y91" s="65"/>
      <c r="Z91" s="64"/>
      <c r="AA91" s="64"/>
      <c r="AB91" s="53"/>
      <c r="AC91" s="69"/>
      <c r="AD91" s="480"/>
    </row>
    <row r="92" spans="1:30" ht="15" customHeight="1">
      <c r="A92" s="471" t="str">
        <f t="shared" ref="A92" si="3">IF(B92="","",A90+1)</f>
        <v/>
      </c>
      <c r="B92" s="394"/>
      <c r="C92" s="54"/>
      <c r="D92" s="472">
        <f>TRUNC(C92)+((C92-TRUNC(C92))/0.6)</f>
        <v>0</v>
      </c>
      <c r="E92" s="472">
        <f>TRUNC(C93)+((C93-TRUNC(C93))/0.6)</f>
        <v>0</v>
      </c>
      <c r="F92" s="473">
        <f>ROUND(((LOG10(TAN(PI()/4+(D92/2*PI()/180)))*7915.7046)-(3437.7468*((0.0816968^2*SIN(D92*PI()/180))+(0.0816968^4/3*((SIN(D92*PI()/180))^3))+(0.0816968^6/5*((SIN(D92*PI()/180))^5))))),2)</f>
        <v>0</v>
      </c>
      <c r="G92" s="464"/>
      <c r="H92" s="464">
        <f>IF(E92&lt;0,E92+360,E92)</f>
        <v>0</v>
      </c>
      <c r="I92" s="477"/>
      <c r="J92" s="478"/>
      <c r="K92" s="479"/>
      <c r="L92" s="472"/>
      <c r="M92" s="472"/>
      <c r="N92" s="468"/>
      <c r="O92" s="469"/>
      <c r="P92" s="353"/>
      <c r="Q92" s="465" t="str">
        <f>IF(O91="","",Q90+O91)</f>
        <v/>
      </c>
      <c r="R92" s="465" t="str">
        <f>IF(O91="","",R90-O91)</f>
        <v/>
      </c>
      <c r="S92" s="61"/>
      <c r="T92" s="61" t="s">
        <v>25</v>
      </c>
      <c r="U92" s="355"/>
      <c r="V92" s="470"/>
      <c r="W92" s="466" t="str">
        <f>IF(P91="","",W90+V91)</f>
        <v/>
      </c>
      <c r="X92" s="61"/>
      <c r="Y92" s="61"/>
      <c r="Z92" s="61"/>
      <c r="AA92" s="61"/>
      <c r="AB92" s="52"/>
      <c r="AC92" s="68"/>
      <c r="AD92" s="480"/>
    </row>
    <row r="93" spans="1:30" ht="15" customHeight="1">
      <c r="A93" s="471"/>
      <c r="B93" s="395"/>
      <c r="C93" s="55"/>
      <c r="D93" s="472"/>
      <c r="E93" s="472"/>
      <c r="F93" s="473"/>
      <c r="G93" s="464">
        <f>ABS(D92-D94)*60</f>
        <v>0</v>
      </c>
      <c r="H93" s="464"/>
      <c r="I93" s="477">
        <f>ABS(H92-H94)*60</f>
        <v>0</v>
      </c>
      <c r="J93" s="478">
        <f>ABS(F92-F94)</f>
        <v>0</v>
      </c>
      <c r="K93" s="479" t="e">
        <f>IF(AND(D92&lt;D94,H92=H94),0,IF(AND(D92&gt;D94,H92=H94),180,IF(AND(D92=D94,H92&lt;H94),90,IF(AND(D92=D94,H92&gt;H94),270,(ATAN(I93/J93)*180/PI())))))</f>
        <v>#DIV/0!</v>
      </c>
      <c r="L93" s="472" t="e">
        <f>IF(OR(K93=0,K93=90,K93=180,K93=270),K93,IF(AND(D92&lt;D94,H92&lt;H94),K93,IF(AND(D92&lt;D94,H92&gt;H94),360-K93,IF(AND(D92&gt;D94,H92&lt;H94),180-K93,IF(AND(D92&gt;D94,H92&gt;H94),180+K93)))))</f>
        <v>#DIV/0!</v>
      </c>
      <c r="M93" s="472">
        <f>(IF(I93=0,G93,IF(G93=0,COS(D94*PI()/180)*I93,G93/COS(K93*PI()/180))))</f>
        <v>0</v>
      </c>
      <c r="N93" s="468" t="str">
        <f>IF(C95="","",ROUND(L93,1))</f>
        <v/>
      </c>
      <c r="O93" s="469" t="str">
        <f>IF(C95="","",ROUND(M93,1))</f>
        <v/>
      </c>
      <c r="P93" s="353"/>
      <c r="Q93" s="465"/>
      <c r="R93" s="465"/>
      <c r="S93" s="64"/>
      <c r="T93" s="64" t="s">
        <v>22</v>
      </c>
      <c r="U93" s="358"/>
      <c r="V93" s="470" t="e">
        <f>(O93/P93+U93/60)/24</f>
        <v>#VALUE!</v>
      </c>
      <c r="W93" s="466"/>
      <c r="X93" s="64"/>
      <c r="Y93" s="65"/>
      <c r="Z93" s="64"/>
      <c r="AA93" s="64"/>
      <c r="AB93" s="53"/>
      <c r="AC93" s="69"/>
      <c r="AD93" s="480"/>
    </row>
    <row r="94" spans="1:30" ht="15" customHeight="1">
      <c r="A94" s="471" t="str">
        <f t="shared" ref="A94" si="4">IF(B94="","",A92+1)</f>
        <v/>
      </c>
      <c r="B94" s="348"/>
      <c r="C94" s="54"/>
      <c r="D94" s="472">
        <f>TRUNC(C94)+((C94-TRUNC(C94))/0.6)</f>
        <v>0</v>
      </c>
      <c r="E94" s="472">
        <f>TRUNC(C95)+((C95-TRUNC(C95))/0.6)</f>
        <v>0</v>
      </c>
      <c r="F94" s="473">
        <f>ROUND(((LOG10(TAN(PI()/4+(D94/2*PI()/180)))*7915.7046)-(3437.7468*((0.0816968^2*SIN(D94*PI()/180))+(0.0816968^4/3*((SIN(D94*PI()/180))^3))+(0.0816968^6/5*((SIN(D94*PI()/180))^5))))),2)</f>
        <v>0</v>
      </c>
      <c r="G94" s="464"/>
      <c r="H94" s="464">
        <f>IF(E94&lt;0,E94+360,E94)</f>
        <v>0</v>
      </c>
      <c r="I94" s="477"/>
      <c r="J94" s="478"/>
      <c r="K94" s="479"/>
      <c r="L94" s="472"/>
      <c r="M94" s="472"/>
      <c r="N94" s="468"/>
      <c r="O94" s="469"/>
      <c r="P94" s="353"/>
      <c r="Q94" s="465" t="str">
        <f>IF(O93="","",Q92+O93)</f>
        <v/>
      </c>
      <c r="R94" s="465" t="str">
        <f>IF(O93="","",R92-O93)</f>
        <v/>
      </c>
      <c r="S94" s="61"/>
      <c r="T94" s="61" t="s">
        <v>25</v>
      </c>
      <c r="U94" s="355"/>
      <c r="V94" s="470"/>
      <c r="W94" s="466" t="str">
        <f>IF(P93="","",W92+V93)</f>
        <v/>
      </c>
      <c r="X94" s="61"/>
      <c r="Y94" s="61"/>
      <c r="Z94" s="61"/>
      <c r="AA94" s="61"/>
      <c r="AB94" s="52"/>
      <c r="AC94" s="68"/>
      <c r="AD94" s="474" t="s">
        <v>71</v>
      </c>
    </row>
    <row r="95" spans="1:30" ht="15" customHeight="1">
      <c r="A95" s="471"/>
      <c r="B95" s="349"/>
      <c r="C95" s="55"/>
      <c r="D95" s="472"/>
      <c r="E95" s="472"/>
      <c r="F95" s="473"/>
      <c r="G95" s="464">
        <f>ABS(D94-D96)*60</f>
        <v>0</v>
      </c>
      <c r="H95" s="464"/>
      <c r="I95" s="477">
        <f>ABS(H94-H96)*60</f>
        <v>0</v>
      </c>
      <c r="J95" s="478">
        <f>ABS(F94-F96)</f>
        <v>0</v>
      </c>
      <c r="K95" s="479" t="e">
        <f>IF(AND(D94&lt;D96,H94=H96),0,IF(AND(D94&gt;D96,H94=H96),180,IF(AND(D94=D96,H94&lt;H96),90,IF(AND(D94=D96,H94&gt;H96),270,(ATAN(I95/J95)*180/PI())))))</f>
        <v>#DIV/0!</v>
      </c>
      <c r="L95" s="472" t="e">
        <f>IF(OR(K95=0,K95=90,K95=180,K95=270),K95,IF(AND(D94&lt;D96,H94&lt;H96),K95,IF(AND(D94&lt;D96,H94&gt;H96),360-K95,IF(AND(D94&gt;D96,H94&lt;H96),180-K95,IF(AND(D94&gt;D96,H94&gt;H96),180+K95)))))</f>
        <v>#DIV/0!</v>
      </c>
      <c r="M95" s="472">
        <f>(IF(I95=0,G95,IF(G95=0,COS(D96*PI()/180)*I95,G95/COS(K95*PI()/180))))</f>
        <v>0</v>
      </c>
      <c r="N95" s="468" t="str">
        <f>IF(C97="","",ROUND(L95,1))</f>
        <v/>
      </c>
      <c r="O95" s="469" t="str">
        <f>IF(C97="","",ROUND(M95,1))</f>
        <v/>
      </c>
      <c r="P95" s="353"/>
      <c r="Q95" s="465"/>
      <c r="R95" s="465"/>
      <c r="S95" s="64"/>
      <c r="T95" s="64" t="s">
        <v>23</v>
      </c>
      <c r="U95" s="358"/>
      <c r="V95" s="470" t="e">
        <f>(O95/P95+U95/60)/24</f>
        <v>#VALUE!</v>
      </c>
      <c r="W95" s="466"/>
      <c r="X95" s="64"/>
      <c r="Y95" s="65"/>
      <c r="Z95" s="64"/>
      <c r="AA95" s="64"/>
      <c r="AB95" s="53"/>
      <c r="AC95" s="69"/>
      <c r="AD95" s="475"/>
    </row>
    <row r="96" spans="1:30" ht="15" customHeight="1">
      <c r="A96" s="471" t="str">
        <f t="shared" ref="A96" si="5">IF(B96="","",A94+1)</f>
        <v/>
      </c>
      <c r="B96" s="392"/>
      <c r="C96" s="54"/>
      <c r="D96" s="472">
        <f>TRUNC(C96)+((C96-TRUNC(C96))/0.6)</f>
        <v>0</v>
      </c>
      <c r="E96" s="472">
        <f>TRUNC(C97)+((C97-TRUNC(C97))/0.6)</f>
        <v>0</v>
      </c>
      <c r="F96" s="473">
        <f>ROUND(((LOG10(TAN(PI()/4+(D96/2*PI()/180)))*7915.7046)-(3437.7468*((0.0816968^2*SIN(D96*PI()/180))+(0.0816968^4/3*((SIN(D96*PI()/180))^3))+(0.0816968^6/5*((SIN(D96*PI()/180))^5))))),2)</f>
        <v>0</v>
      </c>
      <c r="G96" s="464"/>
      <c r="H96" s="464">
        <f>IF(E96&lt;0,E96+360,E96)</f>
        <v>0</v>
      </c>
      <c r="I96" s="477"/>
      <c r="J96" s="478"/>
      <c r="K96" s="479"/>
      <c r="L96" s="472"/>
      <c r="M96" s="472"/>
      <c r="N96" s="468"/>
      <c r="O96" s="469"/>
      <c r="P96" s="353"/>
      <c r="Q96" s="465" t="str">
        <f>IF(O95="","",Q94+O95)</f>
        <v/>
      </c>
      <c r="R96" s="465" t="str">
        <f>IF(O95="","",R94-O95)</f>
        <v/>
      </c>
      <c r="S96" s="61"/>
      <c r="T96" s="61"/>
      <c r="U96" s="355"/>
      <c r="V96" s="470"/>
      <c r="W96" s="466" t="str">
        <f>IF(P95="","",W94+V95)</f>
        <v/>
      </c>
      <c r="X96" s="61"/>
      <c r="Y96" s="61"/>
      <c r="Z96" s="61"/>
      <c r="AA96" s="61"/>
      <c r="AB96" s="52"/>
      <c r="AC96" s="68"/>
      <c r="AD96" s="475"/>
    </row>
    <row r="97" spans="1:30" s="1" customFormat="1" ht="15" customHeight="1">
      <c r="A97" s="471"/>
      <c r="B97" s="392"/>
      <c r="C97" s="55"/>
      <c r="D97" s="472"/>
      <c r="E97" s="472"/>
      <c r="F97" s="473"/>
      <c r="G97" s="66"/>
      <c r="H97" s="464"/>
      <c r="I97" s="66"/>
      <c r="J97" s="66"/>
      <c r="K97" s="66"/>
      <c r="L97" s="66"/>
      <c r="M97" s="66"/>
      <c r="N97" s="59"/>
      <c r="O97" s="60"/>
      <c r="P97" s="60"/>
      <c r="Q97" s="465"/>
      <c r="R97" s="465"/>
      <c r="S97" s="64"/>
      <c r="T97" s="64"/>
      <c r="U97" s="62"/>
      <c r="V97" s="63"/>
      <c r="W97" s="466"/>
      <c r="X97" s="64"/>
      <c r="Y97" s="65"/>
      <c r="Z97" s="64"/>
      <c r="AA97" s="64"/>
      <c r="AB97" s="53"/>
      <c r="AC97" s="69"/>
      <c r="AD97" s="476"/>
    </row>
    <row r="98" spans="1:30" ht="13.5" customHeight="1">
      <c r="A98" s="467"/>
      <c r="B98" s="467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  <c r="AA98" s="467"/>
      <c r="AB98" s="467"/>
      <c r="AC98" s="467"/>
      <c r="AD98" s="467"/>
    </row>
    <row r="99" spans="1:30" s="89" customFormat="1" ht="13.5" customHeight="1">
      <c r="A99" s="467"/>
      <c r="B99" s="467"/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  <c r="AA99" s="467"/>
      <c r="AB99" s="467"/>
      <c r="AC99" s="467"/>
      <c r="AD99" s="467"/>
    </row>
    <row r="100" spans="1:30" s="89" customFormat="1" ht="13.5" customHeight="1">
      <c r="A100" s="467"/>
      <c r="B100" s="467"/>
      <c r="C100" s="467"/>
      <c r="D100" s="467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  <c r="AA100" s="467"/>
      <c r="AB100" s="467"/>
      <c r="AC100" s="467"/>
      <c r="AD100" s="467"/>
    </row>
    <row r="101" spans="1:30" ht="14.1" customHeight="1">
      <c r="A101" s="490" t="s">
        <v>11</v>
      </c>
      <c r="B101" s="493" t="s">
        <v>12</v>
      </c>
      <c r="C101" s="494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499" t="s">
        <v>4</v>
      </c>
      <c r="O101" s="500" t="s">
        <v>5</v>
      </c>
      <c r="P101" s="500" t="s">
        <v>13</v>
      </c>
      <c r="Q101" s="484" t="s">
        <v>14</v>
      </c>
      <c r="R101" s="484" t="s">
        <v>6</v>
      </c>
      <c r="S101" s="76" t="s">
        <v>52</v>
      </c>
      <c r="T101" s="82" t="s">
        <v>33</v>
      </c>
      <c r="U101" s="485" t="s">
        <v>15</v>
      </c>
      <c r="V101" s="12"/>
      <c r="W101" s="486" t="s">
        <v>16</v>
      </c>
      <c r="X101" s="82" t="s">
        <v>34</v>
      </c>
      <c r="Y101" s="82" t="s">
        <v>33</v>
      </c>
      <c r="Z101" s="82" t="s">
        <v>35</v>
      </c>
      <c r="AA101" s="82" t="s">
        <v>36</v>
      </c>
      <c r="AB101" s="487" t="s">
        <v>37</v>
      </c>
      <c r="AC101" s="82" t="s">
        <v>58</v>
      </c>
      <c r="AD101" s="487" t="s">
        <v>38</v>
      </c>
    </row>
    <row r="102" spans="1:30" ht="14.1" customHeight="1">
      <c r="A102" s="491"/>
      <c r="B102" s="495"/>
      <c r="C102" s="496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499"/>
      <c r="O102" s="500"/>
      <c r="P102" s="500"/>
      <c r="Q102" s="484"/>
      <c r="R102" s="484"/>
      <c r="S102" s="77" t="s">
        <v>53</v>
      </c>
      <c r="T102" s="83" t="s">
        <v>39</v>
      </c>
      <c r="U102" s="485"/>
      <c r="V102" s="12"/>
      <c r="W102" s="486"/>
      <c r="X102" s="83" t="s">
        <v>40</v>
      </c>
      <c r="Y102" s="83" t="s">
        <v>41</v>
      </c>
      <c r="Z102" s="83" t="s">
        <v>42</v>
      </c>
      <c r="AA102" s="83" t="s">
        <v>43</v>
      </c>
      <c r="AB102" s="488"/>
      <c r="AC102" s="83" t="s">
        <v>59</v>
      </c>
      <c r="AD102" s="488"/>
    </row>
    <row r="103" spans="1:30" ht="14.1" customHeight="1">
      <c r="A103" s="491"/>
      <c r="B103" s="495"/>
      <c r="C103" s="496"/>
      <c r="D103" s="14" t="s">
        <v>17</v>
      </c>
      <c r="E103" s="14" t="s">
        <v>18</v>
      </c>
      <c r="F103" s="15" t="s">
        <v>0</v>
      </c>
      <c r="G103" s="15" t="s">
        <v>1</v>
      </c>
      <c r="H103" s="85" t="s">
        <v>19</v>
      </c>
      <c r="I103" s="16" t="s">
        <v>2</v>
      </c>
      <c r="J103" s="15" t="s">
        <v>3</v>
      </c>
      <c r="K103" s="85"/>
      <c r="L103" s="15" t="s">
        <v>20</v>
      </c>
      <c r="M103" s="15" t="s">
        <v>21</v>
      </c>
      <c r="N103" s="499"/>
      <c r="O103" s="500"/>
      <c r="P103" s="500"/>
      <c r="Q103" s="484"/>
      <c r="R103" s="484"/>
      <c r="S103" s="77" t="s">
        <v>54</v>
      </c>
      <c r="T103" s="83" t="s">
        <v>44</v>
      </c>
      <c r="U103" s="485"/>
      <c r="V103" s="12"/>
      <c r="W103" s="486"/>
      <c r="X103" s="83" t="s">
        <v>44</v>
      </c>
      <c r="Y103" s="83" t="s">
        <v>45</v>
      </c>
      <c r="Z103" s="83" t="s">
        <v>46</v>
      </c>
      <c r="AA103" s="83" t="s">
        <v>72</v>
      </c>
      <c r="AB103" s="488"/>
      <c r="AC103" s="83"/>
      <c r="AD103" s="488"/>
    </row>
    <row r="104" spans="1:30" ht="14.1" customHeight="1">
      <c r="A104" s="492"/>
      <c r="B104" s="497"/>
      <c r="C104" s="498"/>
      <c r="D104" s="11"/>
      <c r="E104" s="11"/>
      <c r="F104" s="17"/>
      <c r="G104" s="17"/>
      <c r="H104" s="17"/>
      <c r="I104" s="86"/>
      <c r="J104" s="17"/>
      <c r="K104" s="17"/>
      <c r="L104" s="17"/>
      <c r="M104" s="17"/>
      <c r="N104" s="499"/>
      <c r="O104" s="500"/>
      <c r="P104" s="500"/>
      <c r="Q104" s="484"/>
      <c r="R104" s="484"/>
      <c r="S104" s="78" t="s">
        <v>55</v>
      </c>
      <c r="T104" s="84" t="s">
        <v>47</v>
      </c>
      <c r="U104" s="485"/>
      <c r="V104" s="12"/>
      <c r="W104" s="486"/>
      <c r="X104" s="84" t="s">
        <v>47</v>
      </c>
      <c r="Y104" s="84" t="s">
        <v>48</v>
      </c>
      <c r="Z104" s="84" t="s">
        <v>49</v>
      </c>
      <c r="AA104" s="84"/>
      <c r="AB104" s="489"/>
      <c r="AC104" s="84" t="s">
        <v>60</v>
      </c>
      <c r="AD104" s="489"/>
    </row>
    <row r="105" spans="1:30" ht="14.1" customHeight="1">
      <c r="A105" s="471" t="str">
        <f>IF(B105="","",1)</f>
        <v/>
      </c>
      <c r="B105" s="348"/>
      <c r="C105" s="54"/>
      <c r="D105" s="472">
        <f>TRUNC(C105)+((C105-TRUNC(C105))/0.6)</f>
        <v>0</v>
      </c>
      <c r="E105" s="472">
        <f>TRUNC(C106)+((C106-TRUNC(C106))/0.6)</f>
        <v>0</v>
      </c>
      <c r="F105" s="473">
        <f>ROUND(((LOG10(TAN(PI()/4+(D105/2*PI()/180)))*7915.7046)-(3437.7468*((0.0816968^2*SIN(D105*PI()/180))+(0.0816968^4/3*((SIN(D105*PI()/180))^3))+(0.0816968^6/5*((SIN(D105*PI()/180))^5))))),2)</f>
        <v>0</v>
      </c>
      <c r="G105" s="58"/>
      <c r="H105" s="464">
        <f>IF(E105&lt;0,E105+360,E105)</f>
        <v>0</v>
      </c>
      <c r="I105" s="88"/>
      <c r="J105" s="58"/>
      <c r="K105" s="58"/>
      <c r="L105" s="58"/>
      <c r="M105" s="58"/>
      <c r="N105" s="59"/>
      <c r="O105" s="60"/>
      <c r="P105" s="60"/>
      <c r="Q105" s="465" t="str">
        <f>IF(O106="","",0)</f>
        <v/>
      </c>
      <c r="R105" s="465" t="str">
        <f>IF(O104="","",R103-O104)</f>
        <v/>
      </c>
      <c r="S105" s="61"/>
      <c r="T105" s="61" t="s">
        <v>7</v>
      </c>
      <c r="U105" s="62"/>
      <c r="V105" s="63"/>
      <c r="W105" s="482"/>
      <c r="X105" s="61"/>
      <c r="Y105" s="61"/>
      <c r="Z105" s="61"/>
      <c r="AA105" s="61"/>
      <c r="AB105" s="52"/>
      <c r="AC105" s="68"/>
      <c r="AD105" s="483"/>
    </row>
    <row r="106" spans="1:30" ht="14.1" customHeight="1">
      <c r="A106" s="471"/>
      <c r="B106" s="349"/>
      <c r="C106" s="55"/>
      <c r="D106" s="472"/>
      <c r="E106" s="472"/>
      <c r="F106" s="473"/>
      <c r="G106" s="464">
        <f>ABS(D105-D107)*60</f>
        <v>0</v>
      </c>
      <c r="H106" s="464"/>
      <c r="I106" s="477">
        <f>ABS(H105-H107)*60</f>
        <v>0</v>
      </c>
      <c r="J106" s="478">
        <f>ABS(F105-F107)</f>
        <v>0</v>
      </c>
      <c r="K106" s="479" t="e">
        <f>IF(AND(D105&lt;D107,H105=H107),0,IF(AND(D105&gt;D107,H105=H107),180,IF(AND(D105=D107,H105&lt;H107),90,IF(AND(D105=D107,H105&gt;H107),270,(ATAN(I106/J106)*180/PI())))))</f>
        <v>#DIV/0!</v>
      </c>
      <c r="L106" s="472" t="e">
        <f>IF(OR(K106=0,K106=90,K106=180,K106=270),K106,IF(AND(D105&lt;D107,H105&lt;H107),K106,IF(AND(D105&lt;D107,H105&gt;H107),360-K106,IF(AND(D105&gt;D107,H105&lt;H107),180-K106,IF(AND(D105&gt;D107,H105&gt;H107),180+K106)))))</f>
        <v>#DIV/0!</v>
      </c>
      <c r="M106" s="472">
        <f>(IF(I106=0,G106,IF(G106=0,COS(D107*PI()/180)*I106,G106/COS(K106*PI()/180))))</f>
        <v>0</v>
      </c>
      <c r="N106" s="468" t="str">
        <f>IF(C108="","",ROUND(L106,1))</f>
        <v/>
      </c>
      <c r="O106" s="469" t="str">
        <f>IF(C108="","",ROUND(M106,1))</f>
        <v/>
      </c>
      <c r="P106" s="353"/>
      <c r="Q106" s="465"/>
      <c r="R106" s="465"/>
      <c r="S106" s="64"/>
      <c r="T106" s="64" t="s">
        <v>23</v>
      </c>
      <c r="U106" s="358"/>
      <c r="V106" s="470" t="e">
        <f>(O106/P106+U106/60)/24</f>
        <v>#VALUE!</v>
      </c>
      <c r="W106" s="482"/>
      <c r="X106" s="64"/>
      <c r="Y106" s="65"/>
      <c r="Z106" s="64"/>
      <c r="AA106" s="64"/>
      <c r="AB106" s="53"/>
      <c r="AC106" s="69"/>
      <c r="AD106" s="480"/>
    </row>
    <row r="107" spans="1:30" ht="14.1" customHeight="1">
      <c r="A107" s="471" t="str">
        <f>IF(B107="","",A105+1)</f>
        <v/>
      </c>
      <c r="B107" s="394"/>
      <c r="C107" s="54"/>
      <c r="D107" s="472">
        <f>TRUNC(C107)+((C107-TRUNC(C107))/0.6)</f>
        <v>0</v>
      </c>
      <c r="E107" s="472">
        <f>TRUNC(C108)+((C108-TRUNC(C108))/0.6)</f>
        <v>0</v>
      </c>
      <c r="F107" s="473">
        <f>ROUND(((LOG10(TAN(PI()/4+(D107/2*PI()/180)))*7915.7046)-(3437.7468*((0.0816968^2*SIN(D107*PI()/180))+(0.0816968^4/3*((SIN(D107*PI()/180))^3))+(0.0816968^6/5*((SIN(D107*PI()/180))^5))))),2)</f>
        <v>0</v>
      </c>
      <c r="G107" s="464"/>
      <c r="H107" s="464">
        <f>IF(E107&lt;0,E107+360,E107)</f>
        <v>0</v>
      </c>
      <c r="I107" s="477"/>
      <c r="J107" s="478"/>
      <c r="K107" s="479"/>
      <c r="L107" s="472"/>
      <c r="M107" s="472"/>
      <c r="N107" s="468"/>
      <c r="O107" s="469"/>
      <c r="P107" s="353"/>
      <c r="Q107" s="465" t="str">
        <f>IF(O106="","",Q105+O106)</f>
        <v/>
      </c>
      <c r="R107" s="465" t="str">
        <f>IF(O106="","",R105-O106)</f>
        <v/>
      </c>
      <c r="S107" s="61"/>
      <c r="T107" s="61" t="s">
        <v>7</v>
      </c>
      <c r="U107" s="355"/>
      <c r="V107" s="470"/>
      <c r="W107" s="466" t="str">
        <f>IF(P106="","",W105+V106)</f>
        <v/>
      </c>
      <c r="X107" s="61"/>
      <c r="Y107" s="61"/>
      <c r="Z107" s="61"/>
      <c r="AA107" s="61"/>
      <c r="AB107" s="52"/>
      <c r="AC107" s="68"/>
      <c r="AD107" s="480"/>
    </row>
    <row r="108" spans="1:30" ht="14.1" customHeight="1">
      <c r="A108" s="471"/>
      <c r="B108" s="395"/>
      <c r="C108" s="55"/>
      <c r="D108" s="472"/>
      <c r="E108" s="472"/>
      <c r="F108" s="473"/>
      <c r="G108" s="464">
        <f>ABS(D107-D109)*60</f>
        <v>0</v>
      </c>
      <c r="H108" s="464"/>
      <c r="I108" s="477">
        <f>ABS(H107-H109)*60</f>
        <v>0</v>
      </c>
      <c r="J108" s="478">
        <f>ABS(F107-F109)</f>
        <v>0</v>
      </c>
      <c r="K108" s="479" t="e">
        <f>IF(AND(D107&lt;D109,H107=H109),0,IF(AND(D107&gt;D109,H107=H109),180,IF(AND(D107=D109,H107&lt;H109),90,IF(AND(D107=D109,H107&gt;H109),270,(ATAN(I108/J108)*180/PI())))))</f>
        <v>#DIV/0!</v>
      </c>
      <c r="L108" s="472" t="e">
        <f>IF(OR(K108=0,K108=90,K108=180,K108=270),K108,IF(AND(D107&lt;D109,H107&lt;H109),K108,IF(AND(D107&lt;D109,H107&gt;H109),360-K108,IF(AND(D107&gt;D109,H107&lt;H109),180-K108,IF(AND(D107&gt;D109,H107&gt;H109),180+K108)))))</f>
        <v>#DIV/0!</v>
      </c>
      <c r="M108" s="472">
        <f>(IF(I108=0,G108,IF(G108=0,COS(D109*PI()/180)*I108,G108/COS(K108*PI()/180))))</f>
        <v>0</v>
      </c>
      <c r="N108" s="468" t="str">
        <f>IF(C110="","",ROUND(L108,1))</f>
        <v/>
      </c>
      <c r="O108" s="469" t="str">
        <f>IF(C110="","",ROUND(M108,1))</f>
        <v/>
      </c>
      <c r="P108" s="353"/>
      <c r="Q108" s="465"/>
      <c r="R108" s="465"/>
      <c r="S108" s="64"/>
      <c r="T108" s="64" t="s">
        <v>23</v>
      </c>
      <c r="U108" s="358"/>
      <c r="V108" s="470" t="e">
        <f>(O108/P108+U108/60)/24</f>
        <v>#VALUE!</v>
      </c>
      <c r="W108" s="466"/>
      <c r="X108" s="64"/>
      <c r="Y108" s="65"/>
      <c r="Z108" s="64"/>
      <c r="AA108" s="64"/>
      <c r="AB108" s="53"/>
      <c r="AC108" s="69"/>
      <c r="AD108" s="480"/>
    </row>
    <row r="109" spans="1:30" ht="14.1" customHeight="1">
      <c r="A109" s="471" t="str">
        <f>IF(B109="","",A107+1)</f>
        <v/>
      </c>
      <c r="B109" s="392"/>
      <c r="C109" s="54"/>
      <c r="D109" s="472">
        <f>TRUNC(C109)+((C109-TRUNC(C109))/0.6)</f>
        <v>0</v>
      </c>
      <c r="E109" s="472">
        <f>TRUNC(C110)+((C110-TRUNC(C110))/0.6)</f>
        <v>0</v>
      </c>
      <c r="F109" s="473">
        <f>ROUND(((LOG10(TAN(PI()/4+(D109/2*PI()/180)))*7915.7046)-(3437.7468*((0.0816968^2*SIN(D109*PI()/180))+(0.0816968^4/3*((SIN(D109*PI()/180))^3))+(0.0816968^6/5*((SIN(D109*PI()/180))^5))))),2)</f>
        <v>0</v>
      </c>
      <c r="G109" s="464"/>
      <c r="H109" s="464">
        <f>IF(E109&lt;0,E109+360,E109)</f>
        <v>0</v>
      </c>
      <c r="I109" s="477"/>
      <c r="J109" s="478"/>
      <c r="K109" s="479"/>
      <c r="L109" s="472"/>
      <c r="M109" s="472"/>
      <c r="N109" s="468"/>
      <c r="O109" s="469"/>
      <c r="P109" s="353"/>
      <c r="Q109" s="465" t="str">
        <f>IF(O108="","",Q107+O108)</f>
        <v/>
      </c>
      <c r="R109" s="465" t="str">
        <f>IF(O108="","",R107-O108)</f>
        <v/>
      </c>
      <c r="S109" s="61"/>
      <c r="T109" s="61" t="s">
        <v>7</v>
      </c>
      <c r="U109" s="355"/>
      <c r="V109" s="470"/>
      <c r="W109" s="466" t="str">
        <f>IF(P108="","",W107+V108)</f>
        <v/>
      </c>
      <c r="X109" s="61"/>
      <c r="Y109" s="61"/>
      <c r="Z109" s="61"/>
      <c r="AA109" s="61"/>
      <c r="AB109" s="52"/>
      <c r="AC109" s="68"/>
      <c r="AD109" s="480"/>
    </row>
    <row r="110" spans="1:30" ht="14.1" customHeight="1">
      <c r="A110" s="471"/>
      <c r="B110" s="392"/>
      <c r="C110" s="55"/>
      <c r="D110" s="472"/>
      <c r="E110" s="472"/>
      <c r="F110" s="473"/>
      <c r="G110" s="464">
        <f>ABS(D109-D111)*60</f>
        <v>0</v>
      </c>
      <c r="H110" s="464"/>
      <c r="I110" s="477">
        <f>ABS(H109-H111)*60</f>
        <v>0</v>
      </c>
      <c r="J110" s="478">
        <f>ABS(F109-F111)</f>
        <v>0</v>
      </c>
      <c r="K110" s="479" t="e">
        <f>IF(AND(D109&lt;D111,H109=H111),0,IF(AND(D109&gt;D111,H109=H111),180,IF(AND(D109=D111,H109&lt;H111),90,IF(AND(D109=D111,H109&gt;H111),270,(ATAN(I110/J110)*180/PI())))))</f>
        <v>#DIV/0!</v>
      </c>
      <c r="L110" s="472" t="e">
        <f>IF(OR(K110=0,K110=90,K110=180,K110=270),K110,IF(AND(D109&lt;D111,H109&lt;H111),K110,IF(AND(D109&lt;D111,H109&gt;H111),360-K110,IF(AND(D109&gt;D111,H109&lt;H111),180-K110,IF(AND(D109&gt;D111,H109&gt;H111),180+K110)))))</f>
        <v>#DIV/0!</v>
      </c>
      <c r="M110" s="472">
        <f>(IF(I110=0,G110,IF(G110=0,COS(D111*PI()/180)*I110,G110/COS(K110*PI()/180))))</f>
        <v>0</v>
      </c>
      <c r="N110" s="468" t="str">
        <f>IF(C112="","",ROUND(L110,1))</f>
        <v/>
      </c>
      <c r="O110" s="469" t="str">
        <f>IF(C112="","",ROUND(M110,1))</f>
        <v/>
      </c>
      <c r="P110" s="353"/>
      <c r="Q110" s="465"/>
      <c r="R110" s="465"/>
      <c r="S110" s="64"/>
      <c r="T110" s="64" t="s">
        <v>23</v>
      </c>
      <c r="U110" s="358"/>
      <c r="V110" s="470" t="e">
        <f>(O110/P110+U110/60)/24</f>
        <v>#VALUE!</v>
      </c>
      <c r="W110" s="466"/>
      <c r="X110" s="64"/>
      <c r="Y110" s="65"/>
      <c r="Z110" s="64"/>
      <c r="AA110" s="64"/>
      <c r="AB110" s="53"/>
      <c r="AC110" s="69"/>
      <c r="AD110" s="480"/>
    </row>
    <row r="111" spans="1:30" ht="14.1" customHeight="1">
      <c r="A111" s="471" t="str">
        <f>IF(B111="","",A109+1)</f>
        <v/>
      </c>
      <c r="B111" s="392"/>
      <c r="C111" s="54"/>
      <c r="D111" s="472">
        <f>TRUNC(C111)+((C111-TRUNC(C111))/0.6)</f>
        <v>0</v>
      </c>
      <c r="E111" s="472">
        <f>TRUNC(C112)+((C112-TRUNC(C112))/0.6)</f>
        <v>0</v>
      </c>
      <c r="F111" s="473">
        <f>ROUND(((LOG10(TAN(PI()/4+(D111/2*PI()/180)))*7915.7046)-(3437.7468*((0.0816968^2*SIN(D111*PI()/180))+(0.0816968^4/3*((SIN(D111*PI()/180))^3))+(0.0816968^6/5*((SIN(D111*PI()/180))^5))))),2)</f>
        <v>0</v>
      </c>
      <c r="G111" s="464"/>
      <c r="H111" s="464">
        <f>IF(E111&lt;0,E111+360,E111)</f>
        <v>0</v>
      </c>
      <c r="I111" s="477"/>
      <c r="J111" s="478"/>
      <c r="K111" s="479"/>
      <c r="L111" s="472"/>
      <c r="M111" s="472"/>
      <c r="N111" s="468"/>
      <c r="O111" s="469"/>
      <c r="P111" s="353"/>
      <c r="Q111" s="465" t="str">
        <f>IF(O110="","",Q109+O110)</f>
        <v/>
      </c>
      <c r="R111" s="465" t="str">
        <f>IF(O110="","",R109-O110)</f>
        <v/>
      </c>
      <c r="S111" s="61"/>
      <c r="T111" s="61" t="s">
        <v>7</v>
      </c>
      <c r="U111" s="355"/>
      <c r="V111" s="470"/>
      <c r="W111" s="466" t="str">
        <f>IF(P110="","",W109+V110)</f>
        <v/>
      </c>
      <c r="X111" s="61"/>
      <c r="Y111" s="61"/>
      <c r="Z111" s="61"/>
      <c r="AA111" s="61"/>
      <c r="AB111" s="52"/>
      <c r="AC111" s="68"/>
      <c r="AD111" s="480"/>
    </row>
    <row r="112" spans="1:30" ht="14.1" customHeight="1">
      <c r="A112" s="471"/>
      <c r="B112" s="392"/>
      <c r="C112" s="55"/>
      <c r="D112" s="472"/>
      <c r="E112" s="472"/>
      <c r="F112" s="473"/>
      <c r="G112" s="464">
        <f>ABS(D111-D113)*60</f>
        <v>0</v>
      </c>
      <c r="H112" s="464"/>
      <c r="I112" s="477">
        <f>ABS(H111-H113)*60</f>
        <v>0</v>
      </c>
      <c r="J112" s="478">
        <f>ABS(F111-F113)</f>
        <v>0</v>
      </c>
      <c r="K112" s="479" t="e">
        <f>IF(AND(D111&lt;D113,H111=H113),0,IF(AND(D111&gt;D113,H111=H113),180,IF(AND(D111=D113,H111&lt;H113),90,IF(AND(D111=D113,H111&gt;H113),270,(ATAN(I112/J112)*180/PI())))))</f>
        <v>#DIV/0!</v>
      </c>
      <c r="L112" s="472" t="e">
        <f>IF(OR(K112=0,K112=90,K112=180,K112=270),K112,IF(AND(D111&lt;D113,H111&lt;H113),K112,IF(AND(D111&lt;D113,H111&gt;H113),360-K112,IF(AND(D111&gt;D113,H111&lt;H113),180-K112,IF(AND(D111&gt;D113,H111&gt;H113),180+K112)))))</f>
        <v>#DIV/0!</v>
      </c>
      <c r="M112" s="472">
        <f>(IF(I112=0,G112,IF(G112=0,COS(D113*PI()/180)*I112,G112/COS(K112*PI()/180))))</f>
        <v>0</v>
      </c>
      <c r="N112" s="468" t="str">
        <f>IF(C114="","",ROUND(L112,1))</f>
        <v/>
      </c>
      <c r="O112" s="469" t="str">
        <f>IF(C114="","",ROUND(M112,1))</f>
        <v/>
      </c>
      <c r="P112" s="353"/>
      <c r="Q112" s="465"/>
      <c r="R112" s="465"/>
      <c r="S112" s="64"/>
      <c r="T112" s="64" t="s">
        <v>23</v>
      </c>
      <c r="U112" s="358"/>
      <c r="V112" s="470" t="e">
        <f>(O112/P112+U112/60)/24</f>
        <v>#VALUE!</v>
      </c>
      <c r="W112" s="466"/>
      <c r="X112" s="64"/>
      <c r="Y112" s="65"/>
      <c r="Z112" s="64"/>
      <c r="AA112" s="64"/>
      <c r="AB112" s="53"/>
      <c r="AC112" s="69"/>
      <c r="AD112" s="480"/>
    </row>
    <row r="113" spans="1:30" ht="14.1" customHeight="1">
      <c r="A113" s="471" t="str">
        <f>IF(B113="","",A111+1)</f>
        <v/>
      </c>
      <c r="B113" s="392"/>
      <c r="C113" s="54"/>
      <c r="D113" s="472">
        <f>TRUNC(C113)+((C113-TRUNC(C113))/0.6)</f>
        <v>0</v>
      </c>
      <c r="E113" s="472">
        <f>TRUNC(C114)+((C114-TRUNC(C114))/0.6)</f>
        <v>0</v>
      </c>
      <c r="F113" s="473">
        <f>ROUND(((LOG10(TAN(PI()/4+(D113/2*PI()/180)))*7915.7046)-(3437.7468*((0.0816968^2*SIN(D113*PI()/180))+(0.0816968^4/3*((SIN(D113*PI()/180))^3))+(0.0816968^6/5*((SIN(D113*PI()/180))^5))))),2)</f>
        <v>0</v>
      </c>
      <c r="G113" s="464"/>
      <c r="H113" s="464">
        <f>IF(E113&lt;0,E113+360,E113)</f>
        <v>0</v>
      </c>
      <c r="I113" s="477"/>
      <c r="J113" s="478"/>
      <c r="K113" s="479"/>
      <c r="L113" s="472"/>
      <c r="M113" s="472"/>
      <c r="N113" s="468"/>
      <c r="O113" s="469"/>
      <c r="P113" s="353"/>
      <c r="Q113" s="465" t="str">
        <f>IF(O112="","",Q111+O112)</f>
        <v/>
      </c>
      <c r="R113" s="465" t="str">
        <f>IF(O112="","",R111-O112)</f>
        <v/>
      </c>
      <c r="S113" s="61"/>
      <c r="T113" s="61" t="s">
        <v>7</v>
      </c>
      <c r="U113" s="355"/>
      <c r="V113" s="470"/>
      <c r="W113" s="466" t="str">
        <f>IF(P112="","",W111+V112)</f>
        <v/>
      </c>
      <c r="X113" s="61"/>
      <c r="Y113" s="61"/>
      <c r="Z113" s="61"/>
      <c r="AA113" s="61"/>
      <c r="AB113" s="52"/>
      <c r="AC113" s="68"/>
      <c r="AD113" s="480"/>
    </row>
    <row r="114" spans="1:30" ht="14.1" customHeight="1">
      <c r="A114" s="471"/>
      <c r="B114" s="392"/>
      <c r="C114" s="55"/>
      <c r="D114" s="472"/>
      <c r="E114" s="472"/>
      <c r="F114" s="473"/>
      <c r="G114" s="464">
        <f>ABS(D113-D115)*60</f>
        <v>0</v>
      </c>
      <c r="H114" s="464"/>
      <c r="I114" s="477">
        <f>ABS(H113-H115)*60</f>
        <v>0</v>
      </c>
      <c r="J114" s="478">
        <f>ABS(F113-F115)</f>
        <v>0</v>
      </c>
      <c r="K114" s="479" t="e">
        <f>IF(AND(D113&lt;D115,H113=H115),0,IF(AND(D113&gt;D115,H113=H115),180,IF(AND(D113=D115,H113&lt;H115),90,IF(AND(D113=D115,H113&gt;H115),270,(ATAN(I114/J114)*180/PI())))))</f>
        <v>#DIV/0!</v>
      </c>
      <c r="L114" s="472" t="e">
        <f>IF(OR(K114=0,K114=90,K114=180,K114=270),K114,IF(AND(D113&lt;D115,H113&lt;H115),K114,IF(AND(D113&lt;D115,H113&gt;H115),360-K114,IF(AND(D113&gt;D115,H113&lt;H115),180-K114,IF(AND(D113&gt;D115,H113&gt;H115),180+K114)))))</f>
        <v>#DIV/0!</v>
      </c>
      <c r="M114" s="472">
        <f>(IF(I114=0,G114,IF(G114=0,COS(D115*PI()/180)*I114,G114/COS(K114*PI()/180))))</f>
        <v>0</v>
      </c>
      <c r="N114" s="468" t="str">
        <f>IF(C116="","",ROUND(L114,1))</f>
        <v/>
      </c>
      <c r="O114" s="469" t="str">
        <f>IF(C116="","",ROUND(M114,1))</f>
        <v/>
      </c>
      <c r="P114" s="353"/>
      <c r="Q114" s="465"/>
      <c r="R114" s="465"/>
      <c r="S114" s="64"/>
      <c r="T114" s="64" t="s">
        <v>24</v>
      </c>
      <c r="U114" s="358"/>
      <c r="V114" s="470" t="e">
        <f>(O114/P114+U114/60)/24</f>
        <v>#VALUE!</v>
      </c>
      <c r="W114" s="466"/>
      <c r="X114" s="64"/>
      <c r="Y114" s="65"/>
      <c r="Z114" s="64"/>
      <c r="AA114" s="64"/>
      <c r="AB114" s="53"/>
      <c r="AC114" s="69"/>
      <c r="AD114" s="480"/>
    </row>
    <row r="115" spans="1:30" ht="14.1" customHeight="1">
      <c r="A115" s="471" t="str">
        <f>IF(B115="","",A113+1)</f>
        <v/>
      </c>
      <c r="B115" s="392"/>
      <c r="C115" s="54"/>
      <c r="D115" s="472">
        <f>TRUNC(C115)+((C115-TRUNC(C115))/0.6)</f>
        <v>0</v>
      </c>
      <c r="E115" s="472">
        <f>TRUNC(C116)+((C116-TRUNC(C116))/0.6)</f>
        <v>0</v>
      </c>
      <c r="F115" s="473">
        <f>ROUND(((LOG10(TAN(PI()/4+(D115/2*PI()/180)))*7915.7046)-(3437.7468*((0.0816968^2*SIN(D115*PI()/180))+(0.0816968^4/3*((SIN(D115*PI()/180))^3))+(0.0816968^6/5*((SIN(D115*PI()/180))^5))))),2)</f>
        <v>0</v>
      </c>
      <c r="G115" s="464"/>
      <c r="H115" s="464">
        <f>IF(E115&lt;0,E115+360,E115)</f>
        <v>0</v>
      </c>
      <c r="I115" s="477"/>
      <c r="J115" s="478"/>
      <c r="K115" s="479"/>
      <c r="L115" s="472"/>
      <c r="M115" s="472"/>
      <c r="N115" s="468"/>
      <c r="O115" s="469"/>
      <c r="P115" s="353"/>
      <c r="Q115" s="465" t="str">
        <f>IF(O114="","",Q113+O114)</f>
        <v/>
      </c>
      <c r="R115" s="465" t="str">
        <f>IF(O114="","",R113-O114)</f>
        <v/>
      </c>
      <c r="S115" s="61"/>
      <c r="T115" s="61" t="s">
        <v>7</v>
      </c>
      <c r="U115" s="355"/>
      <c r="V115" s="470"/>
      <c r="W115" s="466" t="str">
        <f>IF(P114="","",W113+V114)</f>
        <v/>
      </c>
      <c r="X115" s="61"/>
      <c r="Y115" s="61"/>
      <c r="Z115" s="61"/>
      <c r="AA115" s="61"/>
      <c r="AB115" s="52"/>
      <c r="AC115" s="68"/>
      <c r="AD115" s="480"/>
    </row>
    <row r="116" spans="1:30" ht="14.1" customHeight="1">
      <c r="A116" s="471"/>
      <c r="B116" s="392"/>
      <c r="C116" s="55"/>
      <c r="D116" s="472"/>
      <c r="E116" s="472"/>
      <c r="F116" s="473"/>
      <c r="G116" s="464">
        <f>ABS(D115-D117)*60</f>
        <v>0</v>
      </c>
      <c r="H116" s="464"/>
      <c r="I116" s="477">
        <f>ABS(H115-H117)*60</f>
        <v>0</v>
      </c>
      <c r="J116" s="478">
        <f>ABS(F115-F117)</f>
        <v>0</v>
      </c>
      <c r="K116" s="479" t="e">
        <f>IF(AND(D115&lt;D117,H115=H117),0,IF(AND(D115&gt;D117,H115=H117),180,IF(AND(D115=D117,H115&lt;H117),90,IF(AND(D115=D117,H115&gt;H117),270,(ATAN(I116/J116)*180/PI())))))</f>
        <v>#DIV/0!</v>
      </c>
      <c r="L116" s="472" t="e">
        <f>IF(OR(K116=0,K116=90,K116=180,K116=270),K116,IF(AND(D115&lt;D117,H115&lt;H117),K116,IF(AND(D115&lt;D117,H115&gt;H117),360-K116,IF(AND(D115&gt;D117,H115&lt;H117),180-K116,IF(AND(D115&gt;D117,H115&gt;H117),180+K116)))))</f>
        <v>#DIV/0!</v>
      </c>
      <c r="M116" s="472">
        <f>(IF(I116=0,G116,IF(G116=0,COS(D117*PI()/180)*I116,G116/COS(K116*PI()/180))))</f>
        <v>0</v>
      </c>
      <c r="N116" s="468" t="str">
        <f>IF(C118="","",ROUND(L116,1))</f>
        <v/>
      </c>
      <c r="O116" s="469" t="str">
        <f>IF(C118="","",ROUND(M116,1))</f>
        <v/>
      </c>
      <c r="P116" s="353"/>
      <c r="Q116" s="465"/>
      <c r="R116" s="465"/>
      <c r="S116" s="64"/>
      <c r="T116" s="64" t="s">
        <v>23</v>
      </c>
      <c r="U116" s="358"/>
      <c r="V116" s="470" t="e">
        <f>(O116/P116+U116/60)/24</f>
        <v>#VALUE!</v>
      </c>
      <c r="W116" s="466"/>
      <c r="X116" s="64"/>
      <c r="Y116" s="65"/>
      <c r="Z116" s="64"/>
      <c r="AA116" s="64"/>
      <c r="AB116" s="53"/>
      <c r="AC116" s="69"/>
      <c r="AD116" s="480"/>
    </row>
    <row r="117" spans="1:30" ht="14.1" customHeight="1">
      <c r="A117" s="471" t="str">
        <f>IF(B117="","",A115+1)</f>
        <v/>
      </c>
      <c r="B117" s="392"/>
      <c r="C117" s="54"/>
      <c r="D117" s="472">
        <f>TRUNC(C117)+((C117-TRUNC(C117))/0.6)</f>
        <v>0</v>
      </c>
      <c r="E117" s="472">
        <f>TRUNC(C118)+((C118-TRUNC(C118))/0.6)</f>
        <v>0</v>
      </c>
      <c r="F117" s="473">
        <f>ROUND(((LOG10(TAN(PI()/4+(D117/2*PI()/180)))*7915.7046)-(3437.7468*((0.0816968^2*SIN(D117*PI()/180))+(0.0816968^4/3*((SIN(D117*PI()/180))^3))+(0.0816968^6/5*((SIN(D117*PI()/180))^5))))),2)</f>
        <v>0</v>
      </c>
      <c r="G117" s="464"/>
      <c r="H117" s="464">
        <f>IF(E117&lt;0,E117+360,E117)</f>
        <v>0</v>
      </c>
      <c r="I117" s="477"/>
      <c r="J117" s="478"/>
      <c r="K117" s="479"/>
      <c r="L117" s="472"/>
      <c r="M117" s="472"/>
      <c r="N117" s="468"/>
      <c r="O117" s="469"/>
      <c r="P117" s="353"/>
      <c r="Q117" s="465" t="str">
        <f>IF(O116="","",Q115+O116)</f>
        <v/>
      </c>
      <c r="R117" s="465" t="str">
        <f>IF(O116="","",R115-O116)</f>
        <v/>
      </c>
      <c r="S117" s="61"/>
      <c r="T117" s="61" t="s">
        <v>25</v>
      </c>
      <c r="U117" s="355"/>
      <c r="V117" s="470"/>
      <c r="W117" s="466" t="str">
        <f>IF(P116="","",W115+V116)</f>
        <v/>
      </c>
      <c r="X117" s="61"/>
      <c r="Y117" s="61"/>
      <c r="Z117" s="61"/>
      <c r="AA117" s="61"/>
      <c r="AB117" s="52"/>
      <c r="AC117" s="68"/>
      <c r="AD117" s="480"/>
    </row>
    <row r="118" spans="1:30" ht="14.1" customHeight="1">
      <c r="A118" s="471"/>
      <c r="B118" s="392"/>
      <c r="C118" s="55"/>
      <c r="D118" s="472"/>
      <c r="E118" s="472"/>
      <c r="F118" s="473"/>
      <c r="G118" s="464">
        <f>ABS(D117-D119)*60</f>
        <v>0</v>
      </c>
      <c r="H118" s="464"/>
      <c r="I118" s="477">
        <f>ABS(H117-H119)*60</f>
        <v>0</v>
      </c>
      <c r="J118" s="478">
        <f>ABS(F117-F119)</f>
        <v>0</v>
      </c>
      <c r="K118" s="479" t="e">
        <f>IF(AND(D117&lt;D119,H117=H119),0,IF(AND(D117&gt;D119,H117=H119),180,IF(AND(D117=D119,H117&lt;H119),90,IF(AND(D117=D119,H117&gt;H119),270,(ATAN(I118/J118)*180/PI())))))</f>
        <v>#DIV/0!</v>
      </c>
      <c r="L118" s="472" t="e">
        <f>IF(OR(K118=0,K118=90,K118=180,K118=270),K118,IF(AND(D117&lt;D119,H117&lt;H119),K118,IF(AND(D117&lt;D119,H117&gt;H119),360-K118,IF(AND(D117&gt;D119,H117&lt;H119),180-K118,IF(AND(D117&gt;D119,H117&gt;H119),180+K118)))))</f>
        <v>#DIV/0!</v>
      </c>
      <c r="M118" s="472">
        <f>(IF(I118=0,G118,IF(G118=0,COS(D119*PI()/180)*I118,G118/COS(K118*PI()/180))))</f>
        <v>0</v>
      </c>
      <c r="N118" s="468" t="str">
        <f>IF(C120="","",ROUND(L118,1))</f>
        <v/>
      </c>
      <c r="O118" s="469" t="str">
        <f>IF(C120="","",ROUND(M118,1))</f>
        <v/>
      </c>
      <c r="P118" s="353"/>
      <c r="Q118" s="465"/>
      <c r="R118" s="465"/>
      <c r="S118" s="64"/>
      <c r="T118" s="64" t="s">
        <v>24</v>
      </c>
      <c r="U118" s="358"/>
      <c r="V118" s="470" t="e">
        <f>(O118/P118+U118/60)/24</f>
        <v>#VALUE!</v>
      </c>
      <c r="W118" s="466"/>
      <c r="X118" s="64"/>
      <c r="Y118" s="65"/>
      <c r="Z118" s="64"/>
      <c r="AA118" s="64"/>
      <c r="AB118" s="53"/>
      <c r="AC118" s="69"/>
      <c r="AD118" s="480"/>
    </row>
    <row r="119" spans="1:30" ht="14.1" customHeight="1">
      <c r="A119" s="471" t="str">
        <f>IF(B119="","",A117+1)</f>
        <v/>
      </c>
      <c r="B119" s="392"/>
      <c r="C119" s="54"/>
      <c r="D119" s="472">
        <f>TRUNC(C119)+((C119-TRUNC(C119))/0.6)</f>
        <v>0</v>
      </c>
      <c r="E119" s="472">
        <f>TRUNC(C120)+((C120-TRUNC(C120))/0.6)</f>
        <v>0</v>
      </c>
      <c r="F119" s="473">
        <f>ROUND(((LOG10(TAN(PI()/4+(D119/2*PI()/180)))*7915.7046)-(3437.7468*((0.0816968^2*SIN(D119*PI()/180))+(0.0816968^4/3*((SIN(D119*PI()/180))^3))+(0.0816968^6/5*((SIN(D119*PI()/180))^5))))),2)</f>
        <v>0</v>
      </c>
      <c r="G119" s="464"/>
      <c r="H119" s="464">
        <f>IF(E119&lt;0,E119+360,E119)</f>
        <v>0</v>
      </c>
      <c r="I119" s="477"/>
      <c r="J119" s="478"/>
      <c r="K119" s="479"/>
      <c r="L119" s="472"/>
      <c r="M119" s="472"/>
      <c r="N119" s="468"/>
      <c r="O119" s="469"/>
      <c r="P119" s="353"/>
      <c r="Q119" s="465" t="str">
        <f>IF(O118="","",Q117+O118)</f>
        <v/>
      </c>
      <c r="R119" s="465" t="str">
        <f>IF(O118="","",R117-O118)</f>
        <v/>
      </c>
      <c r="S119" s="61"/>
      <c r="T119" s="61" t="s">
        <v>25</v>
      </c>
      <c r="U119" s="355"/>
      <c r="V119" s="470"/>
      <c r="W119" s="466" t="str">
        <f>IF(P118="","",W117+V118)</f>
        <v/>
      </c>
      <c r="X119" s="61"/>
      <c r="Y119" s="61"/>
      <c r="Z119" s="61"/>
      <c r="AA119" s="61"/>
      <c r="AB119" s="52"/>
      <c r="AC119" s="68"/>
      <c r="AD119" s="480"/>
    </row>
    <row r="120" spans="1:30" ht="14.1" customHeight="1">
      <c r="A120" s="471"/>
      <c r="B120" s="392"/>
      <c r="C120" s="55"/>
      <c r="D120" s="472"/>
      <c r="E120" s="472"/>
      <c r="F120" s="473"/>
      <c r="G120" s="464">
        <f>ABS(D119-D121)*60</f>
        <v>0</v>
      </c>
      <c r="H120" s="464"/>
      <c r="I120" s="477">
        <f>ABS(H119-H121)*60</f>
        <v>0</v>
      </c>
      <c r="J120" s="478">
        <f>ABS(F119-F121)</f>
        <v>0</v>
      </c>
      <c r="K120" s="479" t="e">
        <f>IF(AND(D119&lt;D121,H119=H121),0,IF(AND(D119&gt;D121,H119=H121),180,IF(AND(D119=D121,H119&lt;H121),90,IF(AND(D119=D121,H119&gt;H121),270,(ATAN(I120/J120)*180/PI())))))</f>
        <v>#DIV/0!</v>
      </c>
      <c r="L120" s="472" t="e">
        <f>IF(OR(K120=0,K120=90,K120=180,K120=270),K120,IF(AND(D119&lt;D121,H119&lt;H121),K120,IF(AND(D119&lt;D121,H119&gt;H121),360-K120,IF(AND(D119&gt;D121,H119&lt;H121),180-K120,IF(AND(D119&gt;D121,H119&gt;H121),180+K120)))))</f>
        <v>#DIV/0!</v>
      </c>
      <c r="M120" s="472">
        <f>(IF(I120=0,G120,IF(G120=0,COS(D121*PI()/180)*I120,G120/COS(K120*PI()/180))))</f>
        <v>0</v>
      </c>
      <c r="N120" s="468" t="str">
        <f>IF(C122="","",ROUND(L120,1))</f>
        <v/>
      </c>
      <c r="O120" s="469" t="str">
        <f>IF(C122="","",ROUND(M120,1))</f>
        <v/>
      </c>
      <c r="P120" s="353"/>
      <c r="Q120" s="465"/>
      <c r="R120" s="465"/>
      <c r="S120" s="64"/>
      <c r="T120" s="64" t="s">
        <v>24</v>
      </c>
      <c r="U120" s="358"/>
      <c r="V120" s="470" t="e">
        <f>(O120/P120+U120/60)/24</f>
        <v>#VALUE!</v>
      </c>
      <c r="W120" s="466"/>
      <c r="X120" s="64"/>
      <c r="Y120" s="65"/>
      <c r="Z120" s="64"/>
      <c r="AA120" s="64"/>
      <c r="AB120" s="53"/>
      <c r="AC120" s="69"/>
      <c r="AD120" s="480"/>
    </row>
    <row r="121" spans="1:30" ht="14.1" customHeight="1">
      <c r="A121" s="471" t="str">
        <f>IF(B121="","",A119+1)</f>
        <v/>
      </c>
      <c r="B121" s="392"/>
      <c r="C121" s="54"/>
      <c r="D121" s="472">
        <f>TRUNC(C121)+((C121-TRUNC(C121))/0.6)</f>
        <v>0</v>
      </c>
      <c r="E121" s="472">
        <f>TRUNC(C122)+((C122-TRUNC(C122))/0.6)</f>
        <v>0</v>
      </c>
      <c r="F121" s="473">
        <f>ROUND(((LOG10(TAN(PI()/4+(D121/2*PI()/180)))*7915.7046)-(3437.7468*((0.0816968^2*SIN(D121*PI()/180))+(0.0816968^4/3*((SIN(D121*PI()/180))^3))+(0.0816968^6/5*((SIN(D121*PI()/180))^5))))),2)</f>
        <v>0</v>
      </c>
      <c r="G121" s="464"/>
      <c r="H121" s="464">
        <f>IF(E121&lt;0,E121+360,E121)</f>
        <v>0</v>
      </c>
      <c r="I121" s="477"/>
      <c r="J121" s="478"/>
      <c r="K121" s="479"/>
      <c r="L121" s="472"/>
      <c r="M121" s="472"/>
      <c r="N121" s="468"/>
      <c r="O121" s="469"/>
      <c r="P121" s="353"/>
      <c r="Q121" s="465" t="str">
        <f>IF(O120="","",Q119+O120)</f>
        <v/>
      </c>
      <c r="R121" s="465" t="str">
        <f>IF(O120="","",R119-O120)</f>
        <v/>
      </c>
      <c r="S121" s="61"/>
      <c r="T121" s="61" t="s">
        <v>30</v>
      </c>
      <c r="U121" s="355"/>
      <c r="V121" s="470"/>
      <c r="W121" s="466" t="str">
        <f>IF(P120="","",W119+V120)</f>
        <v/>
      </c>
      <c r="X121" s="61"/>
      <c r="Y121" s="61"/>
      <c r="Z121" s="61"/>
      <c r="AA121" s="61"/>
      <c r="AB121" s="52"/>
      <c r="AC121" s="68"/>
      <c r="AD121" s="480"/>
    </row>
    <row r="122" spans="1:30" ht="14.1" customHeight="1">
      <c r="A122" s="471"/>
      <c r="B122" s="392"/>
      <c r="C122" s="55"/>
      <c r="D122" s="472"/>
      <c r="E122" s="472"/>
      <c r="F122" s="473"/>
      <c r="G122" s="464">
        <f>ABS(D121-D123)*60</f>
        <v>0</v>
      </c>
      <c r="H122" s="464"/>
      <c r="I122" s="477">
        <f>ABS(H121-H123)*60</f>
        <v>0</v>
      </c>
      <c r="J122" s="478">
        <f>ABS(F121-F123)</f>
        <v>0</v>
      </c>
      <c r="K122" s="479" t="e">
        <f>IF(AND(D121&lt;D123,H121=H123),0,IF(AND(D121&gt;D123,H121=H123),180,IF(AND(D121=D123,H121&lt;H123),90,IF(AND(D121=D123,H121&gt;H123),270,(ATAN(I122/J122)*180/PI())))))</f>
        <v>#DIV/0!</v>
      </c>
      <c r="L122" s="472" t="e">
        <f>IF(OR(K122=0,K122=90,K122=180,K122=270),K122,IF(AND(D121&lt;D123,H121&lt;H123),K122,IF(AND(D121&lt;D123,H121&gt;H123),360-K122,IF(AND(D121&gt;D123,H121&lt;H123),180-K122,IF(AND(D121&gt;D123,H121&gt;H123),180+K122)))))</f>
        <v>#DIV/0!</v>
      </c>
      <c r="M122" s="472">
        <f>(IF(I122=0,G122,IF(G122=0,COS(D123*PI()/180)*I122,G122/COS(K122*PI()/180))))</f>
        <v>0</v>
      </c>
      <c r="N122" s="468" t="str">
        <f>IF(C124="","",ROUND(L122,1))</f>
        <v/>
      </c>
      <c r="O122" s="469" t="str">
        <f>IF(C124="","",ROUND(M122,1))</f>
        <v/>
      </c>
      <c r="P122" s="353"/>
      <c r="Q122" s="465"/>
      <c r="R122" s="465"/>
      <c r="S122" s="64"/>
      <c r="T122" s="64" t="s">
        <v>24</v>
      </c>
      <c r="U122" s="358"/>
      <c r="V122" s="470" t="e">
        <f>(O122/P122+U122/60)/24</f>
        <v>#VALUE!</v>
      </c>
      <c r="W122" s="466"/>
      <c r="X122" s="64"/>
      <c r="Y122" s="65"/>
      <c r="Z122" s="64"/>
      <c r="AA122" s="64"/>
      <c r="AB122" s="53"/>
      <c r="AC122" s="69"/>
      <c r="AD122" s="480"/>
    </row>
    <row r="123" spans="1:30" ht="14.1" customHeight="1">
      <c r="A123" s="471" t="str">
        <f>IF(B123="","",A121+1)</f>
        <v/>
      </c>
      <c r="B123" s="392"/>
      <c r="C123" s="54"/>
      <c r="D123" s="472">
        <f>TRUNC(C123)+((C123-TRUNC(C123))/0.6)</f>
        <v>0</v>
      </c>
      <c r="E123" s="472">
        <f>TRUNC(C124)+((C124-TRUNC(C124))/0.6)</f>
        <v>0</v>
      </c>
      <c r="F123" s="473">
        <f>ROUND(((LOG10(TAN(PI()/4+(D123/2*PI()/180)))*7915.7046)-(3437.7468*((0.0816968^2*SIN(D123*PI()/180))+(0.0816968^4/3*((SIN(D123*PI()/180))^3))+(0.0816968^6/5*((SIN(D123*PI()/180))^5))))),2)</f>
        <v>0</v>
      </c>
      <c r="G123" s="464"/>
      <c r="H123" s="464">
        <f>IF(E123&lt;0,E123+360,E123)</f>
        <v>0</v>
      </c>
      <c r="I123" s="477"/>
      <c r="J123" s="478"/>
      <c r="K123" s="479"/>
      <c r="L123" s="472"/>
      <c r="M123" s="472"/>
      <c r="N123" s="468"/>
      <c r="O123" s="469"/>
      <c r="P123" s="353"/>
      <c r="Q123" s="465" t="str">
        <f>IF(O122="","",Q121+O122)</f>
        <v/>
      </c>
      <c r="R123" s="465" t="str">
        <f>IF(O122="","",R121-O122)</f>
        <v/>
      </c>
      <c r="S123" s="61"/>
      <c r="T123" s="61" t="s">
        <v>25</v>
      </c>
      <c r="U123" s="355"/>
      <c r="V123" s="470"/>
      <c r="W123" s="466" t="str">
        <f>IF(P122="","",W121+V122)</f>
        <v/>
      </c>
      <c r="X123" s="61"/>
      <c r="Y123" s="61"/>
      <c r="Z123" s="61"/>
      <c r="AA123" s="61"/>
      <c r="AB123" s="52"/>
      <c r="AC123" s="68"/>
      <c r="AD123" s="480"/>
    </row>
    <row r="124" spans="1:30" ht="14.1" customHeight="1">
      <c r="A124" s="471"/>
      <c r="B124" s="392"/>
      <c r="C124" s="55"/>
      <c r="D124" s="472"/>
      <c r="E124" s="472"/>
      <c r="F124" s="473"/>
      <c r="G124" s="464">
        <f>ABS(D123-D125)*60</f>
        <v>0</v>
      </c>
      <c r="H124" s="464"/>
      <c r="I124" s="477">
        <f>ABS(H123-H125)*60</f>
        <v>0</v>
      </c>
      <c r="J124" s="478">
        <f>ABS(F123-F125)</f>
        <v>0</v>
      </c>
      <c r="K124" s="479" t="e">
        <f>IF(AND(D123&lt;D125,H123=H125),0,IF(AND(D123&gt;D125,H123=H125),180,IF(AND(D123=D125,H123&lt;H125),90,IF(AND(D123=D125,H123&gt;H125),270,(ATAN(I124/J124)*180/PI())))))</f>
        <v>#DIV/0!</v>
      </c>
      <c r="L124" s="472" t="e">
        <f>IF(OR(K124=0,K124=90,K124=180,K124=270),K124,IF(AND(D123&lt;D125,H123&lt;H125),K124,IF(AND(D123&lt;D125,H123&gt;H125),360-K124,IF(AND(D123&gt;D125,H123&lt;H125),180-K124,IF(AND(D123&gt;D125,H123&gt;H125),180+K124)))))</f>
        <v>#DIV/0!</v>
      </c>
      <c r="M124" s="472">
        <f>(IF(I124=0,G124,IF(G124=0,COS(D125*PI()/180)*I124,G124/COS(K124*PI()/180))))</f>
        <v>0</v>
      </c>
      <c r="N124" s="468" t="str">
        <f>IF(C126="","",ROUND(L124,1))</f>
        <v/>
      </c>
      <c r="O124" s="469" t="str">
        <f>IF(C126="","",ROUND(M124,1))</f>
        <v/>
      </c>
      <c r="P124" s="353"/>
      <c r="Q124" s="465"/>
      <c r="R124" s="465"/>
      <c r="S124" s="64"/>
      <c r="T124" s="64" t="s">
        <v>23</v>
      </c>
      <c r="U124" s="358"/>
      <c r="V124" s="470" t="e">
        <f>(O124/P124+U124/60)/24</f>
        <v>#VALUE!</v>
      </c>
      <c r="W124" s="466"/>
      <c r="X124" s="64"/>
      <c r="Y124" s="65"/>
      <c r="Z124" s="64"/>
      <c r="AA124" s="64"/>
      <c r="AB124" s="53"/>
      <c r="AC124" s="69"/>
      <c r="AD124" s="480"/>
    </row>
    <row r="125" spans="1:30" ht="14.1" customHeight="1">
      <c r="A125" s="471" t="str">
        <f>IF(B125="","",A123+1)</f>
        <v/>
      </c>
      <c r="B125" s="392"/>
      <c r="C125" s="54"/>
      <c r="D125" s="472">
        <f>TRUNC(C125)+((C125-TRUNC(C125))/0.6)</f>
        <v>0</v>
      </c>
      <c r="E125" s="472">
        <f>TRUNC(C126)+((C126-TRUNC(C126))/0.6)</f>
        <v>0</v>
      </c>
      <c r="F125" s="473">
        <f>ROUND(((LOG10(TAN(PI()/4+(D125/2*PI()/180)))*7915.7046)-(3437.7468*((0.0816968^2*SIN(D125*PI()/180))+(0.0816968^4/3*((SIN(D125*PI()/180))^3))+(0.0816968^6/5*((SIN(D125*PI()/180))^5))))),2)</f>
        <v>0</v>
      </c>
      <c r="G125" s="464"/>
      <c r="H125" s="464">
        <f>IF(E125&lt;0,E125+360,E125)</f>
        <v>0</v>
      </c>
      <c r="I125" s="477"/>
      <c r="J125" s="478"/>
      <c r="K125" s="479"/>
      <c r="L125" s="472"/>
      <c r="M125" s="472"/>
      <c r="N125" s="468"/>
      <c r="O125" s="469"/>
      <c r="P125" s="353"/>
      <c r="Q125" s="465" t="str">
        <f>IF(O124="","",Q123+O124)</f>
        <v/>
      </c>
      <c r="R125" s="465" t="str">
        <f>IF(O124="","",R123-O124)</f>
        <v/>
      </c>
      <c r="S125" s="61"/>
      <c r="T125" s="61" t="s">
        <v>25</v>
      </c>
      <c r="U125" s="355"/>
      <c r="V125" s="470"/>
      <c r="W125" s="466" t="str">
        <f>IF(P124="","",W123+V124)</f>
        <v/>
      </c>
      <c r="X125" s="61"/>
      <c r="Y125" s="61"/>
      <c r="Z125" s="61"/>
      <c r="AA125" s="61"/>
      <c r="AB125" s="52"/>
      <c r="AC125" s="68"/>
      <c r="AD125" s="480"/>
    </row>
    <row r="126" spans="1:30" ht="14.1" customHeight="1">
      <c r="A126" s="471"/>
      <c r="B126" s="392"/>
      <c r="C126" s="55"/>
      <c r="D126" s="472"/>
      <c r="E126" s="472"/>
      <c r="F126" s="473"/>
      <c r="G126" s="464">
        <f>ABS(D125-D127)*60</f>
        <v>0</v>
      </c>
      <c r="H126" s="464"/>
      <c r="I126" s="477">
        <f>ABS(H125-H127)*60</f>
        <v>0</v>
      </c>
      <c r="J126" s="478">
        <f>ABS(F125-F127)</f>
        <v>0</v>
      </c>
      <c r="K126" s="479" t="e">
        <f>IF(AND(D125&lt;D127,H125=H127),0,IF(AND(D125&gt;D127,H125=H127),180,IF(AND(D125=D127,H125&lt;H127),90,IF(AND(D125=D127,H125&gt;H127),270,(ATAN(I126/J126)*180/PI())))))</f>
        <v>#DIV/0!</v>
      </c>
      <c r="L126" s="472" t="e">
        <f>IF(OR(K126=0,K126=90,K126=180,K126=270),K126,IF(AND(D125&lt;D127,H125&lt;H127),K126,IF(AND(D125&lt;D127,H125&gt;H127),360-K126,IF(AND(D125&gt;D127,H125&lt;H127),180-K126,IF(AND(D125&gt;D127,H125&gt;H127),180+K126)))))</f>
        <v>#DIV/0!</v>
      </c>
      <c r="M126" s="472">
        <f>(IF(I126=0,G126,IF(G126=0,COS(D127*PI()/180)*I126,G126/COS(K126*PI()/180))))</f>
        <v>0</v>
      </c>
      <c r="N126" s="468" t="str">
        <f>IF(C128="","",ROUND(L126,1))</f>
        <v/>
      </c>
      <c r="O126" s="469" t="str">
        <f>IF(C128="","",ROUND(M126,1))</f>
        <v/>
      </c>
      <c r="P126" s="353"/>
      <c r="Q126" s="465"/>
      <c r="R126" s="465"/>
      <c r="S126" s="64"/>
      <c r="T126" s="64" t="s">
        <v>22</v>
      </c>
      <c r="U126" s="358"/>
      <c r="V126" s="470" t="e">
        <f>(O126/P126+U126/60)/24</f>
        <v>#VALUE!</v>
      </c>
      <c r="W126" s="466"/>
      <c r="X126" s="64"/>
      <c r="Y126" s="65"/>
      <c r="Z126" s="64"/>
      <c r="AA126" s="64"/>
      <c r="AB126" s="53"/>
      <c r="AC126" s="69"/>
      <c r="AD126" s="480"/>
    </row>
    <row r="127" spans="1:30" ht="14.1" customHeight="1">
      <c r="A127" s="471" t="str">
        <f>IF(B127="","",A125+1)</f>
        <v/>
      </c>
      <c r="B127" s="392"/>
      <c r="C127" s="54"/>
      <c r="D127" s="472">
        <f>TRUNC(C127)+((C127-TRUNC(C127))/0.6)</f>
        <v>0</v>
      </c>
      <c r="E127" s="472">
        <f>TRUNC(C128)+((C128-TRUNC(C128))/0.6)</f>
        <v>0</v>
      </c>
      <c r="F127" s="473">
        <f>ROUND(((LOG10(TAN(PI()/4+(D127/2*PI()/180)))*7915.7046)-(3437.7468*((0.0816968^2*SIN(D127*PI()/180))+(0.0816968^4/3*((SIN(D127*PI()/180))^3))+(0.0816968^6/5*((SIN(D127*PI()/180))^5))))),2)</f>
        <v>0</v>
      </c>
      <c r="G127" s="464"/>
      <c r="H127" s="464">
        <f>IF(E127&lt;0,E127+360,E127)</f>
        <v>0</v>
      </c>
      <c r="I127" s="477"/>
      <c r="J127" s="478"/>
      <c r="K127" s="479"/>
      <c r="L127" s="472"/>
      <c r="M127" s="472"/>
      <c r="N127" s="468"/>
      <c r="O127" s="469"/>
      <c r="P127" s="353"/>
      <c r="Q127" s="465" t="str">
        <f>IF(O126="","",Q125+O126)</f>
        <v/>
      </c>
      <c r="R127" s="465" t="str">
        <f>IF(O126="","",R125-O126)</f>
        <v/>
      </c>
      <c r="S127" s="61"/>
      <c r="T127" s="61" t="s">
        <v>25</v>
      </c>
      <c r="U127" s="355"/>
      <c r="V127" s="470"/>
      <c r="W127" s="466" t="str">
        <f>IF(P126="","",W125+V126)</f>
        <v/>
      </c>
      <c r="X127" s="61"/>
      <c r="Y127" s="61"/>
      <c r="Z127" s="61"/>
      <c r="AA127" s="61"/>
      <c r="AB127" s="52"/>
      <c r="AC127" s="68"/>
      <c r="AD127" s="480"/>
    </row>
    <row r="128" spans="1:30" ht="14.1" customHeight="1">
      <c r="A128" s="471"/>
      <c r="B128" s="392"/>
      <c r="C128" s="55"/>
      <c r="D128" s="472"/>
      <c r="E128" s="472"/>
      <c r="F128" s="473"/>
      <c r="G128" s="464">
        <f>ABS(D127-D129)*60</f>
        <v>0</v>
      </c>
      <c r="H128" s="464"/>
      <c r="I128" s="477">
        <f>ABS(H127-H129)*60</f>
        <v>0</v>
      </c>
      <c r="J128" s="478">
        <f>ABS(F127-F129)</f>
        <v>0</v>
      </c>
      <c r="K128" s="479" t="e">
        <f>IF(AND(D127&lt;D129,H127=H129),0,IF(AND(D127&gt;D129,H127=H129),180,IF(AND(D127=D129,H127&lt;H129),90,IF(AND(D127=D129,H127&gt;H129),270,(ATAN(I128/J128)*180/PI())))))</f>
        <v>#DIV/0!</v>
      </c>
      <c r="L128" s="472" t="e">
        <f>IF(OR(K128=0,K128=90,K128=180,K128=270),K128,IF(AND(D127&lt;D129,H127&lt;H129),K128,IF(AND(D127&lt;D129,H127&gt;H129),360-K128,IF(AND(D127&gt;D129,H127&lt;H129),180-K128,IF(AND(D127&gt;D129,H127&gt;H129),180+K128)))))</f>
        <v>#DIV/0!</v>
      </c>
      <c r="M128" s="472">
        <f>(IF(I128=0,G128,IF(G128=0,COS(D129*PI()/180)*I128,G128/COS(K128*PI()/180))))</f>
        <v>0</v>
      </c>
      <c r="N128" s="468" t="str">
        <f>IF(C130="","",ROUND(L128,1))</f>
        <v/>
      </c>
      <c r="O128" s="469" t="str">
        <f>IF(C130="","",ROUND(M128,1))</f>
        <v/>
      </c>
      <c r="P128" s="353"/>
      <c r="Q128" s="465"/>
      <c r="R128" s="465"/>
      <c r="S128" s="64"/>
      <c r="T128" s="64" t="s">
        <v>22</v>
      </c>
      <c r="U128" s="358"/>
      <c r="V128" s="470" t="e">
        <f>(O128/P128+U128/60)/24</f>
        <v>#VALUE!</v>
      </c>
      <c r="W128" s="466"/>
      <c r="X128" s="64"/>
      <c r="Y128" s="65"/>
      <c r="Z128" s="64"/>
      <c r="AA128" s="64"/>
      <c r="AB128" s="53"/>
      <c r="AC128" s="69"/>
      <c r="AD128" s="480"/>
    </row>
    <row r="129" spans="1:30" ht="14.1" customHeight="1">
      <c r="A129" s="471" t="str">
        <f>IF(B129="","",A127+1)</f>
        <v/>
      </c>
      <c r="B129" s="392"/>
      <c r="C129" s="54"/>
      <c r="D129" s="472">
        <f>TRUNC(C129)+((C129-TRUNC(C129))/0.6)</f>
        <v>0</v>
      </c>
      <c r="E129" s="472">
        <f>TRUNC(C130)+((C130-TRUNC(C130))/0.6)</f>
        <v>0</v>
      </c>
      <c r="F129" s="473">
        <f>ROUND(((LOG10(TAN(PI()/4+(D129/2*PI()/180)))*7915.7046)-(3437.7468*((0.0816968^2*SIN(D129*PI()/180))+(0.0816968^4/3*((SIN(D129*PI()/180))^3))+(0.0816968^6/5*((SIN(D129*PI()/180))^5))))),2)</f>
        <v>0</v>
      </c>
      <c r="G129" s="464"/>
      <c r="H129" s="464">
        <f>IF(E129&lt;0,E129+360,E129)</f>
        <v>0</v>
      </c>
      <c r="I129" s="477"/>
      <c r="J129" s="478"/>
      <c r="K129" s="479"/>
      <c r="L129" s="472"/>
      <c r="M129" s="472"/>
      <c r="N129" s="468"/>
      <c r="O129" s="469"/>
      <c r="P129" s="353"/>
      <c r="Q129" s="465" t="str">
        <f>IF(O128="","",Q127+O128)</f>
        <v/>
      </c>
      <c r="R129" s="465" t="str">
        <f>IF(O128="","",R127-O128)</f>
        <v/>
      </c>
      <c r="S129" s="61"/>
      <c r="T129" s="61" t="s">
        <v>25</v>
      </c>
      <c r="U129" s="355"/>
      <c r="V129" s="470"/>
      <c r="W129" s="466" t="str">
        <f>IF(P128="","",W127+V128)</f>
        <v/>
      </c>
      <c r="X129" s="61"/>
      <c r="Y129" s="61"/>
      <c r="Z129" s="61"/>
      <c r="AA129" s="61"/>
      <c r="AB129" s="52"/>
      <c r="AC129" s="68"/>
      <c r="AD129" s="480"/>
    </row>
    <row r="130" spans="1:30" ht="14.1" customHeight="1">
      <c r="A130" s="471"/>
      <c r="B130" s="392"/>
      <c r="C130" s="55"/>
      <c r="D130" s="472"/>
      <c r="E130" s="472"/>
      <c r="F130" s="473"/>
      <c r="G130" s="464">
        <f>ABS(D129-D131)*60</f>
        <v>0</v>
      </c>
      <c r="H130" s="464"/>
      <c r="I130" s="477">
        <f>ABS(H129-H131)*60</f>
        <v>0</v>
      </c>
      <c r="J130" s="478">
        <f>ABS(F129-F131)</f>
        <v>0</v>
      </c>
      <c r="K130" s="479" t="e">
        <f>IF(AND(D129&lt;D131,H129=H131),0,IF(AND(D129&gt;D131,H129=H131),180,IF(AND(D129=D131,H129&lt;H131),90,IF(AND(D129=D131,H129&gt;H131),270,(ATAN(I130/J130)*180/PI())))))</f>
        <v>#DIV/0!</v>
      </c>
      <c r="L130" s="472" t="e">
        <f>IF(OR(K130=0,K130=90,K130=180,K130=270),K130,IF(AND(D129&lt;D131,H129&lt;H131),K130,IF(AND(D129&lt;D131,H129&gt;H131),360-K130,IF(AND(D129&gt;D131,H129&lt;H131),180-K130,IF(AND(D129&gt;D131,H129&gt;H131),180+K130)))))</f>
        <v>#DIV/0!</v>
      </c>
      <c r="M130" s="472">
        <f>(IF(I130=0,G130,IF(G130=0,COS(D131*PI()/180)*I130,G130/COS(K130*PI()/180))))</f>
        <v>0</v>
      </c>
      <c r="N130" s="468" t="str">
        <f>IF(C132="","",ROUND(L130,1))</f>
        <v/>
      </c>
      <c r="O130" s="469" t="str">
        <f>IF(C132="","",ROUND(M130,1))</f>
        <v/>
      </c>
      <c r="P130" s="353"/>
      <c r="Q130" s="465"/>
      <c r="R130" s="465"/>
      <c r="S130" s="64"/>
      <c r="T130" s="64" t="s">
        <v>27</v>
      </c>
      <c r="U130" s="358"/>
      <c r="V130" s="470" t="e">
        <f>(O130/P130+U130/60)/24</f>
        <v>#VALUE!</v>
      </c>
      <c r="W130" s="466"/>
      <c r="X130" s="64"/>
      <c r="Y130" s="65"/>
      <c r="Z130" s="64"/>
      <c r="AA130" s="64"/>
      <c r="AB130" s="53"/>
      <c r="AC130" s="69"/>
      <c r="AD130" s="480"/>
    </row>
    <row r="131" spans="1:30" ht="14.1" customHeight="1">
      <c r="A131" s="471" t="str">
        <f>IF(B131="","",A129+1)</f>
        <v/>
      </c>
      <c r="B131" s="392"/>
      <c r="C131" s="54"/>
      <c r="D131" s="472">
        <f>TRUNC(C131)+((C131-TRUNC(C131))/0.6)</f>
        <v>0</v>
      </c>
      <c r="E131" s="472">
        <f>TRUNC(C132)+((C132-TRUNC(C132))/0.6)</f>
        <v>0</v>
      </c>
      <c r="F131" s="473">
        <f>ROUND(((LOG10(TAN(PI()/4+(D131/2*PI()/180)))*7915.7046)-(3437.7468*((0.0816968^2*SIN(D131*PI()/180))+(0.0816968^4/3*((SIN(D131*PI()/180))^3))+(0.0816968^6/5*((SIN(D131*PI()/180))^5))))),2)</f>
        <v>0</v>
      </c>
      <c r="G131" s="464"/>
      <c r="H131" s="464">
        <f>IF(E131&lt;0,E131+360,E131)</f>
        <v>0</v>
      </c>
      <c r="I131" s="477"/>
      <c r="J131" s="478"/>
      <c r="K131" s="479"/>
      <c r="L131" s="472"/>
      <c r="M131" s="472"/>
      <c r="N131" s="468"/>
      <c r="O131" s="469"/>
      <c r="P131" s="353"/>
      <c r="Q131" s="465" t="str">
        <f>IF(O130="","",Q129+O130)</f>
        <v/>
      </c>
      <c r="R131" s="465" t="str">
        <f>IF(O130="","",R129-O130)</f>
        <v/>
      </c>
      <c r="S131" s="61"/>
      <c r="T131" s="61" t="s">
        <v>25</v>
      </c>
      <c r="U131" s="355"/>
      <c r="V131" s="470"/>
      <c r="W131" s="466" t="str">
        <f>IF(P130="","",W129+V130)</f>
        <v/>
      </c>
      <c r="X131" s="61"/>
      <c r="Y131" s="61"/>
      <c r="Z131" s="61"/>
      <c r="AA131" s="61"/>
      <c r="AB131" s="52"/>
      <c r="AC131" s="68"/>
      <c r="AD131" s="481"/>
    </row>
    <row r="132" spans="1:30" ht="14.1" customHeight="1">
      <c r="A132" s="471"/>
      <c r="B132" s="392"/>
      <c r="C132" s="55"/>
      <c r="D132" s="472"/>
      <c r="E132" s="472"/>
      <c r="F132" s="473"/>
      <c r="G132" s="464">
        <f>ABS(D131-D133)*60</f>
        <v>0</v>
      </c>
      <c r="H132" s="464"/>
      <c r="I132" s="477">
        <f>ABS(H131-H133)*60</f>
        <v>0</v>
      </c>
      <c r="J132" s="478">
        <f>ABS(F131-F133)</f>
        <v>0</v>
      </c>
      <c r="K132" s="479" t="e">
        <f>IF(AND(D131&lt;D133,H131=H133),0,IF(AND(D131&gt;D133,H131=H133),180,IF(AND(D131=D133,H131&lt;H133),90,IF(AND(D131=D133,H131&gt;H133),270,(ATAN(I132/J132)*180/PI())))))</f>
        <v>#DIV/0!</v>
      </c>
      <c r="L132" s="472" t="e">
        <f>IF(OR(K132=0,K132=90,K132=180,K132=270),K132,IF(AND(D131&lt;D133,H131&lt;H133),K132,IF(AND(D131&lt;D133,H131&gt;H133),360-K132,IF(AND(D131&gt;D133,H131&lt;H133),180-K132,IF(AND(D131&gt;D133,H131&gt;H133),180+K132)))))</f>
        <v>#DIV/0!</v>
      </c>
      <c r="M132" s="472">
        <f>(IF(I132=0,G132,IF(G132=0,COS(D133*PI()/180)*I132,G132/COS(K132*PI()/180))))</f>
        <v>0</v>
      </c>
      <c r="N132" s="468" t="str">
        <f>IF(C134="","",ROUND(L132,1))</f>
        <v/>
      </c>
      <c r="O132" s="469" t="str">
        <f>IF(C134="","",ROUND(M132,1))</f>
        <v/>
      </c>
      <c r="P132" s="353"/>
      <c r="Q132" s="465"/>
      <c r="R132" s="465"/>
      <c r="S132" s="64"/>
      <c r="T132" s="64" t="s">
        <v>27</v>
      </c>
      <c r="U132" s="358"/>
      <c r="V132" s="470" t="e">
        <f>(O132/P132+U132/60)/24</f>
        <v>#VALUE!</v>
      </c>
      <c r="W132" s="466"/>
      <c r="X132" s="64"/>
      <c r="Y132" s="65"/>
      <c r="Z132" s="64"/>
      <c r="AA132" s="64"/>
      <c r="AB132" s="53"/>
      <c r="AC132" s="69"/>
      <c r="AD132" s="481"/>
    </row>
    <row r="133" spans="1:30" ht="14.1" customHeight="1">
      <c r="A133" s="471" t="str">
        <f>IF(B133="","",A131+1)</f>
        <v/>
      </c>
      <c r="B133" s="392"/>
      <c r="C133" s="54"/>
      <c r="D133" s="472">
        <f>TRUNC(C133)+((C133-TRUNC(C133))/0.6)</f>
        <v>0</v>
      </c>
      <c r="E133" s="472">
        <f>TRUNC(C134)+((C134-TRUNC(C134))/0.6)</f>
        <v>0</v>
      </c>
      <c r="F133" s="473">
        <f>ROUND(((LOG10(TAN(PI()/4+(D133/2*PI()/180)))*7915.7046)-(3437.7468*((0.0816968^2*SIN(D133*PI()/180))+(0.0816968^4/3*((SIN(D133*PI()/180))^3))+(0.0816968^6/5*((SIN(D133*PI()/180))^5))))),2)</f>
        <v>0</v>
      </c>
      <c r="G133" s="464"/>
      <c r="H133" s="464">
        <f>IF(E133&lt;0,E133+360,E133)</f>
        <v>0</v>
      </c>
      <c r="I133" s="477"/>
      <c r="J133" s="478"/>
      <c r="K133" s="479"/>
      <c r="L133" s="472"/>
      <c r="M133" s="472"/>
      <c r="N133" s="468"/>
      <c r="O133" s="469"/>
      <c r="P133" s="353"/>
      <c r="Q133" s="465" t="str">
        <f>IF(O132="","",Q131+O132)</f>
        <v/>
      </c>
      <c r="R133" s="465" t="str">
        <f>IF(O132="","",R131-O132)</f>
        <v/>
      </c>
      <c r="S133" s="61"/>
      <c r="T133" s="61" t="s">
        <v>26</v>
      </c>
      <c r="U133" s="355"/>
      <c r="V133" s="470"/>
      <c r="W133" s="466" t="str">
        <f>IF(P132="","",W131+V132)</f>
        <v/>
      </c>
      <c r="X133" s="61"/>
      <c r="Y133" s="61"/>
      <c r="Z133" s="61"/>
      <c r="AA133" s="61"/>
      <c r="AB133" s="52"/>
      <c r="AC133" s="68"/>
      <c r="AD133" s="480"/>
    </row>
    <row r="134" spans="1:30" ht="14.1" customHeight="1">
      <c r="A134" s="471"/>
      <c r="B134" s="392"/>
      <c r="C134" s="55"/>
      <c r="D134" s="472"/>
      <c r="E134" s="472"/>
      <c r="F134" s="473"/>
      <c r="G134" s="464">
        <f>ABS(D133-D135)*60</f>
        <v>0</v>
      </c>
      <c r="H134" s="464"/>
      <c r="I134" s="477">
        <f>ABS(H133-H135)*60</f>
        <v>0</v>
      </c>
      <c r="J134" s="478">
        <f>ABS(F133-F135)</f>
        <v>0</v>
      </c>
      <c r="K134" s="479" t="e">
        <f>IF(AND(D133&lt;D135,H133=H135),0,IF(AND(D133&gt;D135,H133=H135),180,IF(AND(D133=D135,H133&lt;H135),90,IF(AND(D133=D135,H133&gt;H135),270,(ATAN(I134/J134)*180/PI())))))</f>
        <v>#DIV/0!</v>
      </c>
      <c r="L134" s="472" t="e">
        <f>IF(OR(K134=0,K134=90,K134=180,K134=270),K134,IF(AND(D133&lt;D135,H133&lt;H135),K134,IF(AND(D133&lt;D135,H133&gt;H135),360-K134,IF(AND(D133&gt;D135,H133&lt;H135),180-K134,IF(AND(D133&gt;D135,H133&gt;H135),180+K134)))))</f>
        <v>#DIV/0!</v>
      </c>
      <c r="M134" s="472">
        <f>(IF(I134=0,G134,IF(G134=0,COS(D135*PI()/180)*I134,G134/COS(K134*PI()/180))))</f>
        <v>0</v>
      </c>
      <c r="N134" s="468" t="str">
        <f>IF(C136="","",ROUND(L134,1))</f>
        <v/>
      </c>
      <c r="O134" s="469" t="str">
        <f>IF(C136="","",ROUND(M134,1))</f>
        <v/>
      </c>
      <c r="P134" s="353"/>
      <c r="Q134" s="465"/>
      <c r="R134" s="465"/>
      <c r="S134" s="64"/>
      <c r="T134" s="64" t="s">
        <v>29</v>
      </c>
      <c r="U134" s="358"/>
      <c r="V134" s="470" t="e">
        <f>(O134/P134+U134/60)/24</f>
        <v>#VALUE!</v>
      </c>
      <c r="W134" s="466"/>
      <c r="X134" s="64"/>
      <c r="Y134" s="65"/>
      <c r="Z134" s="64"/>
      <c r="AA134" s="64"/>
      <c r="AB134" s="53"/>
      <c r="AC134" s="69"/>
      <c r="AD134" s="480"/>
    </row>
    <row r="135" spans="1:30" ht="14.1" customHeight="1">
      <c r="A135" s="471" t="str">
        <f>IF(B135="","",A133+1)</f>
        <v/>
      </c>
      <c r="B135" s="394"/>
      <c r="C135" s="54"/>
      <c r="D135" s="472">
        <f>TRUNC(C135)+((C135-TRUNC(C135))/0.6)</f>
        <v>0</v>
      </c>
      <c r="E135" s="472">
        <f>TRUNC(C136)+((C136-TRUNC(C136))/0.6)</f>
        <v>0</v>
      </c>
      <c r="F135" s="473">
        <f>ROUND(((LOG10(TAN(PI()/4+(D135/2*PI()/180)))*7915.7046)-(3437.7468*((0.0816968^2*SIN(D135*PI()/180))+(0.0816968^4/3*((SIN(D135*PI()/180))^3))+(0.0816968^6/5*((SIN(D135*PI()/180))^5))))),2)</f>
        <v>0</v>
      </c>
      <c r="G135" s="464"/>
      <c r="H135" s="464">
        <f>IF(E135&lt;0,E135+360,E135)</f>
        <v>0</v>
      </c>
      <c r="I135" s="477"/>
      <c r="J135" s="478"/>
      <c r="K135" s="479"/>
      <c r="L135" s="472"/>
      <c r="M135" s="472"/>
      <c r="N135" s="468"/>
      <c r="O135" s="469"/>
      <c r="P135" s="353"/>
      <c r="Q135" s="465" t="str">
        <f>IF(O134="","",Q133+O134)</f>
        <v/>
      </c>
      <c r="R135" s="465" t="str">
        <f>IF(O134="","",R133-O134)</f>
        <v/>
      </c>
      <c r="S135" s="61"/>
      <c r="T135" s="61" t="s">
        <v>26</v>
      </c>
      <c r="U135" s="355"/>
      <c r="V135" s="470"/>
      <c r="W135" s="466" t="str">
        <f>IF(P134="","",W133+V134)</f>
        <v/>
      </c>
      <c r="X135" s="61"/>
      <c r="Y135" s="61"/>
      <c r="Z135" s="61"/>
      <c r="AA135" s="61"/>
      <c r="AB135" s="52"/>
      <c r="AC135" s="68"/>
      <c r="AD135" s="481" t="s">
        <v>28</v>
      </c>
    </row>
    <row r="136" spans="1:30" ht="14.1" customHeight="1">
      <c r="A136" s="471"/>
      <c r="B136" s="395"/>
      <c r="C136" s="55"/>
      <c r="D136" s="472"/>
      <c r="E136" s="472"/>
      <c r="F136" s="473"/>
      <c r="G136" s="464">
        <f>ABS(D135-D137)*60</f>
        <v>0</v>
      </c>
      <c r="H136" s="464"/>
      <c r="I136" s="477">
        <f>ABS(H135-H137)*60</f>
        <v>0</v>
      </c>
      <c r="J136" s="478">
        <f>ABS(F135-F137)</f>
        <v>0</v>
      </c>
      <c r="K136" s="479" t="e">
        <f>IF(AND(D135&lt;D137,H135=H137),0,IF(AND(D135&gt;D137,H135=H137),180,IF(AND(D135=D137,H135&lt;H137),90,IF(AND(D135=D137,H135&gt;H137),270,(ATAN(I136/J136)*180/PI())))))</f>
        <v>#DIV/0!</v>
      </c>
      <c r="L136" s="472" t="e">
        <f>IF(OR(K136=0,K136=90,K136=180,K136=270),K136,IF(AND(D135&lt;D137,H135&lt;H137),K136,IF(AND(D135&lt;D137,H135&gt;H137),360-K136,IF(AND(D135&gt;D137,H135&lt;H137),180-K136,IF(AND(D135&gt;D137,H135&gt;H137),180+K136)))))</f>
        <v>#DIV/0!</v>
      </c>
      <c r="M136" s="472">
        <f>(IF(I136=0,G136,IF(G136=0,COS(D137*PI()/180)*I136,G136/COS(K136*PI()/180))))</f>
        <v>0</v>
      </c>
      <c r="N136" s="468" t="str">
        <f>IF(C138="","",ROUND(L136,1))</f>
        <v/>
      </c>
      <c r="O136" s="469" t="str">
        <f>IF(C138="","",ROUND(M136,1))</f>
        <v/>
      </c>
      <c r="P136" s="353"/>
      <c r="Q136" s="465"/>
      <c r="R136" s="465"/>
      <c r="S136" s="64"/>
      <c r="T136" s="64" t="s">
        <v>29</v>
      </c>
      <c r="U136" s="358"/>
      <c r="V136" s="470" t="e">
        <f>(O136/P136+U136/60)/24</f>
        <v>#VALUE!</v>
      </c>
      <c r="W136" s="466"/>
      <c r="X136" s="64"/>
      <c r="Y136" s="65"/>
      <c r="Z136" s="64"/>
      <c r="AA136" s="64"/>
      <c r="AB136" s="53"/>
      <c r="AC136" s="69"/>
      <c r="AD136" s="481"/>
    </row>
    <row r="137" spans="1:30" ht="14.1" customHeight="1">
      <c r="A137" s="471" t="str">
        <f>IF(B137="","",A135+1)</f>
        <v/>
      </c>
      <c r="B137" s="394"/>
      <c r="C137" s="54"/>
      <c r="D137" s="472">
        <f>TRUNC(C137)+((C137-TRUNC(C137))/0.6)</f>
        <v>0</v>
      </c>
      <c r="E137" s="472">
        <f>TRUNC(C138)+((C138-TRUNC(C138))/0.6)</f>
        <v>0</v>
      </c>
      <c r="F137" s="473">
        <f>ROUND(((LOG10(TAN(PI()/4+(D137/2*PI()/180)))*7915.7046)-(3437.7468*((0.0816968^2*SIN(D137*PI()/180))+(0.0816968^4/3*((SIN(D137*PI()/180))^3))+(0.0816968^6/5*((SIN(D137*PI()/180))^5))))),2)</f>
        <v>0</v>
      </c>
      <c r="G137" s="464"/>
      <c r="H137" s="464">
        <f>IF(E137&lt;0,E137+360,E137)</f>
        <v>0</v>
      </c>
      <c r="I137" s="477"/>
      <c r="J137" s="478"/>
      <c r="K137" s="479"/>
      <c r="L137" s="472"/>
      <c r="M137" s="472"/>
      <c r="N137" s="468"/>
      <c r="O137" s="469"/>
      <c r="P137" s="353"/>
      <c r="Q137" s="465" t="str">
        <f>IF(O136="","",Q135+O136)</f>
        <v/>
      </c>
      <c r="R137" s="465" t="str">
        <f>IF(O136="","",R135-O136)</f>
        <v/>
      </c>
      <c r="S137" s="61"/>
      <c r="T137" s="61" t="s">
        <v>25</v>
      </c>
      <c r="U137" s="355"/>
      <c r="V137" s="470"/>
      <c r="W137" s="466" t="str">
        <f>IF(P136="","",W135+V136)</f>
        <v/>
      </c>
      <c r="X137" s="61"/>
      <c r="Y137" s="61"/>
      <c r="Z137" s="61"/>
      <c r="AA137" s="61"/>
      <c r="AB137" s="52"/>
      <c r="AC137" s="68"/>
      <c r="AD137" s="480" t="s">
        <v>28</v>
      </c>
    </row>
    <row r="138" spans="1:30" ht="14.1" customHeight="1">
      <c r="A138" s="471"/>
      <c r="B138" s="395"/>
      <c r="C138" s="55"/>
      <c r="D138" s="472"/>
      <c r="E138" s="472"/>
      <c r="F138" s="473"/>
      <c r="G138" s="464">
        <f>ABS(D137-D139)*60</f>
        <v>0</v>
      </c>
      <c r="H138" s="464"/>
      <c r="I138" s="477">
        <f>ABS(H137-H139)*60</f>
        <v>0</v>
      </c>
      <c r="J138" s="478">
        <f>ABS(F137-F139)</f>
        <v>0</v>
      </c>
      <c r="K138" s="479" t="e">
        <f>IF(AND(D137&lt;D139,H137=H139),0,IF(AND(D137&gt;D139,H137=H139),180,IF(AND(D137=D139,H137&lt;H139),90,IF(AND(D137=D139,H137&gt;H139),270,(ATAN(I138/J138)*180/PI())))))</f>
        <v>#DIV/0!</v>
      </c>
      <c r="L138" s="472" t="e">
        <f>IF(OR(K138=0,K138=90,K138=180,K138=270),K138,IF(AND(D137&lt;D139,H137&lt;H139),K138,IF(AND(D137&lt;D139,H137&gt;H139),360-K138,IF(AND(D137&gt;D139,H137&lt;H139),180-K138,IF(AND(D137&gt;D139,H137&gt;H139),180+K138)))))</f>
        <v>#DIV/0!</v>
      </c>
      <c r="M138" s="472">
        <f>(IF(I138=0,G138,IF(G138=0,COS(D139*PI()/180)*I138,G138/COS(K138*PI()/180))))</f>
        <v>0</v>
      </c>
      <c r="N138" s="468" t="str">
        <f>IF(C140="","",ROUND(L138,1))</f>
        <v/>
      </c>
      <c r="O138" s="469" t="str">
        <f>IF(C140="","",ROUND(M138,1))</f>
        <v/>
      </c>
      <c r="P138" s="353"/>
      <c r="Q138" s="465"/>
      <c r="R138" s="465"/>
      <c r="S138" s="64"/>
      <c r="T138" s="64" t="s">
        <v>27</v>
      </c>
      <c r="U138" s="358"/>
      <c r="V138" s="470" t="e">
        <f>(O138/P138+U138/60)/24</f>
        <v>#VALUE!</v>
      </c>
      <c r="W138" s="466"/>
      <c r="X138" s="64"/>
      <c r="Y138" s="65"/>
      <c r="Z138" s="64"/>
      <c r="AA138" s="64"/>
      <c r="AB138" s="53"/>
      <c r="AC138" s="69"/>
      <c r="AD138" s="480"/>
    </row>
    <row r="139" spans="1:30" ht="14.1" customHeight="1">
      <c r="A139" s="471" t="str">
        <f t="shared" ref="A139" si="6">IF(B139="","",A137+1)</f>
        <v/>
      </c>
      <c r="B139" s="394"/>
      <c r="C139" s="54"/>
      <c r="D139" s="472">
        <f>TRUNC(C139)+((C139-TRUNC(C139))/0.6)</f>
        <v>0</v>
      </c>
      <c r="E139" s="472">
        <f>TRUNC(C140)+((C140-TRUNC(C140))/0.6)</f>
        <v>0</v>
      </c>
      <c r="F139" s="473">
        <f>ROUND(((LOG10(TAN(PI()/4+(D139/2*PI()/180)))*7915.7046)-(3437.7468*((0.0816968^2*SIN(D139*PI()/180))+(0.0816968^4/3*((SIN(D139*PI()/180))^3))+(0.0816968^6/5*((SIN(D139*PI()/180))^5))))),2)</f>
        <v>0</v>
      </c>
      <c r="G139" s="464"/>
      <c r="H139" s="464">
        <f>IF(E139&lt;0,E139+360,E139)</f>
        <v>0</v>
      </c>
      <c r="I139" s="477"/>
      <c r="J139" s="478"/>
      <c r="K139" s="479"/>
      <c r="L139" s="472"/>
      <c r="M139" s="472"/>
      <c r="N139" s="468"/>
      <c r="O139" s="469"/>
      <c r="P139" s="353"/>
      <c r="Q139" s="465" t="str">
        <f>IF(O138="","",Q137+O138)</f>
        <v/>
      </c>
      <c r="R139" s="465" t="str">
        <f>IF(O138="","",R137-O138)</f>
        <v/>
      </c>
      <c r="S139" s="61"/>
      <c r="T139" s="61" t="s">
        <v>25</v>
      </c>
      <c r="U139" s="355"/>
      <c r="V139" s="470"/>
      <c r="W139" s="466" t="str">
        <f>IF(P138="","",W137+V138)</f>
        <v/>
      </c>
      <c r="X139" s="61"/>
      <c r="Y139" s="61"/>
      <c r="Z139" s="61"/>
      <c r="AA139" s="61"/>
      <c r="AB139" s="52"/>
      <c r="AC139" s="68"/>
      <c r="AD139" s="480"/>
    </row>
    <row r="140" spans="1:30" ht="14.1" customHeight="1">
      <c r="A140" s="471"/>
      <c r="B140" s="395"/>
      <c r="C140" s="55"/>
      <c r="D140" s="472"/>
      <c r="E140" s="472"/>
      <c r="F140" s="473"/>
      <c r="G140" s="464">
        <f>ABS(D139-D141)*60</f>
        <v>0</v>
      </c>
      <c r="H140" s="464"/>
      <c r="I140" s="477">
        <f>ABS(H139-H141)*60</f>
        <v>0</v>
      </c>
      <c r="J140" s="478">
        <f>ABS(F139-F141)</f>
        <v>0</v>
      </c>
      <c r="K140" s="479" t="e">
        <f>IF(AND(D139&lt;D141,H139=H141),0,IF(AND(D139&gt;D141,H139=H141),180,IF(AND(D139=D141,H139&lt;H141),90,IF(AND(D139=D141,H139&gt;H141),270,(ATAN(I140/J140)*180/PI())))))</f>
        <v>#DIV/0!</v>
      </c>
      <c r="L140" s="472" t="e">
        <f>IF(OR(K140=0,K140=90,K140=180,K140=270),K140,IF(AND(D139&lt;D141,H139&lt;H141),K140,IF(AND(D139&lt;D141,H139&gt;H141),360-K140,IF(AND(D139&gt;D141,H139&lt;H141),180-K140,IF(AND(D139&gt;D141,H139&gt;H141),180+K140)))))</f>
        <v>#DIV/0!</v>
      </c>
      <c r="M140" s="472">
        <f>(IF(I140=0,G140,IF(G140=0,COS(D141*PI()/180)*I140,G140/COS(K140*PI()/180))))</f>
        <v>0</v>
      </c>
      <c r="N140" s="468" t="str">
        <f>IF(C142="","",ROUND(L140,1))</f>
        <v/>
      </c>
      <c r="O140" s="469" t="str">
        <f>IF(C142="","",ROUND(M140,1))</f>
        <v/>
      </c>
      <c r="P140" s="353"/>
      <c r="Q140" s="465"/>
      <c r="R140" s="465"/>
      <c r="S140" s="64"/>
      <c r="T140" s="64" t="s">
        <v>22</v>
      </c>
      <c r="U140" s="358"/>
      <c r="V140" s="470" t="e">
        <f>(O140/P140+U140/60)/24</f>
        <v>#VALUE!</v>
      </c>
      <c r="W140" s="466"/>
      <c r="X140" s="64"/>
      <c r="Y140" s="65"/>
      <c r="Z140" s="64"/>
      <c r="AA140" s="64"/>
      <c r="AB140" s="53"/>
      <c r="AC140" s="69"/>
      <c r="AD140" s="480"/>
    </row>
    <row r="141" spans="1:30" ht="15" customHeight="1">
      <c r="A141" s="471" t="str">
        <f t="shared" ref="A141" si="7">IF(B141="","",A139+1)</f>
        <v/>
      </c>
      <c r="B141" s="348"/>
      <c r="C141" s="54"/>
      <c r="D141" s="472">
        <f>TRUNC(C141)+((C141-TRUNC(C141))/0.6)</f>
        <v>0</v>
      </c>
      <c r="E141" s="472">
        <f>TRUNC(C142)+((C142-TRUNC(C142))/0.6)</f>
        <v>0</v>
      </c>
      <c r="F141" s="473">
        <f>ROUND(((LOG10(TAN(PI()/4+(D141/2*PI()/180)))*7915.7046)-(3437.7468*((0.0816968^2*SIN(D141*PI()/180))+(0.0816968^4/3*((SIN(D141*PI()/180))^3))+(0.0816968^6/5*((SIN(D141*PI()/180))^5))))),2)</f>
        <v>0</v>
      </c>
      <c r="G141" s="464"/>
      <c r="H141" s="464">
        <f>IF(E141&lt;0,E141+360,E141)</f>
        <v>0</v>
      </c>
      <c r="I141" s="477"/>
      <c r="J141" s="478"/>
      <c r="K141" s="479"/>
      <c r="L141" s="472"/>
      <c r="M141" s="472"/>
      <c r="N141" s="468"/>
      <c r="O141" s="469"/>
      <c r="P141" s="353"/>
      <c r="Q141" s="465" t="str">
        <f>IF(O140="","",Q139+O140)</f>
        <v/>
      </c>
      <c r="R141" s="465" t="str">
        <f>IF(O140="","",R139-O140)</f>
        <v/>
      </c>
      <c r="S141" s="61"/>
      <c r="T141" s="61" t="s">
        <v>25</v>
      </c>
      <c r="U141" s="355"/>
      <c r="V141" s="470"/>
      <c r="W141" s="466" t="str">
        <f>IF(P140="","",W139+V140)</f>
        <v/>
      </c>
      <c r="X141" s="61"/>
      <c r="Y141" s="61"/>
      <c r="Z141" s="61"/>
      <c r="AA141" s="61"/>
      <c r="AB141" s="52"/>
      <c r="AC141" s="68"/>
      <c r="AD141" s="474" t="s">
        <v>71</v>
      </c>
    </row>
    <row r="142" spans="1:30" ht="13.5" customHeight="1">
      <c r="A142" s="471"/>
      <c r="B142" s="349"/>
      <c r="C142" s="55"/>
      <c r="D142" s="472"/>
      <c r="E142" s="472"/>
      <c r="F142" s="473"/>
      <c r="G142" s="464">
        <f>ABS(D141-D143)*60</f>
        <v>0</v>
      </c>
      <c r="H142" s="464"/>
      <c r="I142" s="477">
        <f>ABS(H141-H143)*60</f>
        <v>0</v>
      </c>
      <c r="J142" s="478">
        <f>ABS(F141-F143)</f>
        <v>0</v>
      </c>
      <c r="K142" s="479" t="e">
        <f>IF(AND(D141&lt;D143,H141=H143),0,IF(AND(D141&gt;D143,H141=H143),180,IF(AND(D141=D143,H141&lt;H143),90,IF(AND(D141=D143,H141&gt;H143),270,(ATAN(I142/J142)*180/PI())))))</f>
        <v>#DIV/0!</v>
      </c>
      <c r="L142" s="472" t="e">
        <f>IF(OR(K142=0,K142=90,K142=180,K142=270),K142,IF(AND(D141&lt;D143,H141&lt;H143),K142,IF(AND(D141&lt;D143,H141&gt;H143),360-K142,IF(AND(D141&gt;D143,H141&lt;H143),180-K142,IF(AND(D141&gt;D143,H141&gt;H143),180+K142)))))</f>
        <v>#DIV/0!</v>
      </c>
      <c r="M142" s="472">
        <f>(IF(I142=0,G142,IF(G142=0,COS(D143*PI()/180)*I142,G142/COS(K142*PI()/180))))</f>
        <v>0</v>
      </c>
      <c r="N142" s="468" t="str">
        <f>IF(C144="","",ROUND(L142,1))</f>
        <v/>
      </c>
      <c r="O142" s="469" t="str">
        <f>IF(C144="","",ROUND(M142,1))</f>
        <v/>
      </c>
      <c r="P142" s="353"/>
      <c r="Q142" s="465"/>
      <c r="R142" s="465"/>
      <c r="S142" s="64"/>
      <c r="T142" s="64" t="s">
        <v>23</v>
      </c>
      <c r="U142" s="358"/>
      <c r="V142" s="470" t="e">
        <f>(O142/P142+U142/60)/24</f>
        <v>#VALUE!</v>
      </c>
      <c r="W142" s="466"/>
      <c r="X142" s="64"/>
      <c r="Y142" s="65"/>
      <c r="Z142" s="64"/>
      <c r="AA142" s="64"/>
      <c r="AB142" s="53"/>
      <c r="AC142" s="69"/>
      <c r="AD142" s="475"/>
    </row>
    <row r="143" spans="1:30" ht="14.1" customHeight="1">
      <c r="A143" s="471" t="str">
        <f t="shared" ref="A143" si="8">IF(B143="","",A141+1)</f>
        <v/>
      </c>
      <c r="B143" s="392"/>
      <c r="C143" s="54"/>
      <c r="D143" s="472">
        <f>TRUNC(C143)+((C143-TRUNC(C143))/0.6)</f>
        <v>0</v>
      </c>
      <c r="E143" s="472">
        <f>TRUNC(C144)+((C144-TRUNC(C144))/0.6)</f>
        <v>0</v>
      </c>
      <c r="F143" s="473">
        <f>ROUND(((LOG10(TAN(PI()/4+(D143/2*PI()/180)))*7915.7046)-(3437.7468*((0.0816968^2*SIN(D143*PI()/180))+(0.0816968^4/3*((SIN(D143*PI()/180))^3))+(0.0816968^6/5*((SIN(D143*PI()/180))^5))))),2)</f>
        <v>0</v>
      </c>
      <c r="G143" s="464"/>
      <c r="H143" s="464">
        <f>IF(E143&lt;0,E143+360,E143)</f>
        <v>0</v>
      </c>
      <c r="I143" s="477"/>
      <c r="J143" s="478"/>
      <c r="K143" s="479"/>
      <c r="L143" s="472"/>
      <c r="M143" s="472"/>
      <c r="N143" s="468"/>
      <c r="O143" s="469"/>
      <c r="P143" s="353"/>
      <c r="Q143" s="465" t="str">
        <f>IF(O142="","",Q141+O142)</f>
        <v/>
      </c>
      <c r="R143" s="465"/>
      <c r="S143" s="61"/>
      <c r="T143" s="61"/>
      <c r="U143" s="355"/>
      <c r="V143" s="470"/>
      <c r="W143" s="466" t="str">
        <f>IF(P142="","",W141+V142)</f>
        <v/>
      </c>
      <c r="X143" s="61"/>
      <c r="Y143" s="61"/>
      <c r="Z143" s="61"/>
      <c r="AA143" s="61"/>
      <c r="AB143" s="52"/>
      <c r="AC143" s="68"/>
      <c r="AD143" s="475"/>
    </row>
    <row r="144" spans="1:30" s="89" customFormat="1" ht="14.1" customHeight="1">
      <c r="A144" s="471"/>
      <c r="B144" s="392"/>
      <c r="C144" s="55"/>
      <c r="D144" s="472"/>
      <c r="E144" s="472"/>
      <c r="F144" s="473"/>
      <c r="G144" s="66"/>
      <c r="H144" s="464"/>
      <c r="I144" s="66"/>
      <c r="J144" s="66"/>
      <c r="K144" s="66"/>
      <c r="L144" s="66"/>
      <c r="M144" s="66"/>
      <c r="N144" s="59"/>
      <c r="O144" s="60"/>
      <c r="P144" s="60"/>
      <c r="Q144" s="465"/>
      <c r="R144" s="465"/>
      <c r="S144" s="64"/>
      <c r="T144" s="64"/>
      <c r="U144" s="62"/>
      <c r="V144" s="63"/>
      <c r="W144" s="466"/>
      <c r="X144" s="64"/>
      <c r="Y144" s="65"/>
      <c r="Z144" s="64"/>
      <c r="AA144" s="64"/>
      <c r="AB144" s="53"/>
      <c r="AC144" s="69"/>
      <c r="AD144" s="476"/>
    </row>
    <row r="145" spans="1:30" s="89" customFormat="1" ht="13.5" customHeight="1">
      <c r="A145" s="467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467"/>
      <c r="Z145" s="467"/>
      <c r="AA145" s="467"/>
      <c r="AB145" s="467"/>
      <c r="AC145" s="467"/>
      <c r="AD145" s="467"/>
    </row>
    <row r="146" spans="1:30" ht="14.1" customHeight="1">
      <c r="A146" s="467"/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467"/>
      <c r="Y146" s="467"/>
      <c r="Z146" s="467"/>
      <c r="AA146" s="467"/>
      <c r="AB146" s="467"/>
      <c r="AC146" s="467"/>
      <c r="AD146" s="467"/>
    </row>
    <row r="147" spans="1:30" ht="14.1" customHeight="1">
      <c r="A147" s="467"/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  <c r="L147" s="467"/>
      <c r="M147" s="467"/>
      <c r="N147" s="467"/>
      <c r="O147" s="467"/>
      <c r="P147" s="467"/>
      <c r="Q147" s="467"/>
      <c r="R147" s="467"/>
      <c r="S147" s="467"/>
      <c r="T147" s="467"/>
      <c r="U147" s="467"/>
      <c r="V147" s="467"/>
      <c r="W147" s="467"/>
      <c r="X147" s="467"/>
      <c r="Y147" s="467"/>
      <c r="Z147" s="467"/>
      <c r="AA147" s="467"/>
      <c r="AB147" s="467"/>
      <c r="AC147" s="467"/>
      <c r="AD147" s="467"/>
    </row>
    <row r="148" spans="1:30" ht="14.1" customHeight="1">
      <c r="A148" s="490" t="s">
        <v>11</v>
      </c>
      <c r="B148" s="493" t="s">
        <v>12</v>
      </c>
      <c r="C148" s="494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499" t="s">
        <v>4</v>
      </c>
      <c r="O148" s="500" t="s">
        <v>5</v>
      </c>
      <c r="P148" s="500" t="s">
        <v>13</v>
      </c>
      <c r="Q148" s="484" t="s">
        <v>14</v>
      </c>
      <c r="R148" s="484" t="s">
        <v>6</v>
      </c>
      <c r="S148" s="76" t="s">
        <v>52</v>
      </c>
      <c r="T148" s="82" t="s">
        <v>33</v>
      </c>
      <c r="U148" s="485" t="s">
        <v>15</v>
      </c>
      <c r="V148" s="12"/>
      <c r="W148" s="486" t="s">
        <v>16</v>
      </c>
      <c r="X148" s="82" t="s">
        <v>34</v>
      </c>
      <c r="Y148" s="82" t="s">
        <v>33</v>
      </c>
      <c r="Z148" s="82" t="s">
        <v>35</v>
      </c>
      <c r="AA148" s="82" t="s">
        <v>36</v>
      </c>
      <c r="AB148" s="487" t="s">
        <v>37</v>
      </c>
      <c r="AC148" s="82" t="s">
        <v>58</v>
      </c>
      <c r="AD148" s="487" t="s">
        <v>38</v>
      </c>
    </row>
    <row r="149" spans="1:30" ht="14.1" customHeight="1">
      <c r="A149" s="491"/>
      <c r="B149" s="495"/>
      <c r="C149" s="496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499"/>
      <c r="O149" s="500"/>
      <c r="P149" s="500"/>
      <c r="Q149" s="484"/>
      <c r="R149" s="484"/>
      <c r="S149" s="77" t="s">
        <v>53</v>
      </c>
      <c r="T149" s="83" t="s">
        <v>39</v>
      </c>
      <c r="U149" s="485"/>
      <c r="V149" s="12"/>
      <c r="W149" s="486"/>
      <c r="X149" s="83" t="s">
        <v>40</v>
      </c>
      <c r="Y149" s="83" t="s">
        <v>41</v>
      </c>
      <c r="Z149" s="83" t="s">
        <v>42</v>
      </c>
      <c r="AA149" s="83" t="s">
        <v>43</v>
      </c>
      <c r="AB149" s="488"/>
      <c r="AC149" s="83" t="s">
        <v>59</v>
      </c>
      <c r="AD149" s="488"/>
    </row>
    <row r="150" spans="1:30" ht="14.1" customHeight="1">
      <c r="A150" s="491"/>
      <c r="B150" s="495"/>
      <c r="C150" s="496"/>
      <c r="D150" s="14" t="s">
        <v>17</v>
      </c>
      <c r="E150" s="14" t="s">
        <v>18</v>
      </c>
      <c r="F150" s="15" t="s">
        <v>0</v>
      </c>
      <c r="G150" s="15" t="s">
        <v>1</v>
      </c>
      <c r="H150" s="85" t="s">
        <v>19</v>
      </c>
      <c r="I150" s="16" t="s">
        <v>2</v>
      </c>
      <c r="J150" s="15" t="s">
        <v>3</v>
      </c>
      <c r="K150" s="85"/>
      <c r="L150" s="15" t="s">
        <v>20</v>
      </c>
      <c r="M150" s="15" t="s">
        <v>21</v>
      </c>
      <c r="N150" s="499"/>
      <c r="O150" s="500"/>
      <c r="P150" s="500"/>
      <c r="Q150" s="484"/>
      <c r="R150" s="484"/>
      <c r="S150" s="77" t="s">
        <v>54</v>
      </c>
      <c r="T150" s="83" t="s">
        <v>44</v>
      </c>
      <c r="U150" s="485"/>
      <c r="V150" s="12"/>
      <c r="W150" s="486"/>
      <c r="X150" s="83" t="s">
        <v>44</v>
      </c>
      <c r="Y150" s="83" t="s">
        <v>45</v>
      </c>
      <c r="Z150" s="83" t="s">
        <v>46</v>
      </c>
      <c r="AA150" s="83" t="s">
        <v>72</v>
      </c>
      <c r="AB150" s="488"/>
      <c r="AC150" s="83"/>
      <c r="AD150" s="488"/>
    </row>
    <row r="151" spans="1:30" ht="14.1" customHeight="1">
      <c r="A151" s="492"/>
      <c r="B151" s="497"/>
      <c r="C151" s="498"/>
      <c r="D151" s="11"/>
      <c r="E151" s="11"/>
      <c r="F151" s="17"/>
      <c r="G151" s="17"/>
      <c r="H151" s="17"/>
      <c r="I151" s="86"/>
      <c r="J151" s="17"/>
      <c r="K151" s="17"/>
      <c r="L151" s="17"/>
      <c r="M151" s="17"/>
      <c r="N151" s="499"/>
      <c r="O151" s="500"/>
      <c r="P151" s="500"/>
      <c r="Q151" s="484"/>
      <c r="R151" s="484"/>
      <c r="S151" s="78" t="s">
        <v>55</v>
      </c>
      <c r="T151" s="84" t="s">
        <v>47</v>
      </c>
      <c r="U151" s="485"/>
      <c r="V151" s="12"/>
      <c r="W151" s="486"/>
      <c r="X151" s="84" t="s">
        <v>47</v>
      </c>
      <c r="Y151" s="84" t="s">
        <v>48</v>
      </c>
      <c r="Z151" s="84" t="s">
        <v>49</v>
      </c>
      <c r="AA151" s="84"/>
      <c r="AB151" s="489"/>
      <c r="AC151" s="84" t="s">
        <v>60</v>
      </c>
      <c r="AD151" s="489"/>
    </row>
    <row r="152" spans="1:30" ht="14.1" customHeight="1">
      <c r="A152" s="471" t="str">
        <f>IF(B152="","",1)</f>
        <v/>
      </c>
      <c r="B152" s="348"/>
      <c r="C152" s="54"/>
      <c r="D152" s="472">
        <f>TRUNC(C152)+((C152-TRUNC(C152))/0.6)</f>
        <v>0</v>
      </c>
      <c r="E152" s="472">
        <f>TRUNC(C153)+((C153-TRUNC(C153))/0.6)</f>
        <v>0</v>
      </c>
      <c r="F152" s="473">
        <f>ROUND(((LOG10(TAN(PI()/4+(D152/2*PI()/180)))*7915.7046)-(3437.7468*((0.0816968^2*SIN(D152*PI()/180))+(0.0816968^4/3*((SIN(D152*PI()/180))^3))+(0.0816968^6/5*((SIN(D152*PI()/180))^5))))),2)</f>
        <v>0</v>
      </c>
      <c r="G152" s="58"/>
      <c r="H152" s="464">
        <f>IF(E152&lt;0,E152+360,E152)</f>
        <v>0</v>
      </c>
      <c r="I152" s="88"/>
      <c r="J152" s="58"/>
      <c r="K152" s="58"/>
      <c r="L152" s="58"/>
      <c r="M152" s="58"/>
      <c r="N152" s="59"/>
      <c r="O152" s="60"/>
      <c r="P152" s="60"/>
      <c r="Q152" s="465" t="str">
        <f>IF(O153="","",0)</f>
        <v/>
      </c>
      <c r="R152" s="465"/>
      <c r="S152" s="61"/>
      <c r="T152" s="61" t="s">
        <v>7</v>
      </c>
      <c r="U152" s="62"/>
      <c r="V152" s="63"/>
      <c r="W152" s="482"/>
      <c r="X152" s="61"/>
      <c r="Y152" s="61"/>
      <c r="Z152" s="61"/>
      <c r="AA152" s="61"/>
      <c r="AB152" s="52"/>
      <c r="AC152" s="68"/>
      <c r="AD152" s="483"/>
    </row>
    <row r="153" spans="1:30" ht="14.1" customHeight="1">
      <c r="A153" s="471"/>
      <c r="B153" s="349"/>
      <c r="C153" s="55"/>
      <c r="D153" s="472"/>
      <c r="E153" s="472"/>
      <c r="F153" s="473"/>
      <c r="G153" s="464">
        <f>ABS(D152-D154)*60</f>
        <v>0</v>
      </c>
      <c r="H153" s="464"/>
      <c r="I153" s="477">
        <f>ABS(H152-H154)*60</f>
        <v>0</v>
      </c>
      <c r="J153" s="478">
        <f>ABS(F152-F154)</f>
        <v>0</v>
      </c>
      <c r="K153" s="479" t="e">
        <f>IF(AND(D152&lt;D154,H152=H154),0,IF(AND(D152&gt;D154,H152=H154),180,IF(AND(D152=D154,H152&lt;H154),90,IF(AND(D152=D154,H152&gt;H154),270,(ATAN(I153/J153)*180/PI())))))</f>
        <v>#DIV/0!</v>
      </c>
      <c r="L153" s="472" t="e">
        <f>IF(OR(K153=0,K153=90,K153=180,K153=270),K153,IF(AND(D152&lt;D154,H152&lt;H154),K153,IF(AND(D152&lt;D154,H152&gt;H154),360-K153,IF(AND(D152&gt;D154,H152&lt;H154),180-K153,IF(AND(D152&gt;D154,H152&gt;H154),180+K153)))))</f>
        <v>#DIV/0!</v>
      </c>
      <c r="M153" s="472">
        <f>(IF(I153=0,G153,IF(G153=0,COS(D154*PI()/180)*I153,G153/COS(K153*PI()/180))))</f>
        <v>0</v>
      </c>
      <c r="N153" s="468" t="str">
        <f>IF(C155="","",ROUND(L153,1))</f>
        <v/>
      </c>
      <c r="O153" s="469" t="str">
        <f>IF(C155="","",ROUND(M153,1))</f>
        <v/>
      </c>
      <c r="P153" s="353"/>
      <c r="Q153" s="465"/>
      <c r="R153" s="465"/>
      <c r="S153" s="64"/>
      <c r="T153" s="64" t="s">
        <v>23</v>
      </c>
      <c r="U153" s="358"/>
      <c r="V153" s="470" t="e">
        <f>(O153/P153+U153/60)/24</f>
        <v>#VALUE!</v>
      </c>
      <c r="W153" s="482"/>
      <c r="X153" s="64"/>
      <c r="Y153" s="65"/>
      <c r="Z153" s="64"/>
      <c r="AA153" s="64"/>
      <c r="AB153" s="53"/>
      <c r="AC153" s="69"/>
      <c r="AD153" s="480"/>
    </row>
    <row r="154" spans="1:30" ht="14.1" customHeight="1">
      <c r="A154" s="471" t="str">
        <f>IF(B154="","",A152+1)</f>
        <v/>
      </c>
      <c r="B154" s="394"/>
      <c r="C154" s="54"/>
      <c r="D154" s="472">
        <f>TRUNC(C154)+((C154-TRUNC(C154))/0.6)</f>
        <v>0</v>
      </c>
      <c r="E154" s="472">
        <f>TRUNC(C155)+((C155-TRUNC(C155))/0.6)</f>
        <v>0</v>
      </c>
      <c r="F154" s="473">
        <f>ROUND(((LOG10(TAN(PI()/4+(D154/2*PI()/180)))*7915.7046)-(3437.7468*((0.0816968^2*SIN(D154*PI()/180))+(0.0816968^4/3*((SIN(D154*PI()/180))^3))+(0.0816968^6/5*((SIN(D154*PI()/180))^5))))),2)</f>
        <v>0</v>
      </c>
      <c r="G154" s="464"/>
      <c r="H154" s="464">
        <f>IF(E154&lt;0,E154+360,E154)</f>
        <v>0</v>
      </c>
      <c r="I154" s="477"/>
      <c r="J154" s="478"/>
      <c r="K154" s="479"/>
      <c r="L154" s="472"/>
      <c r="M154" s="472"/>
      <c r="N154" s="468"/>
      <c r="O154" s="469"/>
      <c r="P154" s="353"/>
      <c r="Q154" s="465" t="str">
        <f>IF(O153="","",Q152+O153)</f>
        <v/>
      </c>
      <c r="R154" s="465" t="str">
        <f>IF(O153="","",R152-O153)</f>
        <v/>
      </c>
      <c r="S154" s="61"/>
      <c r="T154" s="61" t="s">
        <v>7</v>
      </c>
      <c r="U154" s="355"/>
      <c r="V154" s="470"/>
      <c r="W154" s="466" t="str">
        <f>IF(P153="","",W152+V153)</f>
        <v/>
      </c>
      <c r="X154" s="61"/>
      <c r="Y154" s="61"/>
      <c r="Z154" s="61"/>
      <c r="AA154" s="61"/>
      <c r="AB154" s="52"/>
      <c r="AC154" s="68"/>
      <c r="AD154" s="480"/>
    </row>
    <row r="155" spans="1:30" ht="14.1" customHeight="1">
      <c r="A155" s="471"/>
      <c r="B155" s="395"/>
      <c r="C155" s="55"/>
      <c r="D155" s="472"/>
      <c r="E155" s="472"/>
      <c r="F155" s="473"/>
      <c r="G155" s="464">
        <f>ABS(D154-D156)*60</f>
        <v>0</v>
      </c>
      <c r="H155" s="464"/>
      <c r="I155" s="477">
        <f>ABS(H154-H156)*60</f>
        <v>0</v>
      </c>
      <c r="J155" s="478">
        <f>ABS(F154-F156)</f>
        <v>0</v>
      </c>
      <c r="K155" s="479" t="e">
        <f>IF(AND(D154&lt;D156,H154=H156),0,IF(AND(D154&gt;D156,H154=H156),180,IF(AND(D154=D156,H154&lt;H156),90,IF(AND(D154=D156,H154&gt;H156),270,(ATAN(I155/J155)*180/PI())))))</f>
        <v>#DIV/0!</v>
      </c>
      <c r="L155" s="472" t="e">
        <f>IF(OR(K155=0,K155=90,K155=180,K155=270),K155,IF(AND(D154&lt;D156,H154&lt;H156),K155,IF(AND(D154&lt;D156,H154&gt;H156),360-K155,IF(AND(D154&gt;D156,H154&lt;H156),180-K155,IF(AND(D154&gt;D156,H154&gt;H156),180+K155)))))</f>
        <v>#DIV/0!</v>
      </c>
      <c r="M155" s="472">
        <f>(IF(I155=0,G155,IF(G155=0,COS(D156*PI()/180)*I155,G155/COS(K155*PI()/180))))</f>
        <v>0</v>
      </c>
      <c r="N155" s="468" t="str">
        <f>IF(C157="","",ROUND(L155,1))</f>
        <v/>
      </c>
      <c r="O155" s="469" t="str">
        <f>IF(C157="","",ROUND(M155,1))</f>
        <v/>
      </c>
      <c r="P155" s="353"/>
      <c r="Q155" s="465"/>
      <c r="R155" s="465"/>
      <c r="S155" s="64"/>
      <c r="T155" s="64" t="s">
        <v>23</v>
      </c>
      <c r="U155" s="358"/>
      <c r="V155" s="470" t="e">
        <f>(O155/P155+U155/60)/24</f>
        <v>#VALUE!</v>
      </c>
      <c r="W155" s="466"/>
      <c r="X155" s="64"/>
      <c r="Y155" s="65"/>
      <c r="Z155" s="64"/>
      <c r="AA155" s="64"/>
      <c r="AB155" s="53"/>
      <c r="AC155" s="69"/>
      <c r="AD155" s="480"/>
    </row>
    <row r="156" spans="1:30" ht="14.1" customHeight="1">
      <c r="A156" s="471" t="str">
        <f>IF(B156="","",A154+1)</f>
        <v/>
      </c>
      <c r="B156" s="392"/>
      <c r="C156" s="54"/>
      <c r="D156" s="472">
        <f>TRUNC(C156)+((C156-TRUNC(C156))/0.6)</f>
        <v>0</v>
      </c>
      <c r="E156" s="472">
        <f>TRUNC(C157)+((C157-TRUNC(C157))/0.6)</f>
        <v>0</v>
      </c>
      <c r="F156" s="473">
        <f>ROUND(((LOG10(TAN(PI()/4+(D156/2*PI()/180)))*7915.7046)-(3437.7468*((0.0816968^2*SIN(D156*PI()/180))+(0.0816968^4/3*((SIN(D156*PI()/180))^3))+(0.0816968^6/5*((SIN(D156*PI()/180))^5))))),2)</f>
        <v>0</v>
      </c>
      <c r="G156" s="464"/>
      <c r="H156" s="464">
        <f>IF(E156&lt;0,E156+360,E156)</f>
        <v>0</v>
      </c>
      <c r="I156" s="477"/>
      <c r="J156" s="478"/>
      <c r="K156" s="479"/>
      <c r="L156" s="472"/>
      <c r="M156" s="472"/>
      <c r="N156" s="468"/>
      <c r="O156" s="469"/>
      <c r="P156" s="353"/>
      <c r="Q156" s="465" t="str">
        <f>IF(O155="","",Q154+O155)</f>
        <v/>
      </c>
      <c r="R156" s="465" t="str">
        <f>IF(O155="","",R154-O155)</f>
        <v/>
      </c>
      <c r="S156" s="61"/>
      <c r="T156" s="61" t="s">
        <v>7</v>
      </c>
      <c r="U156" s="355"/>
      <c r="V156" s="470"/>
      <c r="W156" s="466" t="str">
        <f>IF(P155="","",W154+V155)</f>
        <v/>
      </c>
      <c r="X156" s="61"/>
      <c r="Y156" s="61"/>
      <c r="Z156" s="61"/>
      <c r="AA156" s="61"/>
      <c r="AB156" s="52"/>
      <c r="AC156" s="68"/>
      <c r="AD156" s="480"/>
    </row>
    <row r="157" spans="1:30" ht="14.1" customHeight="1">
      <c r="A157" s="471"/>
      <c r="B157" s="392"/>
      <c r="C157" s="55"/>
      <c r="D157" s="472"/>
      <c r="E157" s="472"/>
      <c r="F157" s="473"/>
      <c r="G157" s="464">
        <f>ABS(D156-D158)*60</f>
        <v>0</v>
      </c>
      <c r="H157" s="464"/>
      <c r="I157" s="477">
        <f>ABS(H156-H158)*60</f>
        <v>0</v>
      </c>
      <c r="J157" s="478">
        <f>ABS(F156-F158)</f>
        <v>0</v>
      </c>
      <c r="K157" s="479" t="e">
        <f>IF(AND(D156&lt;D158,H156=H158),0,IF(AND(D156&gt;D158,H156=H158),180,IF(AND(D156=D158,H156&lt;H158),90,IF(AND(D156=D158,H156&gt;H158),270,(ATAN(I157/J157)*180/PI())))))</f>
        <v>#DIV/0!</v>
      </c>
      <c r="L157" s="472" t="e">
        <f>IF(OR(K157=0,K157=90,K157=180,K157=270),K157,IF(AND(D156&lt;D158,H156&lt;H158),K157,IF(AND(D156&lt;D158,H156&gt;H158),360-K157,IF(AND(D156&gt;D158,H156&lt;H158),180-K157,IF(AND(D156&gt;D158,H156&gt;H158),180+K157)))))</f>
        <v>#DIV/0!</v>
      </c>
      <c r="M157" s="472">
        <f>(IF(I157=0,G157,IF(G157=0,COS(D158*PI()/180)*I157,G157/COS(K157*PI()/180))))</f>
        <v>0</v>
      </c>
      <c r="N157" s="468" t="str">
        <f>IF(C159="","",ROUND(L157,1))</f>
        <v/>
      </c>
      <c r="O157" s="469" t="str">
        <f>IF(C159="","",ROUND(M157,1))</f>
        <v/>
      </c>
      <c r="P157" s="353"/>
      <c r="Q157" s="465"/>
      <c r="R157" s="465"/>
      <c r="S157" s="64"/>
      <c r="T157" s="64" t="s">
        <v>23</v>
      </c>
      <c r="U157" s="358"/>
      <c r="V157" s="470" t="e">
        <f>(O157/P157+U157/60)/24</f>
        <v>#VALUE!</v>
      </c>
      <c r="W157" s="466"/>
      <c r="X157" s="64"/>
      <c r="Y157" s="65"/>
      <c r="Z157" s="64"/>
      <c r="AA157" s="64"/>
      <c r="AB157" s="53"/>
      <c r="AC157" s="69"/>
      <c r="AD157" s="480"/>
    </row>
    <row r="158" spans="1:30" ht="14.1" customHeight="1">
      <c r="A158" s="471" t="str">
        <f>IF(B158="","",A156+1)</f>
        <v/>
      </c>
      <c r="B158" s="392"/>
      <c r="C158" s="54"/>
      <c r="D158" s="472">
        <f>TRUNC(C158)+((C158-TRUNC(C158))/0.6)</f>
        <v>0</v>
      </c>
      <c r="E158" s="472">
        <f>TRUNC(C159)+((C159-TRUNC(C159))/0.6)</f>
        <v>0</v>
      </c>
      <c r="F158" s="473">
        <f>ROUND(((LOG10(TAN(PI()/4+(D158/2*PI()/180)))*7915.7046)-(3437.7468*((0.0816968^2*SIN(D158*PI()/180))+(0.0816968^4/3*((SIN(D158*PI()/180))^3))+(0.0816968^6/5*((SIN(D158*PI()/180))^5))))),2)</f>
        <v>0</v>
      </c>
      <c r="G158" s="464"/>
      <c r="H158" s="464">
        <f>IF(E158&lt;0,E158+360,E158)</f>
        <v>0</v>
      </c>
      <c r="I158" s="477"/>
      <c r="J158" s="478"/>
      <c r="K158" s="479"/>
      <c r="L158" s="472"/>
      <c r="M158" s="472"/>
      <c r="N158" s="468"/>
      <c r="O158" s="469"/>
      <c r="P158" s="353"/>
      <c r="Q158" s="465" t="str">
        <f>IF(O157="","",Q156+O157)</f>
        <v/>
      </c>
      <c r="R158" s="465" t="str">
        <f>IF(O157="","",R156-O157)</f>
        <v/>
      </c>
      <c r="S158" s="61"/>
      <c r="T158" s="61" t="s">
        <v>7</v>
      </c>
      <c r="U158" s="355"/>
      <c r="V158" s="470"/>
      <c r="W158" s="466" t="str">
        <f>IF(P157="","",W156+V157)</f>
        <v/>
      </c>
      <c r="X158" s="61"/>
      <c r="Y158" s="61"/>
      <c r="Z158" s="61"/>
      <c r="AA158" s="61"/>
      <c r="AB158" s="52"/>
      <c r="AC158" s="68"/>
      <c r="AD158" s="480"/>
    </row>
    <row r="159" spans="1:30" ht="14.1" customHeight="1">
      <c r="A159" s="471"/>
      <c r="B159" s="392"/>
      <c r="C159" s="55"/>
      <c r="D159" s="472"/>
      <c r="E159" s="472"/>
      <c r="F159" s="473"/>
      <c r="G159" s="464">
        <f>ABS(D158-D160)*60</f>
        <v>0</v>
      </c>
      <c r="H159" s="464"/>
      <c r="I159" s="477">
        <f>ABS(H158-H160)*60</f>
        <v>0</v>
      </c>
      <c r="J159" s="478">
        <f>ABS(F158-F160)</f>
        <v>0</v>
      </c>
      <c r="K159" s="479" t="e">
        <f>IF(AND(D158&lt;D160,H158=H160),0,IF(AND(D158&gt;D160,H158=H160),180,IF(AND(D158=D160,H158&lt;H160),90,IF(AND(D158=D160,H158&gt;H160),270,(ATAN(I159/J159)*180/PI())))))</f>
        <v>#DIV/0!</v>
      </c>
      <c r="L159" s="472" t="e">
        <f>IF(OR(K159=0,K159=90,K159=180,K159=270),K159,IF(AND(D158&lt;D160,H158&lt;H160),K159,IF(AND(D158&lt;D160,H158&gt;H160),360-K159,IF(AND(D158&gt;D160,H158&lt;H160),180-K159,IF(AND(D158&gt;D160,H158&gt;H160),180+K159)))))</f>
        <v>#DIV/0!</v>
      </c>
      <c r="M159" s="472">
        <f>(IF(I159=0,G159,IF(G159=0,COS(D160*PI()/180)*I159,G159/COS(K159*PI()/180))))</f>
        <v>0</v>
      </c>
      <c r="N159" s="468" t="str">
        <f>IF(C161="","",ROUND(L159,1))</f>
        <v/>
      </c>
      <c r="O159" s="469" t="str">
        <f>IF(C161="","",ROUND(M159,1))</f>
        <v/>
      </c>
      <c r="P159" s="353"/>
      <c r="Q159" s="465"/>
      <c r="R159" s="465"/>
      <c r="S159" s="64"/>
      <c r="T159" s="64" t="s">
        <v>23</v>
      </c>
      <c r="U159" s="358"/>
      <c r="V159" s="470" t="e">
        <f>(O159/P159+U159/60)/24</f>
        <v>#VALUE!</v>
      </c>
      <c r="W159" s="466"/>
      <c r="X159" s="64"/>
      <c r="Y159" s="65"/>
      <c r="Z159" s="64"/>
      <c r="AA159" s="64"/>
      <c r="AB159" s="53"/>
      <c r="AC159" s="69"/>
      <c r="AD159" s="480"/>
    </row>
    <row r="160" spans="1:30" ht="14.1" customHeight="1">
      <c r="A160" s="471" t="str">
        <f>IF(B160="","",A158+1)</f>
        <v/>
      </c>
      <c r="B160" s="392"/>
      <c r="C160" s="54"/>
      <c r="D160" s="472">
        <f>TRUNC(C160)+((C160-TRUNC(C160))/0.6)</f>
        <v>0</v>
      </c>
      <c r="E160" s="472">
        <f>TRUNC(C161)+((C161-TRUNC(C161))/0.6)</f>
        <v>0</v>
      </c>
      <c r="F160" s="473">
        <f>ROUND(((LOG10(TAN(PI()/4+(D160/2*PI()/180)))*7915.7046)-(3437.7468*((0.0816968^2*SIN(D160*PI()/180))+(0.0816968^4/3*((SIN(D160*PI()/180))^3))+(0.0816968^6/5*((SIN(D160*PI()/180))^5))))),2)</f>
        <v>0</v>
      </c>
      <c r="G160" s="464"/>
      <c r="H160" s="464">
        <f>IF(E160&lt;0,E160+360,E160)</f>
        <v>0</v>
      </c>
      <c r="I160" s="477"/>
      <c r="J160" s="478"/>
      <c r="K160" s="479"/>
      <c r="L160" s="472"/>
      <c r="M160" s="472"/>
      <c r="N160" s="468"/>
      <c r="O160" s="469"/>
      <c r="P160" s="353"/>
      <c r="Q160" s="465" t="str">
        <f>IF(O159="","",Q158+O159)</f>
        <v/>
      </c>
      <c r="R160" s="465" t="str">
        <f>IF(O159="","",R158-O159)</f>
        <v/>
      </c>
      <c r="S160" s="61"/>
      <c r="T160" s="61" t="s">
        <v>7</v>
      </c>
      <c r="U160" s="355"/>
      <c r="V160" s="470"/>
      <c r="W160" s="466" t="str">
        <f>IF(P159="","",W158+V159)</f>
        <v/>
      </c>
      <c r="X160" s="61"/>
      <c r="Y160" s="61"/>
      <c r="Z160" s="61"/>
      <c r="AA160" s="61"/>
      <c r="AB160" s="52"/>
      <c r="AC160" s="68"/>
      <c r="AD160" s="480"/>
    </row>
    <row r="161" spans="1:30" ht="14.1" customHeight="1">
      <c r="A161" s="471"/>
      <c r="B161" s="392"/>
      <c r="C161" s="55"/>
      <c r="D161" s="472"/>
      <c r="E161" s="472"/>
      <c r="F161" s="473"/>
      <c r="G161" s="464">
        <f>ABS(D160-D162)*60</f>
        <v>0</v>
      </c>
      <c r="H161" s="464"/>
      <c r="I161" s="477">
        <f>ABS(H160-H162)*60</f>
        <v>0</v>
      </c>
      <c r="J161" s="478">
        <f>ABS(F160-F162)</f>
        <v>0</v>
      </c>
      <c r="K161" s="479" t="e">
        <f>IF(AND(D160&lt;D162,H160=H162),0,IF(AND(D160&gt;D162,H160=H162),180,IF(AND(D160=D162,H160&lt;H162),90,IF(AND(D160=D162,H160&gt;H162),270,(ATAN(I161/J161)*180/PI())))))</f>
        <v>#DIV/0!</v>
      </c>
      <c r="L161" s="472" t="e">
        <f>IF(OR(K161=0,K161=90,K161=180,K161=270),K161,IF(AND(D160&lt;D162,H160&lt;H162),K161,IF(AND(D160&lt;D162,H160&gt;H162),360-K161,IF(AND(D160&gt;D162,H160&lt;H162),180-K161,IF(AND(D160&gt;D162,H160&gt;H162),180+K161)))))</f>
        <v>#DIV/0!</v>
      </c>
      <c r="M161" s="472">
        <f>(IF(I161=0,G161,IF(G161=0,COS(D162*PI()/180)*I161,G161/COS(K161*PI()/180))))</f>
        <v>0</v>
      </c>
      <c r="N161" s="468" t="str">
        <f>IF(C163="","",ROUND(L161,1))</f>
        <v/>
      </c>
      <c r="O161" s="469" t="str">
        <f>IF(C163="","",ROUND(M161,1))</f>
        <v/>
      </c>
      <c r="P161" s="353"/>
      <c r="Q161" s="465"/>
      <c r="R161" s="465"/>
      <c r="S161" s="64"/>
      <c r="T161" s="64" t="s">
        <v>24</v>
      </c>
      <c r="U161" s="358"/>
      <c r="V161" s="470" t="e">
        <f>(O161/P161+U161/60)/24</f>
        <v>#VALUE!</v>
      </c>
      <c r="W161" s="466"/>
      <c r="X161" s="64"/>
      <c r="Y161" s="65"/>
      <c r="Z161" s="64"/>
      <c r="AA161" s="64"/>
      <c r="AB161" s="53"/>
      <c r="AC161" s="69"/>
      <c r="AD161" s="480"/>
    </row>
    <row r="162" spans="1:30" ht="14.1" customHeight="1">
      <c r="A162" s="471" t="str">
        <f>IF(B162="","",A160+1)</f>
        <v/>
      </c>
      <c r="B162" s="392"/>
      <c r="C162" s="54"/>
      <c r="D162" s="472">
        <f>TRUNC(C162)+((C162-TRUNC(C162))/0.6)</f>
        <v>0</v>
      </c>
      <c r="E162" s="472">
        <f>TRUNC(C163)+((C163-TRUNC(C163))/0.6)</f>
        <v>0</v>
      </c>
      <c r="F162" s="473">
        <f>ROUND(((LOG10(TAN(PI()/4+(D162/2*PI()/180)))*7915.7046)-(3437.7468*((0.0816968^2*SIN(D162*PI()/180))+(0.0816968^4/3*((SIN(D162*PI()/180))^3))+(0.0816968^6/5*((SIN(D162*PI()/180))^5))))),2)</f>
        <v>0</v>
      </c>
      <c r="G162" s="464"/>
      <c r="H162" s="464">
        <f>IF(E162&lt;0,E162+360,E162)</f>
        <v>0</v>
      </c>
      <c r="I162" s="477"/>
      <c r="J162" s="478"/>
      <c r="K162" s="479"/>
      <c r="L162" s="472"/>
      <c r="M162" s="472"/>
      <c r="N162" s="468"/>
      <c r="O162" s="469"/>
      <c r="P162" s="353"/>
      <c r="Q162" s="465" t="str">
        <f>IF(O161="","",Q160+O161)</f>
        <v/>
      </c>
      <c r="R162" s="465" t="str">
        <f>IF(O161="","",R160-O161)</f>
        <v/>
      </c>
      <c r="S162" s="61"/>
      <c r="T162" s="61" t="s">
        <v>7</v>
      </c>
      <c r="U162" s="355"/>
      <c r="V162" s="470"/>
      <c r="W162" s="466" t="str">
        <f>IF(P161="","",W160+V161)</f>
        <v/>
      </c>
      <c r="X162" s="61"/>
      <c r="Y162" s="61"/>
      <c r="Z162" s="61"/>
      <c r="AA162" s="61"/>
      <c r="AB162" s="52"/>
      <c r="AC162" s="68"/>
      <c r="AD162" s="480"/>
    </row>
    <row r="163" spans="1:30" ht="14.1" customHeight="1">
      <c r="A163" s="471"/>
      <c r="B163" s="392"/>
      <c r="C163" s="55"/>
      <c r="D163" s="472"/>
      <c r="E163" s="472"/>
      <c r="F163" s="473"/>
      <c r="G163" s="464">
        <f>ABS(D162-D164)*60</f>
        <v>0</v>
      </c>
      <c r="H163" s="464"/>
      <c r="I163" s="477">
        <f>ABS(H162-H164)*60</f>
        <v>0</v>
      </c>
      <c r="J163" s="478">
        <f>ABS(F162-F164)</f>
        <v>0</v>
      </c>
      <c r="K163" s="479" t="e">
        <f>IF(AND(D162&lt;D164,H162=H164),0,IF(AND(D162&gt;D164,H162=H164),180,IF(AND(D162=D164,H162&lt;H164),90,IF(AND(D162=D164,H162&gt;H164),270,(ATAN(I163/J163)*180/PI())))))</f>
        <v>#DIV/0!</v>
      </c>
      <c r="L163" s="472" t="e">
        <f>IF(OR(K163=0,K163=90,K163=180,K163=270),K163,IF(AND(D162&lt;D164,H162&lt;H164),K163,IF(AND(D162&lt;D164,H162&gt;H164),360-K163,IF(AND(D162&gt;D164,H162&lt;H164),180-K163,IF(AND(D162&gt;D164,H162&gt;H164),180+K163)))))</f>
        <v>#DIV/0!</v>
      </c>
      <c r="M163" s="472">
        <f>(IF(I163=0,G163,IF(G163=0,COS(D164*PI()/180)*I163,G163/COS(K163*PI()/180))))</f>
        <v>0</v>
      </c>
      <c r="N163" s="468" t="str">
        <f>IF(C165="","",ROUND(L163,1))</f>
        <v/>
      </c>
      <c r="O163" s="469" t="str">
        <f>IF(C165="","",ROUND(M163,1))</f>
        <v/>
      </c>
      <c r="P163" s="353"/>
      <c r="Q163" s="465"/>
      <c r="R163" s="465"/>
      <c r="S163" s="64"/>
      <c r="T163" s="64" t="s">
        <v>23</v>
      </c>
      <c r="U163" s="358"/>
      <c r="V163" s="470" t="e">
        <f>(O163/P163+U163/60)/24</f>
        <v>#VALUE!</v>
      </c>
      <c r="W163" s="466"/>
      <c r="X163" s="64"/>
      <c r="Y163" s="65"/>
      <c r="Z163" s="64"/>
      <c r="AA163" s="64"/>
      <c r="AB163" s="53"/>
      <c r="AC163" s="69"/>
      <c r="AD163" s="480"/>
    </row>
    <row r="164" spans="1:30" ht="14.1" customHeight="1">
      <c r="A164" s="471" t="str">
        <f>IF(B164="","",A162+1)</f>
        <v/>
      </c>
      <c r="B164" s="392"/>
      <c r="C164" s="54"/>
      <c r="D164" s="472">
        <f>TRUNC(C164)+((C164-TRUNC(C164))/0.6)</f>
        <v>0</v>
      </c>
      <c r="E164" s="472">
        <f>TRUNC(C165)+((C165-TRUNC(C165))/0.6)</f>
        <v>0</v>
      </c>
      <c r="F164" s="473">
        <f>ROUND(((LOG10(TAN(PI()/4+(D164/2*PI()/180)))*7915.7046)-(3437.7468*((0.0816968^2*SIN(D164*PI()/180))+(0.0816968^4/3*((SIN(D164*PI()/180))^3))+(0.0816968^6/5*((SIN(D164*PI()/180))^5))))),2)</f>
        <v>0</v>
      </c>
      <c r="G164" s="464"/>
      <c r="H164" s="464">
        <f>IF(E164&lt;0,E164+360,E164)</f>
        <v>0</v>
      </c>
      <c r="I164" s="477"/>
      <c r="J164" s="478"/>
      <c r="K164" s="479"/>
      <c r="L164" s="472"/>
      <c r="M164" s="472"/>
      <c r="N164" s="468"/>
      <c r="O164" s="469"/>
      <c r="P164" s="353"/>
      <c r="Q164" s="465" t="str">
        <f>IF(O163="","",Q162+O163)</f>
        <v/>
      </c>
      <c r="R164" s="465" t="str">
        <f>IF(O163="","",R162-O163)</f>
        <v/>
      </c>
      <c r="S164" s="61"/>
      <c r="T164" s="61" t="s">
        <v>25</v>
      </c>
      <c r="U164" s="355"/>
      <c r="V164" s="470"/>
      <c r="W164" s="466" t="str">
        <f>IF(P163="","",W162+V163)</f>
        <v/>
      </c>
      <c r="X164" s="61"/>
      <c r="Y164" s="61"/>
      <c r="Z164" s="61"/>
      <c r="AA164" s="61"/>
      <c r="AB164" s="52"/>
      <c r="AC164" s="68"/>
      <c r="AD164" s="480"/>
    </row>
    <row r="165" spans="1:30" ht="14.1" customHeight="1">
      <c r="A165" s="471"/>
      <c r="B165" s="392"/>
      <c r="C165" s="55"/>
      <c r="D165" s="472"/>
      <c r="E165" s="472"/>
      <c r="F165" s="473"/>
      <c r="G165" s="464">
        <f>ABS(D164-D166)*60</f>
        <v>0</v>
      </c>
      <c r="H165" s="464"/>
      <c r="I165" s="477">
        <f>ABS(H164-H166)*60</f>
        <v>0</v>
      </c>
      <c r="J165" s="478">
        <f>ABS(F164-F166)</f>
        <v>0</v>
      </c>
      <c r="K165" s="479" t="e">
        <f>IF(AND(D164&lt;D166,H164=H166),0,IF(AND(D164&gt;D166,H164=H166),180,IF(AND(D164=D166,H164&lt;H166),90,IF(AND(D164=D166,H164&gt;H166),270,(ATAN(I165/J165)*180/PI())))))</f>
        <v>#DIV/0!</v>
      </c>
      <c r="L165" s="472" t="e">
        <f>IF(OR(K165=0,K165=90,K165=180,K165=270),K165,IF(AND(D164&lt;D166,H164&lt;H166),K165,IF(AND(D164&lt;D166,H164&gt;H166),360-K165,IF(AND(D164&gt;D166,H164&lt;H166),180-K165,IF(AND(D164&gt;D166,H164&gt;H166),180+K165)))))</f>
        <v>#DIV/0!</v>
      </c>
      <c r="M165" s="472">
        <f>(IF(I165=0,G165,IF(G165=0,COS(D166*PI()/180)*I165,G165/COS(K165*PI()/180))))</f>
        <v>0</v>
      </c>
      <c r="N165" s="468" t="str">
        <f>IF(C167="","",ROUND(L165,1))</f>
        <v/>
      </c>
      <c r="O165" s="469" t="str">
        <f>IF(C167="","",ROUND(M165,1))</f>
        <v/>
      </c>
      <c r="P165" s="353"/>
      <c r="Q165" s="465"/>
      <c r="R165" s="465"/>
      <c r="S165" s="64"/>
      <c r="T165" s="64" t="s">
        <v>24</v>
      </c>
      <c r="U165" s="358"/>
      <c r="V165" s="470" t="e">
        <f>(O165/P165+U165/60)/24</f>
        <v>#VALUE!</v>
      </c>
      <c r="W165" s="466"/>
      <c r="X165" s="64"/>
      <c r="Y165" s="65"/>
      <c r="Z165" s="64"/>
      <c r="AA165" s="64"/>
      <c r="AB165" s="53"/>
      <c r="AC165" s="69"/>
      <c r="AD165" s="480"/>
    </row>
    <row r="166" spans="1:30" ht="14.1" customHeight="1">
      <c r="A166" s="471" t="str">
        <f>IF(B166="","",A164+1)</f>
        <v/>
      </c>
      <c r="B166" s="392"/>
      <c r="C166" s="54"/>
      <c r="D166" s="472">
        <f>TRUNC(C166)+((C166-TRUNC(C166))/0.6)</f>
        <v>0</v>
      </c>
      <c r="E166" s="472">
        <f>TRUNC(C167)+((C167-TRUNC(C167))/0.6)</f>
        <v>0</v>
      </c>
      <c r="F166" s="473">
        <f>ROUND(((LOG10(TAN(PI()/4+(D166/2*PI()/180)))*7915.7046)-(3437.7468*((0.0816968^2*SIN(D166*PI()/180))+(0.0816968^4/3*((SIN(D166*PI()/180))^3))+(0.0816968^6/5*((SIN(D166*PI()/180))^5))))),2)</f>
        <v>0</v>
      </c>
      <c r="G166" s="464"/>
      <c r="H166" s="464">
        <f>IF(E166&lt;0,E166+360,E166)</f>
        <v>0</v>
      </c>
      <c r="I166" s="477"/>
      <c r="J166" s="478"/>
      <c r="K166" s="479"/>
      <c r="L166" s="472"/>
      <c r="M166" s="472"/>
      <c r="N166" s="468"/>
      <c r="O166" s="469"/>
      <c r="P166" s="353"/>
      <c r="Q166" s="465" t="str">
        <f>IF(O165="","",Q164+O165)</f>
        <v/>
      </c>
      <c r="R166" s="465" t="str">
        <f>IF(O165="","",R164-O165)</f>
        <v/>
      </c>
      <c r="S166" s="61"/>
      <c r="T166" s="61" t="s">
        <v>25</v>
      </c>
      <c r="U166" s="355"/>
      <c r="V166" s="470"/>
      <c r="W166" s="466" t="str">
        <f>IF(P165="","",W164+V165)</f>
        <v/>
      </c>
      <c r="X166" s="61"/>
      <c r="Y166" s="61"/>
      <c r="Z166" s="61"/>
      <c r="AA166" s="61"/>
      <c r="AB166" s="52"/>
      <c r="AC166" s="68"/>
      <c r="AD166" s="480"/>
    </row>
    <row r="167" spans="1:30" ht="14.1" customHeight="1">
      <c r="A167" s="471"/>
      <c r="B167" s="392"/>
      <c r="C167" s="55"/>
      <c r="D167" s="472"/>
      <c r="E167" s="472"/>
      <c r="F167" s="473"/>
      <c r="G167" s="464">
        <f>ABS(D166-D168)*60</f>
        <v>0</v>
      </c>
      <c r="H167" s="464"/>
      <c r="I167" s="477">
        <f>ABS(H166-H168)*60</f>
        <v>0</v>
      </c>
      <c r="J167" s="478">
        <f>ABS(F166-F168)</f>
        <v>0</v>
      </c>
      <c r="K167" s="479" t="e">
        <f>IF(AND(D166&lt;D168,H166=H168),0,IF(AND(D166&gt;D168,H166=H168),180,IF(AND(D166=D168,H166&lt;H168),90,IF(AND(D166=D168,H166&gt;H168),270,(ATAN(I167/J167)*180/PI())))))</f>
        <v>#DIV/0!</v>
      </c>
      <c r="L167" s="472" t="e">
        <f>IF(OR(K167=0,K167=90,K167=180,K167=270),K167,IF(AND(D166&lt;D168,H166&lt;H168),K167,IF(AND(D166&lt;D168,H166&gt;H168),360-K167,IF(AND(D166&gt;D168,H166&lt;H168),180-K167,IF(AND(D166&gt;D168,H166&gt;H168),180+K167)))))</f>
        <v>#DIV/0!</v>
      </c>
      <c r="M167" s="472">
        <f>(IF(I167=0,G167,IF(G167=0,COS(D168*PI()/180)*I167,G167/COS(K167*PI()/180))))</f>
        <v>0</v>
      </c>
      <c r="N167" s="468" t="str">
        <f>IF(C169="","",ROUND(L167,1))</f>
        <v/>
      </c>
      <c r="O167" s="469" t="str">
        <f>IF(C169="","",ROUND(M167,1))</f>
        <v/>
      </c>
      <c r="P167" s="353"/>
      <c r="Q167" s="465"/>
      <c r="R167" s="465"/>
      <c r="S167" s="64"/>
      <c r="T167" s="64" t="s">
        <v>24</v>
      </c>
      <c r="U167" s="358"/>
      <c r="V167" s="470" t="e">
        <f>(O167/P167+U167/60)/24</f>
        <v>#VALUE!</v>
      </c>
      <c r="W167" s="466"/>
      <c r="X167" s="64"/>
      <c r="Y167" s="65"/>
      <c r="Z167" s="64"/>
      <c r="AA167" s="64"/>
      <c r="AB167" s="53"/>
      <c r="AC167" s="69"/>
      <c r="AD167" s="480"/>
    </row>
    <row r="168" spans="1:30" ht="14.1" customHeight="1">
      <c r="A168" s="471" t="str">
        <f>IF(B168="","",A166+1)</f>
        <v/>
      </c>
      <c r="B168" s="392"/>
      <c r="C168" s="54"/>
      <c r="D168" s="472">
        <f>TRUNC(C168)+((C168-TRUNC(C168))/0.6)</f>
        <v>0</v>
      </c>
      <c r="E168" s="472">
        <f>TRUNC(C169)+((C169-TRUNC(C169))/0.6)</f>
        <v>0</v>
      </c>
      <c r="F168" s="473">
        <f>ROUND(((LOG10(TAN(PI()/4+(D168/2*PI()/180)))*7915.7046)-(3437.7468*((0.0816968^2*SIN(D168*PI()/180))+(0.0816968^4/3*((SIN(D168*PI()/180))^3))+(0.0816968^6/5*((SIN(D168*PI()/180))^5))))),2)</f>
        <v>0</v>
      </c>
      <c r="G168" s="464"/>
      <c r="H168" s="464">
        <f>IF(E168&lt;0,E168+360,E168)</f>
        <v>0</v>
      </c>
      <c r="I168" s="477"/>
      <c r="J168" s="478"/>
      <c r="K168" s="479"/>
      <c r="L168" s="472"/>
      <c r="M168" s="472"/>
      <c r="N168" s="468"/>
      <c r="O168" s="469"/>
      <c r="P168" s="353"/>
      <c r="Q168" s="465" t="str">
        <f>IF(O167="","",Q166+O167)</f>
        <v/>
      </c>
      <c r="R168" s="465" t="str">
        <f>IF(O167="","",R166-O167)</f>
        <v/>
      </c>
      <c r="S168" s="61"/>
      <c r="T168" s="61" t="s">
        <v>30</v>
      </c>
      <c r="U168" s="355"/>
      <c r="V168" s="470"/>
      <c r="W168" s="466" t="str">
        <f>IF(P167="","",W166+V167)</f>
        <v/>
      </c>
      <c r="X168" s="61"/>
      <c r="Y168" s="61"/>
      <c r="Z168" s="61"/>
      <c r="AA168" s="61"/>
      <c r="AB168" s="52"/>
      <c r="AC168" s="68"/>
      <c r="AD168" s="480"/>
    </row>
    <row r="169" spans="1:30" ht="14.1" customHeight="1">
      <c r="A169" s="471"/>
      <c r="B169" s="392"/>
      <c r="C169" s="55"/>
      <c r="D169" s="472"/>
      <c r="E169" s="472"/>
      <c r="F169" s="473"/>
      <c r="G169" s="464">
        <f>ABS(D168-D170)*60</f>
        <v>0</v>
      </c>
      <c r="H169" s="464"/>
      <c r="I169" s="477">
        <f>ABS(H168-H170)*60</f>
        <v>0</v>
      </c>
      <c r="J169" s="478">
        <f>ABS(F168-F170)</f>
        <v>0</v>
      </c>
      <c r="K169" s="479" t="e">
        <f>IF(AND(D168&lt;D170,H168=H170),0,IF(AND(D168&gt;D170,H168=H170),180,IF(AND(D168=D170,H168&lt;H170),90,IF(AND(D168=D170,H168&gt;H170),270,(ATAN(I169/J169)*180/PI())))))</f>
        <v>#DIV/0!</v>
      </c>
      <c r="L169" s="472" t="e">
        <f>IF(OR(K169=0,K169=90,K169=180,K169=270),K169,IF(AND(D168&lt;D170,H168&lt;H170),K169,IF(AND(D168&lt;D170,H168&gt;H170),360-K169,IF(AND(D168&gt;D170,H168&lt;H170),180-K169,IF(AND(D168&gt;D170,H168&gt;H170),180+K169)))))</f>
        <v>#DIV/0!</v>
      </c>
      <c r="M169" s="472">
        <f>(IF(I169=0,G169,IF(G169=0,COS(D170*PI()/180)*I169,G169/COS(K169*PI()/180))))</f>
        <v>0</v>
      </c>
      <c r="N169" s="468" t="str">
        <f>IF(C171="","",ROUND(L169,1))</f>
        <v/>
      </c>
      <c r="O169" s="469" t="str">
        <f>IF(C171="","",ROUND(M169,1))</f>
        <v/>
      </c>
      <c r="P169" s="353"/>
      <c r="Q169" s="465"/>
      <c r="R169" s="465"/>
      <c r="S169" s="64"/>
      <c r="T169" s="64" t="s">
        <v>24</v>
      </c>
      <c r="U169" s="358"/>
      <c r="V169" s="470" t="e">
        <f>(O169/P169+U169/60)/24</f>
        <v>#VALUE!</v>
      </c>
      <c r="W169" s="466"/>
      <c r="X169" s="64"/>
      <c r="Y169" s="65"/>
      <c r="Z169" s="64"/>
      <c r="AA169" s="64"/>
      <c r="AB169" s="53"/>
      <c r="AC169" s="69"/>
      <c r="AD169" s="480"/>
    </row>
    <row r="170" spans="1:30" ht="14.1" customHeight="1">
      <c r="A170" s="471" t="str">
        <f>IF(B170="","",A168+1)</f>
        <v/>
      </c>
      <c r="B170" s="392"/>
      <c r="C170" s="54"/>
      <c r="D170" s="472">
        <f>TRUNC(C170)+((C170-TRUNC(C170))/0.6)</f>
        <v>0</v>
      </c>
      <c r="E170" s="472">
        <f>TRUNC(C171)+((C171-TRUNC(C171))/0.6)</f>
        <v>0</v>
      </c>
      <c r="F170" s="473">
        <f>ROUND(((LOG10(TAN(PI()/4+(D170/2*PI()/180)))*7915.7046)-(3437.7468*((0.0816968^2*SIN(D170*PI()/180))+(0.0816968^4/3*((SIN(D170*PI()/180))^3))+(0.0816968^6/5*((SIN(D170*PI()/180))^5))))),2)</f>
        <v>0</v>
      </c>
      <c r="G170" s="464"/>
      <c r="H170" s="464">
        <f>IF(E170&lt;0,E170+360,E170)</f>
        <v>0</v>
      </c>
      <c r="I170" s="477"/>
      <c r="J170" s="478"/>
      <c r="K170" s="479"/>
      <c r="L170" s="472"/>
      <c r="M170" s="472"/>
      <c r="N170" s="468"/>
      <c r="O170" s="469"/>
      <c r="P170" s="353"/>
      <c r="Q170" s="465" t="str">
        <f>IF(O169="","",Q168+O169)</f>
        <v/>
      </c>
      <c r="R170" s="465" t="str">
        <f>IF(O169="","",R168-O169)</f>
        <v/>
      </c>
      <c r="S170" s="61"/>
      <c r="T170" s="61" t="s">
        <v>25</v>
      </c>
      <c r="U170" s="355"/>
      <c r="V170" s="470"/>
      <c r="W170" s="466" t="str">
        <f>IF(P169="","",W168+V169)</f>
        <v/>
      </c>
      <c r="X170" s="61"/>
      <c r="Y170" s="61"/>
      <c r="Z170" s="61"/>
      <c r="AA170" s="61"/>
      <c r="AB170" s="52"/>
      <c r="AC170" s="68"/>
      <c r="AD170" s="480"/>
    </row>
    <row r="171" spans="1:30" ht="14.1" customHeight="1">
      <c r="A171" s="471"/>
      <c r="B171" s="392"/>
      <c r="C171" s="55"/>
      <c r="D171" s="472"/>
      <c r="E171" s="472"/>
      <c r="F171" s="473"/>
      <c r="G171" s="464">
        <f>ABS(D170-D172)*60</f>
        <v>0</v>
      </c>
      <c r="H171" s="464"/>
      <c r="I171" s="477">
        <f>ABS(H170-H172)*60</f>
        <v>0</v>
      </c>
      <c r="J171" s="478">
        <f>ABS(F170-F172)</f>
        <v>0</v>
      </c>
      <c r="K171" s="479" t="e">
        <f>IF(AND(D170&lt;D172,H170=H172),0,IF(AND(D170&gt;D172,H170=H172),180,IF(AND(D170=D172,H170&lt;H172),90,IF(AND(D170=D172,H170&gt;H172),270,(ATAN(I171/J171)*180/PI())))))</f>
        <v>#DIV/0!</v>
      </c>
      <c r="L171" s="472" t="e">
        <f>IF(OR(K171=0,K171=90,K171=180,K171=270),K171,IF(AND(D170&lt;D172,H170&lt;H172),K171,IF(AND(D170&lt;D172,H170&gt;H172),360-K171,IF(AND(D170&gt;D172,H170&lt;H172),180-K171,IF(AND(D170&gt;D172,H170&gt;H172),180+K171)))))</f>
        <v>#DIV/0!</v>
      </c>
      <c r="M171" s="472">
        <f>(IF(I171=0,G171,IF(G171=0,COS(D172*PI()/180)*I171,G171/COS(K171*PI()/180))))</f>
        <v>0</v>
      </c>
      <c r="N171" s="468" t="str">
        <f>IF(C173="","",ROUND(L171,1))</f>
        <v/>
      </c>
      <c r="O171" s="469" t="str">
        <f>IF(C173="","",ROUND(M171,1))</f>
        <v/>
      </c>
      <c r="P171" s="353"/>
      <c r="Q171" s="465"/>
      <c r="R171" s="465"/>
      <c r="S171" s="64"/>
      <c r="T171" s="64" t="s">
        <v>23</v>
      </c>
      <c r="U171" s="358"/>
      <c r="V171" s="470" t="e">
        <f>(O171/P171+U171/60)/24</f>
        <v>#VALUE!</v>
      </c>
      <c r="W171" s="466"/>
      <c r="X171" s="64"/>
      <c r="Y171" s="65"/>
      <c r="Z171" s="64"/>
      <c r="AA171" s="64"/>
      <c r="AB171" s="53"/>
      <c r="AC171" s="69"/>
      <c r="AD171" s="480"/>
    </row>
    <row r="172" spans="1:30" ht="14.1" customHeight="1">
      <c r="A172" s="471" t="str">
        <f>IF(B172="","",A170+1)</f>
        <v/>
      </c>
      <c r="B172" s="392"/>
      <c r="C172" s="54"/>
      <c r="D172" s="472">
        <f>TRUNC(C172)+((C172-TRUNC(C172))/0.6)</f>
        <v>0</v>
      </c>
      <c r="E172" s="472">
        <f>TRUNC(C173)+((C173-TRUNC(C173))/0.6)</f>
        <v>0</v>
      </c>
      <c r="F172" s="473">
        <f>ROUND(((LOG10(TAN(PI()/4+(D172/2*PI()/180)))*7915.7046)-(3437.7468*((0.0816968^2*SIN(D172*PI()/180))+(0.0816968^4/3*((SIN(D172*PI()/180))^3))+(0.0816968^6/5*((SIN(D172*PI()/180))^5))))),2)</f>
        <v>0</v>
      </c>
      <c r="G172" s="464"/>
      <c r="H172" s="464">
        <f>IF(E172&lt;0,E172+360,E172)</f>
        <v>0</v>
      </c>
      <c r="I172" s="477"/>
      <c r="J172" s="478"/>
      <c r="K172" s="479"/>
      <c r="L172" s="472"/>
      <c r="M172" s="472"/>
      <c r="N172" s="468"/>
      <c r="O172" s="469"/>
      <c r="P172" s="353"/>
      <c r="Q172" s="465" t="str">
        <f>IF(O171="","",Q170+O171)</f>
        <v/>
      </c>
      <c r="R172" s="465" t="str">
        <f>IF(O171="","",R170-O171)</f>
        <v/>
      </c>
      <c r="S172" s="61"/>
      <c r="T172" s="61" t="s">
        <v>25</v>
      </c>
      <c r="U172" s="355"/>
      <c r="V172" s="470"/>
      <c r="W172" s="466" t="str">
        <f>IF(P171="","",W170+V171)</f>
        <v/>
      </c>
      <c r="X172" s="61"/>
      <c r="Y172" s="61"/>
      <c r="Z172" s="61"/>
      <c r="AA172" s="61"/>
      <c r="AB172" s="52"/>
      <c r="AC172" s="68"/>
      <c r="AD172" s="480"/>
    </row>
    <row r="173" spans="1:30" ht="14.1" customHeight="1">
      <c r="A173" s="471"/>
      <c r="B173" s="392"/>
      <c r="C173" s="55"/>
      <c r="D173" s="472"/>
      <c r="E173" s="472"/>
      <c r="F173" s="473"/>
      <c r="G173" s="464">
        <f>ABS(D172-D174)*60</f>
        <v>0</v>
      </c>
      <c r="H173" s="464"/>
      <c r="I173" s="477">
        <f>ABS(H172-H174)*60</f>
        <v>0</v>
      </c>
      <c r="J173" s="478">
        <f>ABS(F172-F174)</f>
        <v>0</v>
      </c>
      <c r="K173" s="479" t="e">
        <f>IF(AND(D172&lt;D174,H172=H174),0,IF(AND(D172&gt;D174,H172=H174),180,IF(AND(D172=D174,H172&lt;H174),90,IF(AND(D172=D174,H172&gt;H174),270,(ATAN(I173/J173)*180/PI())))))</f>
        <v>#DIV/0!</v>
      </c>
      <c r="L173" s="472" t="e">
        <f>IF(OR(K173=0,K173=90,K173=180,K173=270),K173,IF(AND(D172&lt;D174,H172&lt;H174),K173,IF(AND(D172&lt;D174,H172&gt;H174),360-K173,IF(AND(D172&gt;D174,H172&lt;H174),180-K173,IF(AND(D172&gt;D174,H172&gt;H174),180+K173)))))</f>
        <v>#DIV/0!</v>
      </c>
      <c r="M173" s="472">
        <f>(IF(I173=0,G173,IF(G173=0,COS(D174*PI()/180)*I173,G173/COS(K173*PI()/180))))</f>
        <v>0</v>
      </c>
      <c r="N173" s="468" t="str">
        <f>IF(C175="","",ROUND(L173,1))</f>
        <v/>
      </c>
      <c r="O173" s="469" t="str">
        <f>IF(C175="","",ROUND(M173,1))</f>
        <v/>
      </c>
      <c r="P173" s="353"/>
      <c r="Q173" s="465"/>
      <c r="R173" s="465"/>
      <c r="S173" s="64"/>
      <c r="T173" s="64" t="s">
        <v>22</v>
      </c>
      <c r="U173" s="358"/>
      <c r="V173" s="470" t="e">
        <f>(O173/P173+U173/60)/24</f>
        <v>#VALUE!</v>
      </c>
      <c r="W173" s="466"/>
      <c r="X173" s="64"/>
      <c r="Y173" s="65"/>
      <c r="Z173" s="64"/>
      <c r="AA173" s="64"/>
      <c r="AB173" s="53"/>
      <c r="AC173" s="69"/>
      <c r="AD173" s="480"/>
    </row>
    <row r="174" spans="1:30" ht="14.1" customHeight="1">
      <c r="A174" s="471" t="str">
        <f>IF(B174="","",A172+1)</f>
        <v/>
      </c>
      <c r="B174" s="392"/>
      <c r="C174" s="54"/>
      <c r="D174" s="472">
        <f>TRUNC(C174)+((C174-TRUNC(C174))/0.6)</f>
        <v>0</v>
      </c>
      <c r="E174" s="472">
        <f>TRUNC(C175)+((C175-TRUNC(C175))/0.6)</f>
        <v>0</v>
      </c>
      <c r="F174" s="473">
        <f>ROUND(((LOG10(TAN(PI()/4+(D174/2*PI()/180)))*7915.7046)-(3437.7468*((0.0816968^2*SIN(D174*PI()/180))+(0.0816968^4/3*((SIN(D174*PI()/180))^3))+(0.0816968^6/5*((SIN(D174*PI()/180))^5))))),2)</f>
        <v>0</v>
      </c>
      <c r="G174" s="464"/>
      <c r="H174" s="464">
        <f>IF(E174&lt;0,E174+360,E174)</f>
        <v>0</v>
      </c>
      <c r="I174" s="477"/>
      <c r="J174" s="478"/>
      <c r="K174" s="479"/>
      <c r="L174" s="472"/>
      <c r="M174" s="472"/>
      <c r="N174" s="468"/>
      <c r="O174" s="469"/>
      <c r="P174" s="353"/>
      <c r="Q174" s="465" t="str">
        <f>IF(O173="","",Q172+O173)</f>
        <v/>
      </c>
      <c r="R174" s="465" t="str">
        <f>IF(O173="","",R172-O173)</f>
        <v/>
      </c>
      <c r="S174" s="61"/>
      <c r="T174" s="61" t="s">
        <v>25</v>
      </c>
      <c r="U174" s="355"/>
      <c r="V174" s="470"/>
      <c r="W174" s="466" t="str">
        <f>IF(P173="","",W172+V173)</f>
        <v/>
      </c>
      <c r="X174" s="61"/>
      <c r="Y174" s="61"/>
      <c r="Z174" s="61"/>
      <c r="AA174" s="61"/>
      <c r="AB174" s="52"/>
      <c r="AC174" s="68"/>
      <c r="AD174" s="480"/>
    </row>
    <row r="175" spans="1:30" ht="14.1" customHeight="1">
      <c r="A175" s="471"/>
      <c r="B175" s="392"/>
      <c r="C175" s="55"/>
      <c r="D175" s="472"/>
      <c r="E175" s="472"/>
      <c r="F175" s="473"/>
      <c r="G175" s="464">
        <f>ABS(D174-D176)*60</f>
        <v>0</v>
      </c>
      <c r="H175" s="464"/>
      <c r="I175" s="477">
        <f>ABS(H174-H176)*60</f>
        <v>0</v>
      </c>
      <c r="J175" s="478">
        <f>ABS(F174-F176)</f>
        <v>0</v>
      </c>
      <c r="K175" s="479" t="e">
        <f>IF(AND(D174&lt;D176,H174=H176),0,IF(AND(D174&gt;D176,H174=H176),180,IF(AND(D174=D176,H174&lt;H176),90,IF(AND(D174=D176,H174&gt;H176),270,(ATAN(I175/J175)*180/PI())))))</f>
        <v>#DIV/0!</v>
      </c>
      <c r="L175" s="472" t="e">
        <f>IF(OR(K175=0,K175=90,K175=180,K175=270),K175,IF(AND(D174&lt;D176,H174&lt;H176),K175,IF(AND(D174&lt;D176,H174&gt;H176),360-K175,IF(AND(D174&gt;D176,H174&lt;H176),180-K175,IF(AND(D174&gt;D176,H174&gt;H176),180+K175)))))</f>
        <v>#DIV/0!</v>
      </c>
      <c r="M175" s="472">
        <f>(IF(I175=0,G175,IF(G175=0,COS(D176*PI()/180)*I175,G175/COS(K175*PI()/180))))</f>
        <v>0</v>
      </c>
      <c r="N175" s="468" t="str">
        <f>IF(C177="","",ROUND(L175,1))</f>
        <v/>
      </c>
      <c r="O175" s="469" t="str">
        <f>IF(C177="","",ROUND(M175,1))</f>
        <v/>
      </c>
      <c r="P175" s="353"/>
      <c r="Q175" s="465"/>
      <c r="R175" s="465"/>
      <c r="S175" s="64"/>
      <c r="T175" s="64" t="s">
        <v>22</v>
      </c>
      <c r="U175" s="358"/>
      <c r="V175" s="470" t="e">
        <f>(O175/P175+U175/60)/24</f>
        <v>#VALUE!</v>
      </c>
      <c r="W175" s="466"/>
      <c r="X175" s="64"/>
      <c r="Y175" s="65"/>
      <c r="Z175" s="64"/>
      <c r="AA175" s="64"/>
      <c r="AB175" s="53"/>
      <c r="AC175" s="69"/>
      <c r="AD175" s="480"/>
    </row>
    <row r="176" spans="1:30" ht="14.1" customHeight="1">
      <c r="A176" s="471" t="str">
        <f>IF(B176="","",A174+1)</f>
        <v/>
      </c>
      <c r="B176" s="392"/>
      <c r="C176" s="54"/>
      <c r="D176" s="472">
        <f>TRUNC(C176)+((C176-TRUNC(C176))/0.6)</f>
        <v>0</v>
      </c>
      <c r="E176" s="472">
        <f>TRUNC(C177)+((C177-TRUNC(C177))/0.6)</f>
        <v>0</v>
      </c>
      <c r="F176" s="473">
        <f>ROUND(((LOG10(TAN(PI()/4+(D176/2*PI()/180)))*7915.7046)-(3437.7468*((0.0816968^2*SIN(D176*PI()/180))+(0.0816968^4/3*((SIN(D176*PI()/180))^3))+(0.0816968^6/5*((SIN(D176*PI()/180))^5))))),2)</f>
        <v>0</v>
      </c>
      <c r="G176" s="464"/>
      <c r="H176" s="464">
        <f>IF(E176&lt;0,E176+360,E176)</f>
        <v>0</v>
      </c>
      <c r="I176" s="477"/>
      <c r="J176" s="478"/>
      <c r="K176" s="479"/>
      <c r="L176" s="472"/>
      <c r="M176" s="472"/>
      <c r="N176" s="468"/>
      <c r="O176" s="469"/>
      <c r="P176" s="353"/>
      <c r="Q176" s="465" t="str">
        <f>IF(O175="","",Q174+O175)</f>
        <v/>
      </c>
      <c r="R176" s="465" t="str">
        <f>IF(O175="","",R174-O175)</f>
        <v/>
      </c>
      <c r="S176" s="61"/>
      <c r="T176" s="61" t="s">
        <v>25</v>
      </c>
      <c r="U176" s="355"/>
      <c r="V176" s="470"/>
      <c r="W176" s="466" t="str">
        <f>IF(P175="","",W174+V175)</f>
        <v/>
      </c>
      <c r="X176" s="61"/>
      <c r="Y176" s="61"/>
      <c r="Z176" s="61"/>
      <c r="AA176" s="61"/>
      <c r="AB176" s="52"/>
      <c r="AC176" s="68"/>
      <c r="AD176" s="480"/>
    </row>
    <row r="177" spans="1:31" ht="14.1" customHeight="1">
      <c r="A177" s="471"/>
      <c r="B177" s="392"/>
      <c r="C177" s="55"/>
      <c r="D177" s="472"/>
      <c r="E177" s="472"/>
      <c r="F177" s="473"/>
      <c r="G177" s="464">
        <f>ABS(D176-D178)*60</f>
        <v>0</v>
      </c>
      <c r="H177" s="464"/>
      <c r="I177" s="477">
        <f>ABS(H176-H178)*60</f>
        <v>0</v>
      </c>
      <c r="J177" s="478">
        <f>ABS(F176-F178)</f>
        <v>0</v>
      </c>
      <c r="K177" s="479" t="e">
        <f>IF(AND(D176&lt;D178,H176=H178),0,IF(AND(D176&gt;D178,H176=H178),180,IF(AND(D176=D178,H176&lt;H178),90,IF(AND(D176=D178,H176&gt;H178),270,(ATAN(I177/J177)*180/PI())))))</f>
        <v>#DIV/0!</v>
      </c>
      <c r="L177" s="472" t="e">
        <f>IF(OR(K177=0,K177=90,K177=180,K177=270),K177,IF(AND(D176&lt;D178,H176&lt;H178),K177,IF(AND(D176&lt;D178,H176&gt;H178),360-K177,IF(AND(D176&gt;D178,H176&lt;H178),180-K177,IF(AND(D176&gt;D178,H176&gt;H178),180+K177)))))</f>
        <v>#DIV/0!</v>
      </c>
      <c r="M177" s="472">
        <f>(IF(I177=0,G177,IF(G177=0,COS(D178*PI()/180)*I177,G177/COS(K177*PI()/180))))</f>
        <v>0</v>
      </c>
      <c r="N177" s="468" t="str">
        <f>IF(C179="","",ROUND(L177,1))</f>
        <v/>
      </c>
      <c r="O177" s="469" t="str">
        <f>IF(C179="","",ROUND(M177,1))</f>
        <v/>
      </c>
      <c r="P177" s="353"/>
      <c r="Q177" s="465"/>
      <c r="R177" s="465"/>
      <c r="S177" s="64"/>
      <c r="T177" s="64" t="s">
        <v>27</v>
      </c>
      <c r="U177" s="358"/>
      <c r="V177" s="470" t="e">
        <f>(O177/P177+U177/60)/24</f>
        <v>#VALUE!</v>
      </c>
      <c r="W177" s="466"/>
      <c r="X177" s="64"/>
      <c r="Y177" s="65"/>
      <c r="Z177" s="64"/>
      <c r="AA177" s="64"/>
      <c r="AB177" s="53"/>
      <c r="AC177" s="69"/>
      <c r="AD177" s="480"/>
      <c r="AE177" s="13" t="s">
        <v>28</v>
      </c>
    </row>
    <row r="178" spans="1:31" ht="14.1" customHeight="1">
      <c r="A178" s="471" t="str">
        <f>IF(B178="","",A176+1)</f>
        <v/>
      </c>
      <c r="B178" s="392"/>
      <c r="C178" s="54"/>
      <c r="D178" s="472">
        <f>TRUNC(C178)+((C178-TRUNC(C178))/0.6)</f>
        <v>0</v>
      </c>
      <c r="E178" s="472">
        <f>TRUNC(C179)+((C179-TRUNC(C179))/0.6)</f>
        <v>0</v>
      </c>
      <c r="F178" s="473">
        <f>ROUND(((LOG10(TAN(PI()/4+(D178/2*PI()/180)))*7915.7046)-(3437.7468*((0.0816968^2*SIN(D178*PI()/180))+(0.0816968^4/3*((SIN(D178*PI()/180))^3))+(0.0816968^6/5*((SIN(D178*PI()/180))^5))))),2)</f>
        <v>0</v>
      </c>
      <c r="G178" s="464"/>
      <c r="H178" s="464">
        <f>IF(E178&lt;0,E178+360,E178)</f>
        <v>0</v>
      </c>
      <c r="I178" s="477"/>
      <c r="J178" s="478"/>
      <c r="K178" s="479"/>
      <c r="L178" s="472"/>
      <c r="M178" s="472"/>
      <c r="N178" s="468"/>
      <c r="O178" s="469"/>
      <c r="P178" s="353"/>
      <c r="Q178" s="465" t="str">
        <f>IF(O177="","",Q176+O177)</f>
        <v/>
      </c>
      <c r="R178" s="465" t="str">
        <f>IF(O177="","",R176-O177)</f>
        <v/>
      </c>
      <c r="S178" s="61"/>
      <c r="T178" s="61" t="s">
        <v>25</v>
      </c>
      <c r="U178" s="355"/>
      <c r="V178" s="470"/>
      <c r="W178" s="466" t="str">
        <f>IF(P177="","",W176+V177)</f>
        <v/>
      </c>
      <c r="X178" s="61"/>
      <c r="Y178" s="61"/>
      <c r="Z178" s="61"/>
      <c r="AA178" s="61"/>
      <c r="AB178" s="52"/>
      <c r="AC178" s="68"/>
      <c r="AD178" s="481"/>
    </row>
    <row r="179" spans="1:31" ht="14.1" customHeight="1">
      <c r="A179" s="471"/>
      <c r="B179" s="392"/>
      <c r="C179" s="55"/>
      <c r="D179" s="472"/>
      <c r="E179" s="472"/>
      <c r="F179" s="473"/>
      <c r="G179" s="464">
        <f>ABS(D178-D180)*60</f>
        <v>0</v>
      </c>
      <c r="H179" s="464"/>
      <c r="I179" s="477">
        <f>ABS(H178-H180)*60</f>
        <v>0</v>
      </c>
      <c r="J179" s="478">
        <f>ABS(F178-F180)</f>
        <v>0</v>
      </c>
      <c r="K179" s="479" t="e">
        <f>IF(AND(D178&lt;D180,H178=H180),0,IF(AND(D178&gt;D180,H178=H180),180,IF(AND(D178=D180,H178&lt;H180),90,IF(AND(D178=D180,H178&gt;H180),270,(ATAN(I179/J179)*180/PI())))))</f>
        <v>#DIV/0!</v>
      </c>
      <c r="L179" s="472" t="e">
        <f>IF(OR(K179=0,K179=90,K179=180,K179=270),K179,IF(AND(D178&lt;D180,H178&lt;H180),K179,IF(AND(D178&lt;D180,H178&gt;H180),360-K179,IF(AND(D178&gt;D180,H178&lt;H180),180-K179,IF(AND(D178&gt;D180,H178&gt;H180),180+K179)))))</f>
        <v>#DIV/0!</v>
      </c>
      <c r="M179" s="472">
        <f>(IF(I179=0,G179,IF(G179=0,COS(D180*PI()/180)*I179,G179/COS(K179*PI()/180))))</f>
        <v>0</v>
      </c>
      <c r="N179" s="468" t="str">
        <f>IF(C181="","",ROUND(L179,1))</f>
        <v/>
      </c>
      <c r="O179" s="469" t="str">
        <f>IF(C181="","",ROUND(M179,1))</f>
        <v/>
      </c>
      <c r="P179" s="353"/>
      <c r="Q179" s="465"/>
      <c r="R179" s="465"/>
      <c r="S179" s="64"/>
      <c r="T179" s="64" t="s">
        <v>27</v>
      </c>
      <c r="U179" s="358"/>
      <c r="V179" s="470" t="e">
        <f>(O179/P179+U179/60)/24</f>
        <v>#VALUE!</v>
      </c>
      <c r="W179" s="466"/>
      <c r="X179" s="64"/>
      <c r="Y179" s="65"/>
      <c r="Z179" s="64"/>
      <c r="AA179" s="64"/>
      <c r="AB179" s="53"/>
      <c r="AC179" s="69"/>
      <c r="AD179" s="481"/>
    </row>
    <row r="180" spans="1:31" ht="14.1" customHeight="1">
      <c r="A180" s="471" t="str">
        <f>IF(B180="","",A178+1)</f>
        <v/>
      </c>
      <c r="B180" s="392"/>
      <c r="C180" s="54"/>
      <c r="D180" s="472">
        <f>TRUNC(C180)+((C180-TRUNC(C180))/0.6)</f>
        <v>0</v>
      </c>
      <c r="E180" s="472">
        <f>TRUNC(C181)+((C181-TRUNC(C181))/0.6)</f>
        <v>0</v>
      </c>
      <c r="F180" s="473">
        <f>ROUND(((LOG10(TAN(PI()/4+(D180/2*PI()/180)))*7915.7046)-(3437.7468*((0.0816968^2*SIN(D180*PI()/180))+(0.0816968^4/3*((SIN(D180*PI()/180))^3))+(0.0816968^6/5*((SIN(D180*PI()/180))^5))))),2)</f>
        <v>0</v>
      </c>
      <c r="G180" s="464"/>
      <c r="H180" s="464">
        <f>IF(E180&lt;0,E180+360,E180)</f>
        <v>0</v>
      </c>
      <c r="I180" s="477"/>
      <c r="J180" s="478"/>
      <c r="K180" s="479"/>
      <c r="L180" s="472"/>
      <c r="M180" s="472"/>
      <c r="N180" s="468"/>
      <c r="O180" s="469"/>
      <c r="P180" s="353"/>
      <c r="Q180" s="465" t="str">
        <f>IF(O179="","",Q178+O179)</f>
        <v/>
      </c>
      <c r="R180" s="465" t="str">
        <f>IF(O179="","",R178-O179)</f>
        <v/>
      </c>
      <c r="S180" s="61"/>
      <c r="T180" s="61" t="s">
        <v>26</v>
      </c>
      <c r="U180" s="355"/>
      <c r="V180" s="470"/>
      <c r="W180" s="466" t="str">
        <f>IF(P179="","",W178+V179)</f>
        <v/>
      </c>
      <c r="X180" s="61"/>
      <c r="Y180" s="61"/>
      <c r="Z180" s="61"/>
      <c r="AA180" s="61"/>
      <c r="AB180" s="52"/>
      <c r="AC180" s="68"/>
      <c r="AD180" s="480"/>
    </row>
    <row r="181" spans="1:31" ht="14.1" customHeight="1">
      <c r="A181" s="471"/>
      <c r="B181" s="392"/>
      <c r="C181" s="55"/>
      <c r="D181" s="472"/>
      <c r="E181" s="472"/>
      <c r="F181" s="473"/>
      <c r="G181" s="464">
        <f>ABS(D180-D182)*60</f>
        <v>0</v>
      </c>
      <c r="H181" s="464"/>
      <c r="I181" s="477">
        <f>ABS(H180-H182)*60</f>
        <v>0</v>
      </c>
      <c r="J181" s="478">
        <f>ABS(F180-F182)</f>
        <v>0</v>
      </c>
      <c r="K181" s="479" t="e">
        <f>IF(AND(D180&lt;D182,H180=H182),0,IF(AND(D180&gt;D182,H180=H182),180,IF(AND(D180=D182,H180&lt;H182),90,IF(AND(D180=D182,H180&gt;H182),270,(ATAN(I181/J181)*180/PI())))))</f>
        <v>#DIV/0!</v>
      </c>
      <c r="L181" s="472" t="e">
        <f>IF(OR(K181=0,K181=90,K181=180,K181=270),K181,IF(AND(D180&lt;D182,H180&lt;H182),K181,IF(AND(D180&lt;D182,H180&gt;H182),360-K181,IF(AND(D180&gt;D182,H180&lt;H182),180-K181,IF(AND(D180&gt;D182,H180&gt;H182),180+K181)))))</f>
        <v>#DIV/0!</v>
      </c>
      <c r="M181" s="472">
        <f>(IF(I181=0,G181,IF(G181=0,COS(D182*PI()/180)*I181,G181/COS(K181*PI()/180))))</f>
        <v>0</v>
      </c>
      <c r="N181" s="468" t="str">
        <f>IF(C183="","",ROUND(L181,1))</f>
        <v/>
      </c>
      <c r="O181" s="469" t="str">
        <f>IF(C183="","",ROUND(M181,1))</f>
        <v/>
      </c>
      <c r="P181" s="353"/>
      <c r="Q181" s="465"/>
      <c r="R181" s="465"/>
      <c r="S181" s="64"/>
      <c r="T181" s="64" t="s">
        <v>29</v>
      </c>
      <c r="U181" s="358"/>
      <c r="V181" s="470" t="e">
        <f>(O181/P181+U181/60)/24</f>
        <v>#VALUE!</v>
      </c>
      <c r="W181" s="466"/>
      <c r="X181" s="64"/>
      <c r="Y181" s="65"/>
      <c r="Z181" s="64"/>
      <c r="AA181" s="64"/>
      <c r="AB181" s="53"/>
      <c r="AC181" s="69"/>
      <c r="AD181" s="480"/>
    </row>
    <row r="182" spans="1:31" ht="14.1" customHeight="1">
      <c r="A182" s="471" t="str">
        <f>IF(B182="","",A180+1)</f>
        <v/>
      </c>
      <c r="B182" s="394"/>
      <c r="C182" s="54"/>
      <c r="D182" s="472">
        <f>TRUNC(C182)+((C182-TRUNC(C182))/0.6)</f>
        <v>0</v>
      </c>
      <c r="E182" s="472">
        <f>TRUNC(C183)+((C183-TRUNC(C183))/0.6)</f>
        <v>0</v>
      </c>
      <c r="F182" s="473">
        <f>ROUND(((LOG10(TAN(PI()/4+(D182/2*PI()/180)))*7915.7046)-(3437.7468*((0.0816968^2*SIN(D182*PI()/180))+(0.0816968^4/3*((SIN(D182*PI()/180))^3))+(0.0816968^6/5*((SIN(D182*PI()/180))^5))))),2)</f>
        <v>0</v>
      </c>
      <c r="G182" s="464"/>
      <c r="H182" s="464">
        <f>IF(E182&lt;0,E182+360,E182)</f>
        <v>0</v>
      </c>
      <c r="I182" s="477"/>
      <c r="J182" s="478"/>
      <c r="K182" s="479"/>
      <c r="L182" s="472"/>
      <c r="M182" s="472"/>
      <c r="N182" s="468"/>
      <c r="O182" s="469"/>
      <c r="P182" s="353"/>
      <c r="Q182" s="465" t="str">
        <f>IF(O181="","",Q180+O181)</f>
        <v/>
      </c>
      <c r="R182" s="465" t="str">
        <f>IF(O181="","",R180-O181)</f>
        <v/>
      </c>
      <c r="S182" s="61"/>
      <c r="T182" s="61" t="s">
        <v>26</v>
      </c>
      <c r="U182" s="355"/>
      <c r="V182" s="470"/>
      <c r="W182" s="466" t="str">
        <f>IF(P181="","",W180+V181)</f>
        <v/>
      </c>
      <c r="X182" s="61"/>
      <c r="Y182" s="61"/>
      <c r="Z182" s="61"/>
      <c r="AA182" s="61"/>
      <c r="AB182" s="52"/>
      <c r="AC182" s="68"/>
      <c r="AD182" s="481" t="s">
        <v>28</v>
      </c>
    </row>
    <row r="183" spans="1:31" ht="14.1" customHeight="1">
      <c r="A183" s="471"/>
      <c r="B183" s="395"/>
      <c r="C183" s="55"/>
      <c r="D183" s="472"/>
      <c r="E183" s="472"/>
      <c r="F183" s="473"/>
      <c r="G183" s="464">
        <f>ABS(D182-D184)*60</f>
        <v>0</v>
      </c>
      <c r="H183" s="464"/>
      <c r="I183" s="477">
        <f>ABS(H182-H184)*60</f>
        <v>0</v>
      </c>
      <c r="J183" s="478">
        <f>ABS(F182-F184)</f>
        <v>0</v>
      </c>
      <c r="K183" s="479" t="e">
        <f>IF(AND(D182&lt;D184,H182=H184),0,IF(AND(D182&gt;D184,H182=H184),180,IF(AND(D182=D184,H182&lt;H184),90,IF(AND(D182=D184,H182&gt;H184),270,(ATAN(I183/J183)*180/PI())))))</f>
        <v>#DIV/0!</v>
      </c>
      <c r="L183" s="472" t="e">
        <f>IF(OR(K183=0,K183=90,K183=180,K183=270),K183,IF(AND(D182&lt;D184,H182&lt;H184),K183,IF(AND(D182&lt;D184,H182&gt;H184),360-K183,IF(AND(D182&gt;D184,H182&lt;H184),180-K183,IF(AND(D182&gt;D184,H182&gt;H184),180+K183)))))</f>
        <v>#DIV/0!</v>
      </c>
      <c r="M183" s="472">
        <f>(IF(I183=0,G183,IF(G183=0,COS(D184*PI()/180)*I183,G183/COS(K183*PI()/180))))</f>
        <v>0</v>
      </c>
      <c r="N183" s="468" t="str">
        <f>IF(C185="","",ROUND(L183,1))</f>
        <v/>
      </c>
      <c r="O183" s="469" t="str">
        <f>IF(C185="","",ROUND(M183,1))</f>
        <v/>
      </c>
      <c r="P183" s="353"/>
      <c r="Q183" s="465"/>
      <c r="R183" s="465"/>
      <c r="S183" s="64"/>
      <c r="T183" s="64" t="s">
        <v>29</v>
      </c>
      <c r="U183" s="358"/>
      <c r="V183" s="470" t="e">
        <f>(O183/P183+U183/60)/24</f>
        <v>#VALUE!</v>
      </c>
      <c r="W183" s="466"/>
      <c r="X183" s="64"/>
      <c r="Y183" s="65"/>
      <c r="Z183" s="64"/>
      <c r="AA183" s="64"/>
      <c r="AB183" s="53"/>
      <c r="AC183" s="69"/>
      <c r="AD183" s="481"/>
    </row>
    <row r="184" spans="1:31" ht="14.1" customHeight="1">
      <c r="A184" s="471" t="str">
        <f>IF(B184="","",A182+1)</f>
        <v/>
      </c>
      <c r="B184" s="394"/>
      <c r="C184" s="54"/>
      <c r="D184" s="472">
        <f>TRUNC(C184)+((C184-TRUNC(C184))/0.6)</f>
        <v>0</v>
      </c>
      <c r="E184" s="472">
        <f>TRUNC(C185)+((C185-TRUNC(C185))/0.6)</f>
        <v>0</v>
      </c>
      <c r="F184" s="473">
        <f>ROUND(((LOG10(TAN(PI()/4+(D184/2*PI()/180)))*7915.7046)-(3437.7468*((0.0816968^2*SIN(D184*PI()/180))+(0.0816968^4/3*((SIN(D184*PI()/180))^3))+(0.0816968^6/5*((SIN(D184*PI()/180))^5))))),2)</f>
        <v>0</v>
      </c>
      <c r="G184" s="464"/>
      <c r="H184" s="464">
        <f>IF(E184&lt;0,E184+360,E184)</f>
        <v>0</v>
      </c>
      <c r="I184" s="477"/>
      <c r="J184" s="478"/>
      <c r="K184" s="479"/>
      <c r="L184" s="472"/>
      <c r="M184" s="472"/>
      <c r="N184" s="468"/>
      <c r="O184" s="469"/>
      <c r="P184" s="353"/>
      <c r="Q184" s="465" t="str">
        <f>IF(O183="","",Q182+O183)</f>
        <v/>
      </c>
      <c r="R184" s="465" t="str">
        <f>IF(O183="","",R182-O183)</f>
        <v/>
      </c>
      <c r="S184" s="61"/>
      <c r="T184" s="61" t="s">
        <v>25</v>
      </c>
      <c r="U184" s="355"/>
      <c r="V184" s="470"/>
      <c r="W184" s="466" t="str">
        <f>IF(P183="","",W182+V183)</f>
        <v/>
      </c>
      <c r="X184" s="61"/>
      <c r="Y184" s="61"/>
      <c r="Z184" s="61"/>
      <c r="AA184" s="61"/>
      <c r="AB184" s="52"/>
      <c r="AC184" s="68"/>
      <c r="AD184" s="480" t="s">
        <v>28</v>
      </c>
    </row>
    <row r="185" spans="1:31" ht="14.1" customHeight="1">
      <c r="A185" s="471"/>
      <c r="B185" s="395"/>
      <c r="C185" s="55"/>
      <c r="D185" s="472"/>
      <c r="E185" s="472"/>
      <c r="F185" s="473"/>
      <c r="G185" s="464">
        <f>ABS(D184-D186)*60</f>
        <v>0</v>
      </c>
      <c r="H185" s="464"/>
      <c r="I185" s="477">
        <f>ABS(H184-H186)*60</f>
        <v>0</v>
      </c>
      <c r="J185" s="478">
        <f>ABS(F184-F186)</f>
        <v>0</v>
      </c>
      <c r="K185" s="479" t="e">
        <f>IF(AND(D184&lt;D186,H184=H186),0,IF(AND(D184&gt;D186,H184=H186),180,IF(AND(D184=D186,H184&lt;H186),90,IF(AND(D184=D186,H184&gt;H186),270,(ATAN(I185/J185)*180/PI())))))</f>
        <v>#DIV/0!</v>
      </c>
      <c r="L185" s="472" t="e">
        <f>IF(OR(K185=0,K185=90,K185=180,K185=270),K185,IF(AND(D184&lt;D186,H184&lt;H186),K185,IF(AND(D184&lt;D186,H184&gt;H186),360-K185,IF(AND(D184&gt;D186,H184&lt;H186),180-K185,IF(AND(D184&gt;D186,H184&gt;H186),180+K185)))))</f>
        <v>#DIV/0!</v>
      </c>
      <c r="M185" s="472">
        <f>(IF(I185=0,G185,IF(G185=0,COS(D186*PI()/180)*I185,G185/COS(K185*PI()/180))))</f>
        <v>0</v>
      </c>
      <c r="N185" s="468" t="str">
        <f>IF(C187="","",ROUND(L185,1))</f>
        <v/>
      </c>
      <c r="O185" s="469" t="str">
        <f>IF(C187="","",ROUND(M185,1))</f>
        <v/>
      </c>
      <c r="P185" s="353"/>
      <c r="Q185" s="465"/>
      <c r="R185" s="465"/>
      <c r="S185" s="64"/>
      <c r="T185" s="64" t="s">
        <v>27</v>
      </c>
      <c r="U185" s="358"/>
      <c r="V185" s="470" t="e">
        <f>(O185/P185+U185/60)/24</f>
        <v>#VALUE!</v>
      </c>
      <c r="W185" s="466"/>
      <c r="X185" s="64"/>
      <c r="Y185" s="65"/>
      <c r="Z185" s="64"/>
      <c r="AA185" s="64"/>
      <c r="AB185" s="53"/>
      <c r="AC185" s="69"/>
      <c r="AD185" s="480"/>
    </row>
    <row r="186" spans="1:31" s="1" customFormat="1" ht="18" customHeight="1">
      <c r="A186" s="471" t="str">
        <f t="shared" ref="A186" si="9">IF(B186="","",A184+1)</f>
        <v/>
      </c>
      <c r="B186" s="394"/>
      <c r="C186" s="54"/>
      <c r="D186" s="472">
        <f>TRUNC(C186)+((C186-TRUNC(C186))/0.6)</f>
        <v>0</v>
      </c>
      <c r="E186" s="472">
        <f>TRUNC(C187)+((C187-TRUNC(C187))/0.6)</f>
        <v>0</v>
      </c>
      <c r="F186" s="473">
        <f>ROUND(((LOG10(TAN(PI()/4+(D186/2*PI()/180)))*7915.7046)-(3437.7468*((0.0816968^2*SIN(D186*PI()/180))+(0.0816968^4/3*((SIN(D186*PI()/180))^3))+(0.0816968^6/5*((SIN(D186*PI()/180))^5))))),2)</f>
        <v>0</v>
      </c>
      <c r="G186" s="464"/>
      <c r="H186" s="464">
        <f>IF(E186&lt;0,E186+360,E186)</f>
        <v>0</v>
      </c>
      <c r="I186" s="477"/>
      <c r="J186" s="478"/>
      <c r="K186" s="479"/>
      <c r="L186" s="472"/>
      <c r="M186" s="472"/>
      <c r="N186" s="468"/>
      <c r="O186" s="469"/>
      <c r="P186" s="353"/>
      <c r="Q186" s="465" t="str">
        <f>IF(O185="","",Q184+O185)</f>
        <v/>
      </c>
      <c r="R186" s="465" t="str">
        <f>IF(O185="","",R184-O185)</f>
        <v/>
      </c>
      <c r="S186" s="61"/>
      <c r="T186" s="61" t="s">
        <v>25</v>
      </c>
      <c r="U186" s="355"/>
      <c r="V186" s="470"/>
      <c r="W186" s="466" t="str">
        <f>IF(P185="","",W184+V185)</f>
        <v/>
      </c>
      <c r="X186" s="61"/>
      <c r="Y186" s="61"/>
      <c r="Z186" s="61"/>
      <c r="AA186" s="61"/>
      <c r="AB186" s="52"/>
      <c r="AC186" s="68"/>
      <c r="AD186" s="480"/>
    </row>
    <row r="187" spans="1:31" ht="13.5" customHeight="1">
      <c r="A187" s="471"/>
      <c r="B187" s="395"/>
      <c r="C187" s="55"/>
      <c r="D187" s="472"/>
      <c r="E187" s="472"/>
      <c r="F187" s="473"/>
      <c r="G187" s="464">
        <f>ABS(D186-D188)*60</f>
        <v>0</v>
      </c>
      <c r="H187" s="464"/>
      <c r="I187" s="477">
        <f>ABS(H186-H188)*60</f>
        <v>0</v>
      </c>
      <c r="J187" s="478">
        <f>ABS(F186-F188)</f>
        <v>0</v>
      </c>
      <c r="K187" s="479" t="e">
        <f>IF(AND(D186&lt;D188,H186=H188),0,IF(AND(D186&gt;D188,H186=H188),180,IF(AND(D186=D188,H186&lt;H188),90,IF(AND(D186=D188,H186&gt;H188),270,(ATAN(I187/J187)*180/PI())))))</f>
        <v>#DIV/0!</v>
      </c>
      <c r="L187" s="472" t="e">
        <f>IF(OR(K187=0,K187=90,K187=180,K187=270),K187,IF(AND(D186&lt;D188,H186&lt;H188),K187,IF(AND(D186&lt;D188,H186&gt;H188),360-K187,IF(AND(D186&gt;D188,H186&lt;H188),180-K187,IF(AND(D186&gt;D188,H186&gt;H188),180+K187)))))</f>
        <v>#DIV/0!</v>
      </c>
      <c r="M187" s="472">
        <f>(IF(I187=0,G187,IF(G187=0,COS(D188*PI()/180)*I187,G187/COS(K187*PI()/180))))</f>
        <v>0</v>
      </c>
      <c r="N187" s="468" t="str">
        <f>IF(C189="","",ROUND(L187,1))</f>
        <v/>
      </c>
      <c r="O187" s="469" t="str">
        <f>IF(C189="","",ROUND(M187,1))</f>
        <v/>
      </c>
      <c r="P187" s="353"/>
      <c r="Q187" s="465"/>
      <c r="R187" s="465"/>
      <c r="S187" s="64"/>
      <c r="T187" s="64" t="s">
        <v>22</v>
      </c>
      <c r="U187" s="358"/>
      <c r="V187" s="470" t="e">
        <f>(O187/P187+U187/60)/24</f>
        <v>#VALUE!</v>
      </c>
      <c r="W187" s="466"/>
      <c r="X187" s="64"/>
      <c r="Y187" s="65"/>
      <c r="Z187" s="64"/>
      <c r="AA187" s="64"/>
      <c r="AB187" s="53"/>
      <c r="AC187" s="69"/>
      <c r="AD187" s="480"/>
    </row>
    <row r="188" spans="1:31" s="89" customFormat="1" ht="14.1" customHeight="1">
      <c r="A188" s="471" t="str">
        <f t="shared" ref="A188" si="10">IF(B188="","",A186+1)</f>
        <v/>
      </c>
      <c r="B188" s="348"/>
      <c r="C188" s="54"/>
      <c r="D188" s="472">
        <f>TRUNC(C188)+((C188-TRUNC(C188))/0.6)</f>
        <v>0</v>
      </c>
      <c r="E188" s="472">
        <f>TRUNC(C189)+((C189-TRUNC(C189))/0.6)</f>
        <v>0</v>
      </c>
      <c r="F188" s="473">
        <f>ROUND(((LOG10(TAN(PI()/4+(D188/2*PI()/180)))*7915.7046)-(3437.7468*((0.0816968^2*SIN(D188*PI()/180))+(0.0816968^4/3*((SIN(D188*PI()/180))^3))+(0.0816968^6/5*((SIN(D188*PI()/180))^5))))),2)</f>
        <v>0</v>
      </c>
      <c r="G188" s="464"/>
      <c r="H188" s="464">
        <f>IF(E188&lt;0,E188+360,E188)</f>
        <v>0</v>
      </c>
      <c r="I188" s="477"/>
      <c r="J188" s="478"/>
      <c r="K188" s="479"/>
      <c r="L188" s="472"/>
      <c r="M188" s="472"/>
      <c r="N188" s="468"/>
      <c r="O188" s="469"/>
      <c r="P188" s="353"/>
      <c r="Q188" s="465" t="str">
        <f>IF(O187="","",Q186+O187)</f>
        <v/>
      </c>
      <c r="R188" s="465" t="str">
        <f>IF(O187="","",R186-O187)</f>
        <v/>
      </c>
      <c r="S188" s="61"/>
      <c r="T188" s="61" t="s">
        <v>25</v>
      </c>
      <c r="U188" s="355"/>
      <c r="V188" s="470"/>
      <c r="W188" s="466" t="str">
        <f>IF(P187="","",W186+V187)</f>
        <v/>
      </c>
      <c r="X188" s="61"/>
      <c r="Y188" s="61"/>
      <c r="Z188" s="61"/>
      <c r="AA188" s="61"/>
      <c r="AB188" s="52"/>
      <c r="AC188" s="68"/>
      <c r="AD188" s="474" t="s">
        <v>71</v>
      </c>
    </row>
    <row r="189" spans="1:31" ht="14.1" customHeight="1">
      <c r="A189" s="471"/>
      <c r="B189" s="349"/>
      <c r="C189" s="55"/>
      <c r="D189" s="472"/>
      <c r="E189" s="472"/>
      <c r="F189" s="473"/>
      <c r="G189" s="464">
        <f>ABS(D188-D190)*60</f>
        <v>0</v>
      </c>
      <c r="H189" s="464"/>
      <c r="I189" s="477">
        <f>ABS(H188-H190)*60</f>
        <v>0</v>
      </c>
      <c r="J189" s="478">
        <f>ABS(F188-F190)</f>
        <v>0</v>
      </c>
      <c r="K189" s="479" t="e">
        <f>IF(AND(D188&lt;D190,H188=H190),0,IF(AND(D188&gt;D190,H188=H190),180,IF(AND(D188=D190,H188&lt;H190),90,IF(AND(D188=D190,H188&gt;H190),270,(ATAN(I189/J189)*180/PI())))))</f>
        <v>#DIV/0!</v>
      </c>
      <c r="L189" s="472" t="e">
        <f>IF(OR(K189=0,K189=90,K189=180,K189=270),K189,IF(AND(D188&lt;D190,H188&lt;H190),K189,IF(AND(D188&lt;D190,H188&gt;H190),360-K189,IF(AND(D188&gt;D190,H188&lt;H190),180-K189,IF(AND(D188&gt;D190,H188&gt;H190),180+K189)))))</f>
        <v>#DIV/0!</v>
      </c>
      <c r="M189" s="472">
        <f>(IF(I189=0,G189,IF(G189=0,COS(D190*PI()/180)*I189,G189/COS(K189*PI()/180))))</f>
        <v>0</v>
      </c>
      <c r="N189" s="468" t="str">
        <f>IF(C191="","",ROUND(L189,1))</f>
        <v/>
      </c>
      <c r="O189" s="469" t="str">
        <f>IF(C191="","",ROUND(M189,1))</f>
        <v/>
      </c>
      <c r="P189" s="353"/>
      <c r="Q189" s="465"/>
      <c r="R189" s="465"/>
      <c r="S189" s="64"/>
      <c r="T189" s="64" t="s">
        <v>23</v>
      </c>
      <c r="U189" s="358"/>
      <c r="V189" s="470" t="e">
        <f>(O189/P189+U189/60)/24</f>
        <v>#VALUE!</v>
      </c>
      <c r="W189" s="466"/>
      <c r="X189" s="64"/>
      <c r="Y189" s="65"/>
      <c r="Z189" s="64"/>
      <c r="AA189" s="64"/>
      <c r="AB189" s="53"/>
      <c r="AC189" s="69"/>
      <c r="AD189" s="475"/>
    </row>
    <row r="190" spans="1:31" ht="14.1" customHeight="1">
      <c r="A190" s="471" t="str">
        <f t="shared" ref="A190" si="11">IF(B190="","",A188+1)</f>
        <v/>
      </c>
      <c r="B190" s="392"/>
      <c r="C190" s="54"/>
      <c r="D190" s="472">
        <f>TRUNC(C190)+((C190-TRUNC(C190))/0.6)</f>
        <v>0</v>
      </c>
      <c r="E190" s="472">
        <f>TRUNC(C191)+((C191-TRUNC(C191))/0.6)</f>
        <v>0</v>
      </c>
      <c r="F190" s="473">
        <f>ROUND(((LOG10(TAN(PI()/4+(D190/2*PI()/180)))*7915.7046)-(3437.7468*((0.0816968^2*SIN(D190*PI()/180))+(0.0816968^4/3*((SIN(D190*PI()/180))^3))+(0.0816968^6/5*((SIN(D190*PI()/180))^5))))),2)</f>
        <v>0</v>
      </c>
      <c r="G190" s="464"/>
      <c r="H190" s="464">
        <f>IF(E190&lt;0,E190+360,E190)</f>
        <v>0</v>
      </c>
      <c r="I190" s="477"/>
      <c r="J190" s="478"/>
      <c r="K190" s="479"/>
      <c r="L190" s="472"/>
      <c r="M190" s="472"/>
      <c r="N190" s="468"/>
      <c r="O190" s="469"/>
      <c r="P190" s="353"/>
      <c r="Q190" s="465" t="str">
        <f>IF(O189="","",Q188+O189)</f>
        <v/>
      </c>
      <c r="R190" s="465"/>
      <c r="S190" s="61"/>
      <c r="T190" s="61"/>
      <c r="U190" s="355"/>
      <c r="V190" s="470"/>
      <c r="W190" s="466" t="str">
        <f>IF(P189="","",W188+V189)</f>
        <v/>
      </c>
      <c r="X190" s="61"/>
      <c r="Y190" s="61"/>
      <c r="Z190" s="61"/>
      <c r="AA190" s="61"/>
      <c r="AB190" s="52"/>
      <c r="AC190" s="68"/>
      <c r="AD190" s="475"/>
    </row>
    <row r="191" spans="1:31" ht="14.1" customHeight="1">
      <c r="A191" s="471"/>
      <c r="B191" s="392"/>
      <c r="C191" s="55"/>
      <c r="D191" s="472"/>
      <c r="E191" s="472"/>
      <c r="F191" s="473"/>
      <c r="G191" s="66"/>
      <c r="H191" s="464"/>
      <c r="I191" s="66"/>
      <c r="J191" s="66"/>
      <c r="K191" s="66"/>
      <c r="L191" s="66"/>
      <c r="M191" s="66"/>
      <c r="N191" s="59"/>
      <c r="O191" s="60"/>
      <c r="P191" s="60"/>
      <c r="Q191" s="465"/>
      <c r="R191" s="465"/>
      <c r="S191" s="64"/>
      <c r="T191" s="64"/>
      <c r="U191" s="62"/>
      <c r="V191" s="63"/>
      <c r="W191" s="466"/>
      <c r="X191" s="64"/>
      <c r="Y191" s="65"/>
      <c r="Z191" s="64"/>
      <c r="AA191" s="64"/>
      <c r="AB191" s="53"/>
      <c r="AC191" s="69"/>
      <c r="AD191" s="476"/>
    </row>
    <row r="192" spans="1:31" ht="14.1" customHeight="1">
      <c r="A192" s="467"/>
      <c r="B192" s="467"/>
      <c r="C192" s="467"/>
      <c r="D192" s="467"/>
      <c r="E192" s="467"/>
      <c r="F192" s="467"/>
      <c r="G192" s="467"/>
      <c r="H192" s="467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  <c r="AA192" s="467"/>
      <c r="AB192" s="467"/>
      <c r="AC192" s="467"/>
      <c r="AD192" s="467"/>
    </row>
    <row r="193" spans="1:30" ht="14.1" customHeight="1">
      <c r="A193" s="467"/>
      <c r="B193" s="467"/>
      <c r="C193" s="467"/>
      <c r="D193" s="467"/>
      <c r="E193" s="467"/>
      <c r="F193" s="467"/>
      <c r="G193" s="467"/>
      <c r="H193" s="467"/>
      <c r="I193" s="467"/>
      <c r="J193" s="467"/>
      <c r="K193" s="467"/>
      <c r="L193" s="467"/>
      <c r="M193" s="467"/>
      <c r="N193" s="467"/>
      <c r="O193" s="467"/>
      <c r="P193" s="467"/>
      <c r="Q193" s="467"/>
      <c r="R193" s="467"/>
      <c r="S193" s="467"/>
      <c r="T193" s="467"/>
      <c r="U193" s="467"/>
      <c r="V193" s="467"/>
      <c r="W193" s="467"/>
      <c r="X193" s="467"/>
      <c r="Y193" s="467"/>
      <c r="Z193" s="467"/>
      <c r="AA193" s="467"/>
      <c r="AB193" s="467"/>
      <c r="AC193" s="467"/>
      <c r="AD193" s="467"/>
    </row>
    <row r="194" spans="1:30" ht="14.1" customHeight="1">
      <c r="A194" s="467"/>
      <c r="B194" s="467"/>
      <c r="C194" s="467"/>
      <c r="D194" s="467"/>
      <c r="E194" s="467"/>
      <c r="F194" s="467"/>
      <c r="G194" s="467"/>
      <c r="H194" s="467"/>
      <c r="I194" s="467"/>
      <c r="J194" s="467"/>
      <c r="K194" s="467"/>
      <c r="L194" s="467"/>
      <c r="M194" s="467"/>
      <c r="N194" s="467"/>
      <c r="O194" s="467"/>
      <c r="P194" s="467"/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  <c r="AA194" s="467"/>
      <c r="AB194" s="467"/>
      <c r="AC194" s="467"/>
      <c r="AD194" s="467"/>
    </row>
    <row r="195" spans="1:30" ht="14.1" customHeight="1"/>
    <row r="196" spans="1:30" ht="14.1" customHeight="1"/>
    <row r="197" spans="1:30" ht="14.1" customHeight="1"/>
    <row r="198" spans="1:30" ht="14.1" customHeight="1"/>
    <row r="199" spans="1:30" ht="14.1" customHeight="1"/>
    <row r="200" spans="1:30" ht="14.1" customHeight="1"/>
    <row r="201" spans="1:30" ht="14.1" customHeight="1"/>
    <row r="202" spans="1:30" ht="14.1" customHeight="1"/>
    <row r="203" spans="1:30" ht="14.1" customHeight="1"/>
    <row r="204" spans="1:30" ht="14.1" customHeight="1"/>
    <row r="205" spans="1:30" ht="14.1" customHeight="1"/>
    <row r="206" spans="1:30" ht="14.1" customHeight="1"/>
    <row r="207" spans="1:30" ht="14.1" customHeight="1"/>
    <row r="208" spans="1:30" ht="14.1" customHeight="1"/>
    <row r="209" s="13" customFormat="1" ht="14.1" customHeight="1"/>
    <row r="210" s="13" customFormat="1" ht="14.1" customHeight="1"/>
    <row r="211" s="13" customFormat="1" ht="14.1" customHeight="1"/>
    <row r="212" s="13" customFormat="1" ht="14.1" customHeight="1"/>
    <row r="213" s="13" customFormat="1" ht="14.1" customHeight="1"/>
    <row r="214" s="13" customFormat="1" ht="14.1" customHeight="1"/>
    <row r="215" s="13" customFormat="1" ht="14.1" customHeight="1"/>
    <row r="216" s="13" customFormat="1" ht="14.1" customHeight="1"/>
    <row r="217" s="13" customFormat="1" ht="14.1" customHeight="1"/>
    <row r="218" s="13" customFormat="1" ht="14.1" customHeight="1"/>
    <row r="219" s="13" customFormat="1" ht="14.1" customHeight="1"/>
    <row r="220" s="13" customFormat="1" ht="14.1" customHeight="1"/>
    <row r="221" s="13" customFormat="1" ht="14.1" customHeight="1"/>
    <row r="222" s="13" customFormat="1" ht="14.1" customHeight="1"/>
    <row r="223" s="13" customFormat="1" ht="14.1" customHeight="1"/>
    <row r="224" s="13" customFormat="1" ht="14.1" customHeight="1"/>
    <row r="225" s="13" customFormat="1" ht="14.1" customHeight="1"/>
    <row r="226" s="13" customFormat="1" ht="14.1" customHeight="1"/>
    <row r="227" s="13" customFormat="1" ht="14.1" customHeight="1"/>
    <row r="228" s="13" customFormat="1" ht="14.1" customHeight="1"/>
    <row r="229" s="13" customFormat="1" ht="14.1" customHeight="1"/>
  </sheetData>
  <sheetProtection selectLockedCells="1" selectUnlockedCells="1"/>
  <mergeCells count="1688">
    <mergeCell ref="R5:R8"/>
    <mergeCell ref="U5:U8"/>
    <mergeCell ref="W5:W8"/>
    <mergeCell ref="AB5:AB8"/>
    <mergeCell ref="AD5:AD8"/>
    <mergeCell ref="A9:A10"/>
    <mergeCell ref="B9:B10"/>
    <mergeCell ref="D9:D10"/>
    <mergeCell ref="E9:E10"/>
    <mergeCell ref="F9:F10"/>
    <mergeCell ref="A5:A8"/>
    <mergeCell ref="B5:C8"/>
    <mergeCell ref="N5:N8"/>
    <mergeCell ref="O5:O8"/>
    <mergeCell ref="P5:P8"/>
    <mergeCell ref="Q5:Q8"/>
    <mergeCell ref="A1:AD1"/>
    <mergeCell ref="A2:AD2"/>
    <mergeCell ref="A3:B3"/>
    <mergeCell ref="N3:O3"/>
    <mergeCell ref="R3:U3"/>
    <mergeCell ref="V3:Z3"/>
    <mergeCell ref="AA3:AC3"/>
    <mergeCell ref="N10:N11"/>
    <mergeCell ref="O10:O11"/>
    <mergeCell ref="P10:P11"/>
    <mergeCell ref="U10:U11"/>
    <mergeCell ref="V10:V11"/>
    <mergeCell ref="Q11:Q12"/>
    <mergeCell ref="R11:R12"/>
    <mergeCell ref="P12:P13"/>
    <mergeCell ref="U12:U13"/>
    <mergeCell ref="A17:A18"/>
    <mergeCell ref="B17:B18"/>
    <mergeCell ref="D17:D18"/>
    <mergeCell ref="E17:E18"/>
    <mergeCell ref="F17:F18"/>
    <mergeCell ref="H17:H18"/>
    <mergeCell ref="Q17:Q18"/>
    <mergeCell ref="H9:H10"/>
    <mergeCell ref="Q9:Q10"/>
    <mergeCell ref="R9:R10"/>
    <mergeCell ref="W9:W10"/>
    <mergeCell ref="AD9:AD10"/>
    <mergeCell ref="G10:G11"/>
    <mergeCell ref="I10:I11"/>
    <mergeCell ref="J10:J11"/>
    <mergeCell ref="K10:K11"/>
    <mergeCell ref="L10:L11"/>
    <mergeCell ref="K14:K15"/>
    <mergeCell ref="L14:L15"/>
    <mergeCell ref="M14:M15"/>
    <mergeCell ref="N14:N15"/>
    <mergeCell ref="O14:O15"/>
    <mergeCell ref="V12:V13"/>
    <mergeCell ref="A13:A14"/>
    <mergeCell ref="B13:B14"/>
    <mergeCell ref="D13:D14"/>
    <mergeCell ref="E13:E14"/>
    <mergeCell ref="F13:F14"/>
    <mergeCell ref="H13:H14"/>
    <mergeCell ref="Q13:Q14"/>
    <mergeCell ref="R13:R14"/>
    <mergeCell ref="P14:P15"/>
    <mergeCell ref="A15:A16"/>
    <mergeCell ref="B15:B16"/>
    <mergeCell ref="D15:D16"/>
    <mergeCell ref="E15:E16"/>
    <mergeCell ref="F15:F16"/>
    <mergeCell ref="H15:H16"/>
    <mergeCell ref="Q15:Q16"/>
    <mergeCell ref="R15:R16"/>
    <mergeCell ref="W13:W14"/>
    <mergeCell ref="AD13:AD14"/>
    <mergeCell ref="G14:G15"/>
    <mergeCell ref="I14:I15"/>
    <mergeCell ref="J14:J15"/>
    <mergeCell ref="M12:M13"/>
    <mergeCell ref="N12:N13"/>
    <mergeCell ref="O12:O13"/>
    <mergeCell ref="A11:A12"/>
    <mergeCell ref="B11:B12"/>
    <mergeCell ref="D11:D12"/>
    <mergeCell ref="E11:E12"/>
    <mergeCell ref="F11:F12"/>
    <mergeCell ref="H11:H12"/>
    <mergeCell ref="M10:M11"/>
    <mergeCell ref="W11:W12"/>
    <mergeCell ref="AD11:AD12"/>
    <mergeCell ref="G12:G13"/>
    <mergeCell ref="I12:I13"/>
    <mergeCell ref="J12:J13"/>
    <mergeCell ref="K12:K13"/>
    <mergeCell ref="L12:L13"/>
    <mergeCell ref="D19:D20"/>
    <mergeCell ref="E19:E20"/>
    <mergeCell ref="F19:F20"/>
    <mergeCell ref="H19:H20"/>
    <mergeCell ref="R17:R18"/>
    <mergeCell ref="W17:W18"/>
    <mergeCell ref="AD17:AD18"/>
    <mergeCell ref="G18:G19"/>
    <mergeCell ref="I18:I19"/>
    <mergeCell ref="J18:J19"/>
    <mergeCell ref="K18:K19"/>
    <mergeCell ref="L18:L19"/>
    <mergeCell ref="M18:M19"/>
    <mergeCell ref="N18:N19"/>
    <mergeCell ref="P16:P17"/>
    <mergeCell ref="U16:U17"/>
    <mergeCell ref="V16:V17"/>
    <mergeCell ref="W15:W16"/>
    <mergeCell ref="AD15:AD16"/>
    <mergeCell ref="G16:G17"/>
    <mergeCell ref="I16:I17"/>
    <mergeCell ref="J16:J17"/>
    <mergeCell ref="K16:K17"/>
    <mergeCell ref="L16:L17"/>
    <mergeCell ref="M16:M17"/>
    <mergeCell ref="N16:N17"/>
    <mergeCell ref="O16:O17"/>
    <mergeCell ref="U14:U15"/>
    <mergeCell ref="V14:V15"/>
    <mergeCell ref="AD21:AD22"/>
    <mergeCell ref="G22:G23"/>
    <mergeCell ref="I22:I23"/>
    <mergeCell ref="J22:J23"/>
    <mergeCell ref="K22:K23"/>
    <mergeCell ref="L22:L23"/>
    <mergeCell ref="N20:N21"/>
    <mergeCell ref="O20:O21"/>
    <mergeCell ref="P20:P21"/>
    <mergeCell ref="U20:U21"/>
    <mergeCell ref="V20:V21"/>
    <mergeCell ref="A21:A22"/>
    <mergeCell ref="B21:B22"/>
    <mergeCell ref="D21:D22"/>
    <mergeCell ref="E21:E22"/>
    <mergeCell ref="F21:F22"/>
    <mergeCell ref="Q19:Q20"/>
    <mergeCell ref="R19:R20"/>
    <mergeCell ref="W19:W20"/>
    <mergeCell ref="AD19:AD20"/>
    <mergeCell ref="G20:G21"/>
    <mergeCell ref="I20:I21"/>
    <mergeCell ref="J20:J21"/>
    <mergeCell ref="K20:K21"/>
    <mergeCell ref="L20:L21"/>
    <mergeCell ref="M20:M21"/>
    <mergeCell ref="O18:O19"/>
    <mergeCell ref="P18:P19"/>
    <mergeCell ref="U18:U19"/>
    <mergeCell ref="V18:V19"/>
    <mergeCell ref="A19:A20"/>
    <mergeCell ref="B19:B20"/>
    <mergeCell ref="E23:E24"/>
    <mergeCell ref="F23:F24"/>
    <mergeCell ref="H23:H24"/>
    <mergeCell ref="M22:M23"/>
    <mergeCell ref="N22:N23"/>
    <mergeCell ref="O22:O23"/>
    <mergeCell ref="P22:P23"/>
    <mergeCell ref="U22:U23"/>
    <mergeCell ref="V22:V23"/>
    <mergeCell ref="Q23:Q24"/>
    <mergeCell ref="R23:R24"/>
    <mergeCell ref="P24:P25"/>
    <mergeCell ref="U24:U25"/>
    <mergeCell ref="H21:H22"/>
    <mergeCell ref="Q21:Q22"/>
    <mergeCell ref="R21:R22"/>
    <mergeCell ref="W21:W22"/>
    <mergeCell ref="AD25:AD26"/>
    <mergeCell ref="G26:G27"/>
    <mergeCell ref="I26:I27"/>
    <mergeCell ref="J26:J27"/>
    <mergeCell ref="K26:K27"/>
    <mergeCell ref="L26:L27"/>
    <mergeCell ref="M26:M27"/>
    <mergeCell ref="N26:N27"/>
    <mergeCell ref="O26:O27"/>
    <mergeCell ref="V24:V25"/>
    <mergeCell ref="A25:A26"/>
    <mergeCell ref="B25:B26"/>
    <mergeCell ref="D25:D26"/>
    <mergeCell ref="E25:E26"/>
    <mergeCell ref="F25:F26"/>
    <mergeCell ref="H25:H26"/>
    <mergeCell ref="Q25:Q26"/>
    <mergeCell ref="R25:R26"/>
    <mergeCell ref="P26:P27"/>
    <mergeCell ref="W23:W24"/>
    <mergeCell ref="AD23:AD24"/>
    <mergeCell ref="G24:G25"/>
    <mergeCell ref="I24:I25"/>
    <mergeCell ref="J24:J25"/>
    <mergeCell ref="K24:K25"/>
    <mergeCell ref="L24:L25"/>
    <mergeCell ref="M24:M25"/>
    <mergeCell ref="N24:N25"/>
    <mergeCell ref="O24:O25"/>
    <mergeCell ref="A23:A24"/>
    <mergeCell ref="B23:B24"/>
    <mergeCell ref="D23:D24"/>
    <mergeCell ref="J28:J29"/>
    <mergeCell ref="K28:K29"/>
    <mergeCell ref="L28:L29"/>
    <mergeCell ref="M28:M29"/>
    <mergeCell ref="N28:N29"/>
    <mergeCell ref="O28:O29"/>
    <mergeCell ref="U26:U27"/>
    <mergeCell ref="V26:V27"/>
    <mergeCell ref="A27:A28"/>
    <mergeCell ref="B27:B28"/>
    <mergeCell ref="D27:D28"/>
    <mergeCell ref="E27:E28"/>
    <mergeCell ref="F27:F28"/>
    <mergeCell ref="H27:H28"/>
    <mergeCell ref="Q27:Q28"/>
    <mergeCell ref="R27:R28"/>
    <mergeCell ref="W25:W26"/>
    <mergeCell ref="U30:U31"/>
    <mergeCell ref="V30:V31"/>
    <mergeCell ref="A31:A32"/>
    <mergeCell ref="B31:B32"/>
    <mergeCell ref="D31:D32"/>
    <mergeCell ref="E31:E32"/>
    <mergeCell ref="F31:F32"/>
    <mergeCell ref="H31:H32"/>
    <mergeCell ref="R29:R30"/>
    <mergeCell ref="W29:W30"/>
    <mergeCell ref="AD29:AD30"/>
    <mergeCell ref="G30:G31"/>
    <mergeCell ref="I30:I31"/>
    <mergeCell ref="J30:J31"/>
    <mergeCell ref="K30:K31"/>
    <mergeCell ref="L30:L31"/>
    <mergeCell ref="M30:M31"/>
    <mergeCell ref="N30:N31"/>
    <mergeCell ref="P28:P29"/>
    <mergeCell ref="U28:U29"/>
    <mergeCell ref="V28:V29"/>
    <mergeCell ref="A29:A30"/>
    <mergeCell ref="B29:B30"/>
    <mergeCell ref="D29:D30"/>
    <mergeCell ref="E29:E30"/>
    <mergeCell ref="F29:F30"/>
    <mergeCell ref="H29:H30"/>
    <mergeCell ref="Q29:Q30"/>
    <mergeCell ref="W27:W28"/>
    <mergeCell ref="AD27:AD28"/>
    <mergeCell ref="G28:G29"/>
    <mergeCell ref="I28:I29"/>
    <mergeCell ref="V34:V35"/>
    <mergeCell ref="Q35:Q36"/>
    <mergeCell ref="R35:R36"/>
    <mergeCell ref="P36:P37"/>
    <mergeCell ref="U36:U37"/>
    <mergeCell ref="H33:H34"/>
    <mergeCell ref="Q33:Q34"/>
    <mergeCell ref="R33:R34"/>
    <mergeCell ref="W33:W34"/>
    <mergeCell ref="AD33:AD34"/>
    <mergeCell ref="G34:G35"/>
    <mergeCell ref="I34:I35"/>
    <mergeCell ref="J34:J35"/>
    <mergeCell ref="K34:K35"/>
    <mergeCell ref="L34:L35"/>
    <mergeCell ref="N32:N33"/>
    <mergeCell ref="O32:O33"/>
    <mergeCell ref="P32:P33"/>
    <mergeCell ref="U32:U33"/>
    <mergeCell ref="V32:V33"/>
    <mergeCell ref="Q31:Q32"/>
    <mergeCell ref="R31:R32"/>
    <mergeCell ref="W31:W32"/>
    <mergeCell ref="AD31:AD32"/>
    <mergeCell ref="G32:G33"/>
    <mergeCell ref="I32:I33"/>
    <mergeCell ref="J32:J33"/>
    <mergeCell ref="K32:K33"/>
    <mergeCell ref="L32:L33"/>
    <mergeCell ref="M32:M33"/>
    <mergeCell ref="O30:O31"/>
    <mergeCell ref="P30:P31"/>
    <mergeCell ref="J36:J37"/>
    <mergeCell ref="K36:K37"/>
    <mergeCell ref="L36:L37"/>
    <mergeCell ref="M36:M37"/>
    <mergeCell ref="N36:N37"/>
    <mergeCell ref="O36:O37"/>
    <mergeCell ref="A35:A36"/>
    <mergeCell ref="B35:B36"/>
    <mergeCell ref="D35:D36"/>
    <mergeCell ref="E35:E36"/>
    <mergeCell ref="F35:F36"/>
    <mergeCell ref="H35:H36"/>
    <mergeCell ref="M34:M35"/>
    <mergeCell ref="N34:N35"/>
    <mergeCell ref="O34:O35"/>
    <mergeCell ref="P34:P35"/>
    <mergeCell ref="U34:U35"/>
    <mergeCell ref="A33:A34"/>
    <mergeCell ref="B33:B34"/>
    <mergeCell ref="D33:D34"/>
    <mergeCell ref="E33:E34"/>
    <mergeCell ref="F33:F34"/>
    <mergeCell ref="A39:A40"/>
    <mergeCell ref="B39:B40"/>
    <mergeCell ref="D39:D40"/>
    <mergeCell ref="E39:E40"/>
    <mergeCell ref="F39:F40"/>
    <mergeCell ref="H39:H40"/>
    <mergeCell ref="Q39:Q40"/>
    <mergeCell ref="R39:R40"/>
    <mergeCell ref="W37:W38"/>
    <mergeCell ref="AD37:AD38"/>
    <mergeCell ref="G38:G39"/>
    <mergeCell ref="I38:I39"/>
    <mergeCell ref="J38:J39"/>
    <mergeCell ref="K38:K39"/>
    <mergeCell ref="L38:L39"/>
    <mergeCell ref="M38:M39"/>
    <mergeCell ref="N38:N39"/>
    <mergeCell ref="O38:O39"/>
    <mergeCell ref="V36:V37"/>
    <mergeCell ref="A37:A38"/>
    <mergeCell ref="B37:B38"/>
    <mergeCell ref="D37:D38"/>
    <mergeCell ref="E37:E38"/>
    <mergeCell ref="F37:F38"/>
    <mergeCell ref="H37:H38"/>
    <mergeCell ref="Q37:Q38"/>
    <mergeCell ref="R37:R38"/>
    <mergeCell ref="P38:P39"/>
    <mergeCell ref="W35:W36"/>
    <mergeCell ref="AD35:AD36"/>
    <mergeCell ref="G36:G37"/>
    <mergeCell ref="I36:I37"/>
    <mergeCell ref="R41:R42"/>
    <mergeCell ref="W41:W42"/>
    <mergeCell ref="AD41:AD42"/>
    <mergeCell ref="G42:G43"/>
    <mergeCell ref="I42:I43"/>
    <mergeCell ref="J42:J43"/>
    <mergeCell ref="K42:K43"/>
    <mergeCell ref="L42:L43"/>
    <mergeCell ref="M42:M43"/>
    <mergeCell ref="N42:N43"/>
    <mergeCell ref="P40:P41"/>
    <mergeCell ref="U40:U41"/>
    <mergeCell ref="V40:V41"/>
    <mergeCell ref="A41:A42"/>
    <mergeCell ref="B41:B42"/>
    <mergeCell ref="D41:D42"/>
    <mergeCell ref="E41:E42"/>
    <mergeCell ref="F41:F42"/>
    <mergeCell ref="H41:H42"/>
    <mergeCell ref="Q41:Q42"/>
    <mergeCell ref="W39:W40"/>
    <mergeCell ref="AD39:AD40"/>
    <mergeCell ref="G40:G41"/>
    <mergeCell ref="I40:I41"/>
    <mergeCell ref="J40:J41"/>
    <mergeCell ref="K40:K41"/>
    <mergeCell ref="L40:L41"/>
    <mergeCell ref="M40:M41"/>
    <mergeCell ref="N40:N41"/>
    <mergeCell ref="O40:O41"/>
    <mergeCell ref="U38:U39"/>
    <mergeCell ref="V38:V39"/>
    <mergeCell ref="K46:K47"/>
    <mergeCell ref="L46:L47"/>
    <mergeCell ref="N44:N45"/>
    <mergeCell ref="O44:O45"/>
    <mergeCell ref="P44:P45"/>
    <mergeCell ref="U44:U45"/>
    <mergeCell ref="V44:V45"/>
    <mergeCell ref="A45:A46"/>
    <mergeCell ref="B45:B46"/>
    <mergeCell ref="D45:D46"/>
    <mergeCell ref="E45:E46"/>
    <mergeCell ref="F45:F46"/>
    <mergeCell ref="Q43:Q44"/>
    <mergeCell ref="R43:R44"/>
    <mergeCell ref="W43:W44"/>
    <mergeCell ref="AD43:AD44"/>
    <mergeCell ref="G44:G45"/>
    <mergeCell ref="I44:I45"/>
    <mergeCell ref="J44:J45"/>
    <mergeCell ref="K44:K45"/>
    <mergeCell ref="L44:L45"/>
    <mergeCell ref="M44:M45"/>
    <mergeCell ref="O42:O43"/>
    <mergeCell ref="P42:P43"/>
    <mergeCell ref="U42:U43"/>
    <mergeCell ref="V42:V43"/>
    <mergeCell ref="A43:A44"/>
    <mergeCell ref="B43:B44"/>
    <mergeCell ref="D43:D44"/>
    <mergeCell ref="E43:E44"/>
    <mergeCell ref="F43:F44"/>
    <mergeCell ref="H43:H44"/>
    <mergeCell ref="W47:W48"/>
    <mergeCell ref="B49:B50"/>
    <mergeCell ref="A52:AD53"/>
    <mergeCell ref="A54:A57"/>
    <mergeCell ref="B54:C57"/>
    <mergeCell ref="N54:N57"/>
    <mergeCell ref="O54:O57"/>
    <mergeCell ref="P54:P57"/>
    <mergeCell ref="Q54:Q57"/>
    <mergeCell ref="R54:R57"/>
    <mergeCell ref="A47:A48"/>
    <mergeCell ref="B47:B48"/>
    <mergeCell ref="D47:D48"/>
    <mergeCell ref="E47:E48"/>
    <mergeCell ref="F47:F48"/>
    <mergeCell ref="H47:H48"/>
    <mergeCell ref="M46:M47"/>
    <mergeCell ref="N46:N47"/>
    <mergeCell ref="O46:O47"/>
    <mergeCell ref="P46:P47"/>
    <mergeCell ref="U46:U47"/>
    <mergeCell ref="V46:V47"/>
    <mergeCell ref="Q47:Q48"/>
    <mergeCell ref="R47:R48"/>
    <mergeCell ref="H45:H46"/>
    <mergeCell ref="Q45:Q46"/>
    <mergeCell ref="R45:R46"/>
    <mergeCell ref="W45:W46"/>
    <mergeCell ref="AD45:AD48"/>
    <mergeCell ref="G46:G47"/>
    <mergeCell ref="I46:I47"/>
    <mergeCell ref="J46:J47"/>
    <mergeCell ref="A60:A61"/>
    <mergeCell ref="B60:B61"/>
    <mergeCell ref="D60:D61"/>
    <mergeCell ref="E60:E61"/>
    <mergeCell ref="F60:F61"/>
    <mergeCell ref="Q58:Q59"/>
    <mergeCell ref="R58:R59"/>
    <mergeCell ref="W58:W59"/>
    <mergeCell ref="AD58:AD59"/>
    <mergeCell ref="G59:G60"/>
    <mergeCell ref="I59:I60"/>
    <mergeCell ref="J59:J60"/>
    <mergeCell ref="K59:K60"/>
    <mergeCell ref="L59:L60"/>
    <mergeCell ref="M59:M60"/>
    <mergeCell ref="U54:U57"/>
    <mergeCell ref="W54:W57"/>
    <mergeCell ref="AB54:AB57"/>
    <mergeCell ref="AD54:AD57"/>
    <mergeCell ref="A58:A59"/>
    <mergeCell ref="B58:B59"/>
    <mergeCell ref="D58:D59"/>
    <mergeCell ref="E58:E59"/>
    <mergeCell ref="F58:F59"/>
    <mergeCell ref="H58:H59"/>
    <mergeCell ref="N61:N62"/>
    <mergeCell ref="O61:O62"/>
    <mergeCell ref="P61:P62"/>
    <mergeCell ref="U61:U62"/>
    <mergeCell ref="V61:V62"/>
    <mergeCell ref="Q62:Q63"/>
    <mergeCell ref="R62:R63"/>
    <mergeCell ref="P63:P64"/>
    <mergeCell ref="U63:U64"/>
    <mergeCell ref="H60:H61"/>
    <mergeCell ref="Q60:Q61"/>
    <mergeCell ref="R60:R61"/>
    <mergeCell ref="W60:W61"/>
    <mergeCell ref="AD60:AD61"/>
    <mergeCell ref="G61:G62"/>
    <mergeCell ref="I61:I62"/>
    <mergeCell ref="J61:J62"/>
    <mergeCell ref="K61:K62"/>
    <mergeCell ref="L61:L62"/>
    <mergeCell ref="N59:N60"/>
    <mergeCell ref="O59:O60"/>
    <mergeCell ref="P59:P60"/>
    <mergeCell ref="U59:U60"/>
    <mergeCell ref="V59:V60"/>
    <mergeCell ref="K65:K66"/>
    <mergeCell ref="L65:L66"/>
    <mergeCell ref="M65:M66"/>
    <mergeCell ref="N65:N66"/>
    <mergeCell ref="O65:O66"/>
    <mergeCell ref="V63:V64"/>
    <mergeCell ref="A64:A65"/>
    <mergeCell ref="B64:B65"/>
    <mergeCell ref="D64:D65"/>
    <mergeCell ref="E64:E65"/>
    <mergeCell ref="F64:F65"/>
    <mergeCell ref="H64:H65"/>
    <mergeCell ref="Q64:Q65"/>
    <mergeCell ref="R64:R65"/>
    <mergeCell ref="P65:P66"/>
    <mergeCell ref="W62:W63"/>
    <mergeCell ref="AD62:AD63"/>
    <mergeCell ref="G63:G64"/>
    <mergeCell ref="I63:I64"/>
    <mergeCell ref="J63:J64"/>
    <mergeCell ref="K63:K64"/>
    <mergeCell ref="L63:L64"/>
    <mergeCell ref="M63:M64"/>
    <mergeCell ref="N63:N64"/>
    <mergeCell ref="O63:O64"/>
    <mergeCell ref="A62:A63"/>
    <mergeCell ref="B62:B63"/>
    <mergeCell ref="D62:D63"/>
    <mergeCell ref="E62:E63"/>
    <mergeCell ref="F62:F63"/>
    <mergeCell ref="H62:H63"/>
    <mergeCell ref="M61:M62"/>
    <mergeCell ref="A68:A69"/>
    <mergeCell ref="B68:B69"/>
    <mergeCell ref="D68:D69"/>
    <mergeCell ref="E68:E69"/>
    <mergeCell ref="F68:F69"/>
    <mergeCell ref="H68:H69"/>
    <mergeCell ref="Q68:Q69"/>
    <mergeCell ref="W66:W67"/>
    <mergeCell ref="AD66:AD67"/>
    <mergeCell ref="G67:G68"/>
    <mergeCell ref="I67:I68"/>
    <mergeCell ref="J67:J68"/>
    <mergeCell ref="K67:K68"/>
    <mergeCell ref="L67:L68"/>
    <mergeCell ref="M67:M68"/>
    <mergeCell ref="N67:N68"/>
    <mergeCell ref="O67:O68"/>
    <mergeCell ref="U65:U66"/>
    <mergeCell ref="V65:V66"/>
    <mergeCell ref="A66:A67"/>
    <mergeCell ref="B66:B67"/>
    <mergeCell ref="D66:D67"/>
    <mergeCell ref="E66:E67"/>
    <mergeCell ref="F66:F67"/>
    <mergeCell ref="H66:H67"/>
    <mergeCell ref="Q66:Q67"/>
    <mergeCell ref="R66:R67"/>
    <mergeCell ref="W64:W65"/>
    <mergeCell ref="AD64:AD65"/>
    <mergeCell ref="G65:G66"/>
    <mergeCell ref="I65:I66"/>
    <mergeCell ref="J65:J66"/>
    <mergeCell ref="B70:B71"/>
    <mergeCell ref="D70:D71"/>
    <mergeCell ref="E70:E71"/>
    <mergeCell ref="F70:F71"/>
    <mergeCell ref="H70:H71"/>
    <mergeCell ref="R68:R69"/>
    <mergeCell ref="W68:W69"/>
    <mergeCell ref="AD68:AD69"/>
    <mergeCell ref="G69:G70"/>
    <mergeCell ref="I69:I70"/>
    <mergeCell ref="J69:J70"/>
    <mergeCell ref="K69:K70"/>
    <mergeCell ref="L69:L70"/>
    <mergeCell ref="M69:M70"/>
    <mergeCell ref="N69:N70"/>
    <mergeCell ref="P67:P68"/>
    <mergeCell ref="U67:U68"/>
    <mergeCell ref="V67:V68"/>
    <mergeCell ref="W72:W73"/>
    <mergeCell ref="AD72:AD73"/>
    <mergeCell ref="G73:G74"/>
    <mergeCell ref="I73:I74"/>
    <mergeCell ref="J73:J74"/>
    <mergeCell ref="K73:K74"/>
    <mergeCell ref="L73:L74"/>
    <mergeCell ref="N71:N72"/>
    <mergeCell ref="O71:O72"/>
    <mergeCell ref="P71:P72"/>
    <mergeCell ref="U71:U72"/>
    <mergeCell ref="V71:V72"/>
    <mergeCell ref="A72:A73"/>
    <mergeCell ref="B72:B73"/>
    <mergeCell ref="D72:D73"/>
    <mergeCell ref="E72:E73"/>
    <mergeCell ref="F72:F73"/>
    <mergeCell ref="Q70:Q71"/>
    <mergeCell ref="R70:R71"/>
    <mergeCell ref="W70:W71"/>
    <mergeCell ref="AD70:AD71"/>
    <mergeCell ref="G71:G72"/>
    <mergeCell ref="I71:I72"/>
    <mergeCell ref="J71:J72"/>
    <mergeCell ref="K71:K72"/>
    <mergeCell ref="L71:L72"/>
    <mergeCell ref="M71:M72"/>
    <mergeCell ref="O69:O70"/>
    <mergeCell ref="P69:P70"/>
    <mergeCell ref="U69:U70"/>
    <mergeCell ref="V69:V70"/>
    <mergeCell ref="A70:A71"/>
    <mergeCell ref="B74:B75"/>
    <mergeCell ref="D74:D75"/>
    <mergeCell ref="E74:E75"/>
    <mergeCell ref="F74:F75"/>
    <mergeCell ref="H74:H75"/>
    <mergeCell ref="M73:M74"/>
    <mergeCell ref="N73:N74"/>
    <mergeCell ref="O73:O74"/>
    <mergeCell ref="P73:P74"/>
    <mergeCell ref="U73:U74"/>
    <mergeCell ref="V73:V74"/>
    <mergeCell ref="Q74:Q75"/>
    <mergeCell ref="R74:R75"/>
    <mergeCell ref="P75:P76"/>
    <mergeCell ref="U75:U76"/>
    <mergeCell ref="H72:H73"/>
    <mergeCell ref="Q72:Q73"/>
    <mergeCell ref="R72:R73"/>
    <mergeCell ref="R78:R79"/>
    <mergeCell ref="W76:W77"/>
    <mergeCell ref="AD76:AD77"/>
    <mergeCell ref="G77:G78"/>
    <mergeCell ref="I77:I78"/>
    <mergeCell ref="J77:J78"/>
    <mergeCell ref="K77:K78"/>
    <mergeCell ref="L77:L78"/>
    <mergeCell ref="M77:M78"/>
    <mergeCell ref="N77:N78"/>
    <mergeCell ref="O77:O78"/>
    <mergeCell ref="V75:V76"/>
    <mergeCell ref="A76:A77"/>
    <mergeCell ref="B76:B77"/>
    <mergeCell ref="D76:D77"/>
    <mergeCell ref="E76:E77"/>
    <mergeCell ref="F76:F77"/>
    <mergeCell ref="H76:H77"/>
    <mergeCell ref="Q76:Q77"/>
    <mergeCell ref="R76:R77"/>
    <mergeCell ref="P77:P78"/>
    <mergeCell ref="W74:W75"/>
    <mergeCell ref="AD74:AD75"/>
    <mergeCell ref="G75:G76"/>
    <mergeCell ref="I75:I76"/>
    <mergeCell ref="J75:J76"/>
    <mergeCell ref="K75:K76"/>
    <mergeCell ref="L75:L76"/>
    <mergeCell ref="M75:M76"/>
    <mergeCell ref="N75:N76"/>
    <mergeCell ref="O75:O76"/>
    <mergeCell ref="A74:A75"/>
    <mergeCell ref="L81:L82"/>
    <mergeCell ref="M81:M82"/>
    <mergeCell ref="N81:N82"/>
    <mergeCell ref="P79:P80"/>
    <mergeCell ref="U79:U80"/>
    <mergeCell ref="V79:V80"/>
    <mergeCell ref="A80:A81"/>
    <mergeCell ref="B80:B81"/>
    <mergeCell ref="D80:D81"/>
    <mergeCell ref="E80:E81"/>
    <mergeCell ref="F80:F81"/>
    <mergeCell ref="H80:H81"/>
    <mergeCell ref="Q80:Q81"/>
    <mergeCell ref="W78:W79"/>
    <mergeCell ref="AD78:AD79"/>
    <mergeCell ref="G79:G80"/>
    <mergeCell ref="I79:I80"/>
    <mergeCell ref="J79:J80"/>
    <mergeCell ref="K79:K80"/>
    <mergeCell ref="L79:L80"/>
    <mergeCell ref="M79:M80"/>
    <mergeCell ref="N79:N80"/>
    <mergeCell ref="O79:O80"/>
    <mergeCell ref="U77:U78"/>
    <mergeCell ref="V77:V78"/>
    <mergeCell ref="A78:A79"/>
    <mergeCell ref="B78:B79"/>
    <mergeCell ref="D78:D79"/>
    <mergeCell ref="E78:E79"/>
    <mergeCell ref="F78:F79"/>
    <mergeCell ref="H78:H79"/>
    <mergeCell ref="Q78:Q79"/>
    <mergeCell ref="A84:A85"/>
    <mergeCell ref="B84:B85"/>
    <mergeCell ref="D84:D85"/>
    <mergeCell ref="E84:E85"/>
    <mergeCell ref="F84:F85"/>
    <mergeCell ref="Q82:Q83"/>
    <mergeCell ref="R82:R83"/>
    <mergeCell ref="W82:W83"/>
    <mergeCell ref="AD82:AD83"/>
    <mergeCell ref="G83:G84"/>
    <mergeCell ref="I83:I84"/>
    <mergeCell ref="J83:J84"/>
    <mergeCell ref="K83:K84"/>
    <mergeCell ref="L83:L84"/>
    <mergeCell ref="M83:M84"/>
    <mergeCell ref="O81:O82"/>
    <mergeCell ref="P81:P82"/>
    <mergeCell ref="U81:U82"/>
    <mergeCell ref="V81:V82"/>
    <mergeCell ref="A82:A83"/>
    <mergeCell ref="B82:B83"/>
    <mergeCell ref="D82:D83"/>
    <mergeCell ref="E82:E83"/>
    <mergeCell ref="F82:F83"/>
    <mergeCell ref="H82:H83"/>
    <mergeCell ref="R80:R81"/>
    <mergeCell ref="W80:W81"/>
    <mergeCell ref="AD80:AD81"/>
    <mergeCell ref="G81:G82"/>
    <mergeCell ref="I81:I82"/>
    <mergeCell ref="J81:J82"/>
    <mergeCell ref="K81:K82"/>
    <mergeCell ref="R86:R87"/>
    <mergeCell ref="P87:P88"/>
    <mergeCell ref="U87:U88"/>
    <mergeCell ref="H84:H85"/>
    <mergeCell ref="Q84:Q85"/>
    <mergeCell ref="R84:R85"/>
    <mergeCell ref="W84:W85"/>
    <mergeCell ref="AD84:AD85"/>
    <mergeCell ref="G85:G86"/>
    <mergeCell ref="I85:I86"/>
    <mergeCell ref="J85:J86"/>
    <mergeCell ref="K85:K86"/>
    <mergeCell ref="L85:L86"/>
    <mergeCell ref="N83:N84"/>
    <mergeCell ref="O83:O84"/>
    <mergeCell ref="P83:P84"/>
    <mergeCell ref="U83:U84"/>
    <mergeCell ref="V83:V84"/>
    <mergeCell ref="V87:V88"/>
    <mergeCell ref="A88:A89"/>
    <mergeCell ref="B88:B89"/>
    <mergeCell ref="D88:D89"/>
    <mergeCell ref="E88:E89"/>
    <mergeCell ref="F88:F89"/>
    <mergeCell ref="H88:H89"/>
    <mergeCell ref="Q88:Q89"/>
    <mergeCell ref="R88:R89"/>
    <mergeCell ref="P89:P90"/>
    <mergeCell ref="W86:W87"/>
    <mergeCell ref="AD86:AD87"/>
    <mergeCell ref="G87:G88"/>
    <mergeCell ref="I87:I88"/>
    <mergeCell ref="J87:J88"/>
    <mergeCell ref="K87:K88"/>
    <mergeCell ref="L87:L88"/>
    <mergeCell ref="M87:M88"/>
    <mergeCell ref="N87:N88"/>
    <mergeCell ref="O87:O88"/>
    <mergeCell ref="A86:A87"/>
    <mergeCell ref="B86:B87"/>
    <mergeCell ref="D86:D87"/>
    <mergeCell ref="E86:E87"/>
    <mergeCell ref="F86:F87"/>
    <mergeCell ref="H86:H87"/>
    <mergeCell ref="M85:M86"/>
    <mergeCell ref="N85:N86"/>
    <mergeCell ref="O85:O86"/>
    <mergeCell ref="P85:P86"/>
    <mergeCell ref="U85:U86"/>
    <mergeCell ref="V85:V86"/>
    <mergeCell ref="Q86:Q87"/>
    <mergeCell ref="H92:H93"/>
    <mergeCell ref="Q92:Q93"/>
    <mergeCell ref="W90:W91"/>
    <mergeCell ref="AD90:AD91"/>
    <mergeCell ref="G91:G92"/>
    <mergeCell ref="I91:I92"/>
    <mergeCell ref="J91:J92"/>
    <mergeCell ref="K91:K92"/>
    <mergeCell ref="L91:L92"/>
    <mergeCell ref="M91:M92"/>
    <mergeCell ref="N91:N92"/>
    <mergeCell ref="O91:O92"/>
    <mergeCell ref="U89:U90"/>
    <mergeCell ref="V89:V90"/>
    <mergeCell ref="A90:A91"/>
    <mergeCell ref="B90:B91"/>
    <mergeCell ref="D90:D91"/>
    <mergeCell ref="E90:E91"/>
    <mergeCell ref="F90:F91"/>
    <mergeCell ref="H90:H91"/>
    <mergeCell ref="Q90:Q91"/>
    <mergeCell ref="R90:R91"/>
    <mergeCell ref="W88:W89"/>
    <mergeCell ref="AD88:AD89"/>
    <mergeCell ref="G89:G90"/>
    <mergeCell ref="I89:I90"/>
    <mergeCell ref="J89:J90"/>
    <mergeCell ref="K89:K90"/>
    <mergeCell ref="L89:L90"/>
    <mergeCell ref="M89:M90"/>
    <mergeCell ref="N89:N90"/>
    <mergeCell ref="O89:O90"/>
    <mergeCell ref="J95:J96"/>
    <mergeCell ref="K95:K96"/>
    <mergeCell ref="L95:L96"/>
    <mergeCell ref="M95:M96"/>
    <mergeCell ref="O93:O94"/>
    <mergeCell ref="P93:P94"/>
    <mergeCell ref="U93:U94"/>
    <mergeCell ref="V93:V94"/>
    <mergeCell ref="A94:A95"/>
    <mergeCell ref="B94:B95"/>
    <mergeCell ref="D94:D95"/>
    <mergeCell ref="E94:E95"/>
    <mergeCell ref="F94:F95"/>
    <mergeCell ref="H94:H95"/>
    <mergeCell ref="R92:R93"/>
    <mergeCell ref="W92:W93"/>
    <mergeCell ref="AD92:AD93"/>
    <mergeCell ref="G93:G94"/>
    <mergeCell ref="I93:I94"/>
    <mergeCell ref="J93:J94"/>
    <mergeCell ref="K93:K94"/>
    <mergeCell ref="L93:L94"/>
    <mergeCell ref="M93:M94"/>
    <mergeCell ref="N93:N94"/>
    <mergeCell ref="P91:P92"/>
    <mergeCell ref="U91:U92"/>
    <mergeCell ref="V91:V92"/>
    <mergeCell ref="A92:A93"/>
    <mergeCell ref="B92:B93"/>
    <mergeCell ref="D92:D93"/>
    <mergeCell ref="E92:E93"/>
    <mergeCell ref="F92:F93"/>
    <mergeCell ref="Q101:Q104"/>
    <mergeCell ref="R101:R104"/>
    <mergeCell ref="U101:U104"/>
    <mergeCell ref="W101:W104"/>
    <mergeCell ref="AB101:AB104"/>
    <mergeCell ref="AD101:AD104"/>
    <mergeCell ref="H96:H97"/>
    <mergeCell ref="Q96:Q97"/>
    <mergeCell ref="R96:R97"/>
    <mergeCell ref="W96:W97"/>
    <mergeCell ref="A98:AD100"/>
    <mergeCell ref="A101:A104"/>
    <mergeCell ref="B101:C104"/>
    <mergeCell ref="N101:N104"/>
    <mergeCell ref="O101:O104"/>
    <mergeCell ref="P101:P104"/>
    <mergeCell ref="N95:N96"/>
    <mergeCell ref="O95:O96"/>
    <mergeCell ref="P95:P96"/>
    <mergeCell ref="U95:U96"/>
    <mergeCell ref="V95:V96"/>
    <mergeCell ref="A96:A97"/>
    <mergeCell ref="B96:B97"/>
    <mergeCell ref="D96:D97"/>
    <mergeCell ref="E96:E97"/>
    <mergeCell ref="F96:F97"/>
    <mergeCell ref="Q94:Q95"/>
    <mergeCell ref="R94:R95"/>
    <mergeCell ref="W94:W95"/>
    <mergeCell ref="AD94:AD97"/>
    <mergeCell ref="G95:G96"/>
    <mergeCell ref="I95:I96"/>
    <mergeCell ref="W105:W106"/>
    <mergeCell ref="AD105:AD106"/>
    <mergeCell ref="G106:G107"/>
    <mergeCell ref="I106:I107"/>
    <mergeCell ref="J106:J107"/>
    <mergeCell ref="K106:K107"/>
    <mergeCell ref="L106:L107"/>
    <mergeCell ref="M106:M107"/>
    <mergeCell ref="A105:A106"/>
    <mergeCell ref="B105:B106"/>
    <mergeCell ref="D105:D106"/>
    <mergeCell ref="E105:E106"/>
    <mergeCell ref="F105:F106"/>
    <mergeCell ref="H105:H106"/>
    <mergeCell ref="N108:N109"/>
    <mergeCell ref="O108:O109"/>
    <mergeCell ref="P108:P109"/>
    <mergeCell ref="U108:U109"/>
    <mergeCell ref="V108:V109"/>
    <mergeCell ref="Q109:Q110"/>
    <mergeCell ref="R109:R110"/>
    <mergeCell ref="P110:P111"/>
    <mergeCell ref="U110:U111"/>
    <mergeCell ref="H107:H108"/>
    <mergeCell ref="Q107:Q108"/>
    <mergeCell ref="K108:K109"/>
    <mergeCell ref="L108:L109"/>
    <mergeCell ref="N106:N107"/>
    <mergeCell ref="O106:O107"/>
    <mergeCell ref="P106:P107"/>
    <mergeCell ref="U106:U107"/>
    <mergeCell ref="V106:V107"/>
    <mergeCell ref="K112:K113"/>
    <mergeCell ref="L112:L113"/>
    <mergeCell ref="M112:M113"/>
    <mergeCell ref="N112:N113"/>
    <mergeCell ref="O112:O113"/>
    <mergeCell ref="V110:V111"/>
    <mergeCell ref="A107:A108"/>
    <mergeCell ref="B107:B108"/>
    <mergeCell ref="D107:D108"/>
    <mergeCell ref="E107:E108"/>
    <mergeCell ref="F107:F108"/>
    <mergeCell ref="Q105:Q106"/>
    <mergeCell ref="R105:R106"/>
    <mergeCell ref="A111:A112"/>
    <mergeCell ref="B111:B112"/>
    <mergeCell ref="D111:D112"/>
    <mergeCell ref="E111:E112"/>
    <mergeCell ref="F111:F112"/>
    <mergeCell ref="H111:H112"/>
    <mergeCell ref="Q111:Q112"/>
    <mergeCell ref="R111:R112"/>
    <mergeCell ref="P112:P113"/>
    <mergeCell ref="W109:W110"/>
    <mergeCell ref="AD109:AD110"/>
    <mergeCell ref="G110:G111"/>
    <mergeCell ref="I110:I111"/>
    <mergeCell ref="J110:J111"/>
    <mergeCell ref="K110:K111"/>
    <mergeCell ref="L110:L111"/>
    <mergeCell ref="M110:M111"/>
    <mergeCell ref="N110:N111"/>
    <mergeCell ref="O110:O111"/>
    <mergeCell ref="A109:A110"/>
    <mergeCell ref="B109:B110"/>
    <mergeCell ref="D109:D110"/>
    <mergeCell ref="E109:E110"/>
    <mergeCell ref="F109:F110"/>
    <mergeCell ref="H109:H110"/>
    <mergeCell ref="M108:M109"/>
    <mergeCell ref="R107:R108"/>
    <mergeCell ref="W107:W108"/>
    <mergeCell ref="AD107:AD108"/>
    <mergeCell ref="G108:G109"/>
    <mergeCell ref="I108:I109"/>
    <mergeCell ref="J108:J109"/>
    <mergeCell ref="A115:A116"/>
    <mergeCell ref="B115:B116"/>
    <mergeCell ref="D115:D116"/>
    <mergeCell ref="E115:E116"/>
    <mergeCell ref="F115:F116"/>
    <mergeCell ref="H115:H116"/>
    <mergeCell ref="Q115:Q116"/>
    <mergeCell ref="W113:W114"/>
    <mergeCell ref="AD113:AD114"/>
    <mergeCell ref="G114:G115"/>
    <mergeCell ref="I114:I115"/>
    <mergeCell ref="J114:J115"/>
    <mergeCell ref="K114:K115"/>
    <mergeCell ref="L114:L115"/>
    <mergeCell ref="M114:M115"/>
    <mergeCell ref="N114:N115"/>
    <mergeCell ref="O114:O115"/>
    <mergeCell ref="U112:U113"/>
    <mergeCell ref="V112:V113"/>
    <mergeCell ref="A113:A114"/>
    <mergeCell ref="B113:B114"/>
    <mergeCell ref="D113:D114"/>
    <mergeCell ref="E113:E114"/>
    <mergeCell ref="F113:F114"/>
    <mergeCell ref="H113:H114"/>
    <mergeCell ref="Q113:Q114"/>
    <mergeCell ref="R113:R114"/>
    <mergeCell ref="W111:W112"/>
    <mergeCell ref="AD111:AD112"/>
    <mergeCell ref="G112:G113"/>
    <mergeCell ref="I112:I113"/>
    <mergeCell ref="J112:J113"/>
    <mergeCell ref="D117:D118"/>
    <mergeCell ref="E117:E118"/>
    <mergeCell ref="F117:F118"/>
    <mergeCell ref="H117:H118"/>
    <mergeCell ref="R115:R116"/>
    <mergeCell ref="W115:W116"/>
    <mergeCell ref="AD115:AD116"/>
    <mergeCell ref="G116:G117"/>
    <mergeCell ref="I116:I117"/>
    <mergeCell ref="J116:J117"/>
    <mergeCell ref="K116:K117"/>
    <mergeCell ref="L116:L117"/>
    <mergeCell ref="M116:M117"/>
    <mergeCell ref="N116:N117"/>
    <mergeCell ref="P114:P115"/>
    <mergeCell ref="U114:U115"/>
    <mergeCell ref="V114:V115"/>
    <mergeCell ref="AD119:AD120"/>
    <mergeCell ref="G120:G121"/>
    <mergeCell ref="I120:I121"/>
    <mergeCell ref="J120:J121"/>
    <mergeCell ref="K120:K121"/>
    <mergeCell ref="L120:L121"/>
    <mergeCell ref="N118:N119"/>
    <mergeCell ref="O118:O119"/>
    <mergeCell ref="P118:P119"/>
    <mergeCell ref="U118:U119"/>
    <mergeCell ref="V118:V119"/>
    <mergeCell ref="A119:A120"/>
    <mergeCell ref="B119:B120"/>
    <mergeCell ref="D119:D120"/>
    <mergeCell ref="E119:E120"/>
    <mergeCell ref="F119:F120"/>
    <mergeCell ref="Q117:Q118"/>
    <mergeCell ref="R117:R118"/>
    <mergeCell ref="W117:W118"/>
    <mergeCell ref="AD117:AD118"/>
    <mergeCell ref="G118:G119"/>
    <mergeCell ref="I118:I119"/>
    <mergeCell ref="J118:J119"/>
    <mergeCell ref="K118:K119"/>
    <mergeCell ref="L118:L119"/>
    <mergeCell ref="M118:M119"/>
    <mergeCell ref="O116:O117"/>
    <mergeCell ref="P116:P117"/>
    <mergeCell ref="U116:U117"/>
    <mergeCell ref="V116:V117"/>
    <mergeCell ref="A117:A118"/>
    <mergeCell ref="B117:B118"/>
    <mergeCell ref="E121:E122"/>
    <mergeCell ref="F121:F122"/>
    <mergeCell ref="H121:H122"/>
    <mergeCell ref="M120:M121"/>
    <mergeCell ref="N120:N121"/>
    <mergeCell ref="O120:O121"/>
    <mergeCell ref="P120:P121"/>
    <mergeCell ref="U120:U121"/>
    <mergeCell ref="V120:V121"/>
    <mergeCell ref="Q121:Q122"/>
    <mergeCell ref="R121:R122"/>
    <mergeCell ref="P122:P123"/>
    <mergeCell ref="U122:U123"/>
    <mergeCell ref="H119:H120"/>
    <mergeCell ref="Q119:Q120"/>
    <mergeCell ref="R119:R120"/>
    <mergeCell ref="W119:W120"/>
    <mergeCell ref="AD123:AD124"/>
    <mergeCell ref="G124:G125"/>
    <mergeCell ref="I124:I125"/>
    <mergeCell ref="J124:J125"/>
    <mergeCell ref="K124:K125"/>
    <mergeCell ref="L124:L125"/>
    <mergeCell ref="M124:M125"/>
    <mergeCell ref="N124:N125"/>
    <mergeCell ref="O124:O125"/>
    <mergeCell ref="V122:V123"/>
    <mergeCell ref="A123:A124"/>
    <mergeCell ref="B123:B124"/>
    <mergeCell ref="D123:D124"/>
    <mergeCell ref="E123:E124"/>
    <mergeCell ref="F123:F124"/>
    <mergeCell ref="H123:H124"/>
    <mergeCell ref="Q123:Q124"/>
    <mergeCell ref="R123:R124"/>
    <mergeCell ref="P124:P125"/>
    <mergeCell ref="W121:W122"/>
    <mergeCell ref="AD121:AD122"/>
    <mergeCell ref="G122:G123"/>
    <mergeCell ref="I122:I123"/>
    <mergeCell ref="J122:J123"/>
    <mergeCell ref="K122:K123"/>
    <mergeCell ref="L122:L123"/>
    <mergeCell ref="M122:M123"/>
    <mergeCell ref="N122:N123"/>
    <mergeCell ref="O122:O123"/>
    <mergeCell ref="A121:A122"/>
    <mergeCell ref="B121:B122"/>
    <mergeCell ref="D121:D122"/>
    <mergeCell ref="J126:J127"/>
    <mergeCell ref="K126:K127"/>
    <mergeCell ref="L126:L127"/>
    <mergeCell ref="M126:M127"/>
    <mergeCell ref="N126:N127"/>
    <mergeCell ref="O126:O127"/>
    <mergeCell ref="U124:U125"/>
    <mergeCell ref="V124:V125"/>
    <mergeCell ref="A125:A126"/>
    <mergeCell ref="B125:B126"/>
    <mergeCell ref="D125:D126"/>
    <mergeCell ref="E125:E126"/>
    <mergeCell ref="F125:F126"/>
    <mergeCell ref="H125:H126"/>
    <mergeCell ref="Q125:Q126"/>
    <mergeCell ref="R125:R126"/>
    <mergeCell ref="W123:W124"/>
    <mergeCell ref="U128:U129"/>
    <mergeCell ref="V128:V129"/>
    <mergeCell ref="A129:A130"/>
    <mergeCell ref="B129:B130"/>
    <mergeCell ref="D129:D130"/>
    <mergeCell ref="E129:E130"/>
    <mergeCell ref="F129:F130"/>
    <mergeCell ref="H129:H130"/>
    <mergeCell ref="R127:R128"/>
    <mergeCell ref="W127:W128"/>
    <mergeCell ref="AD127:AD128"/>
    <mergeCell ref="G128:G129"/>
    <mergeCell ref="I128:I129"/>
    <mergeCell ref="J128:J129"/>
    <mergeCell ref="K128:K129"/>
    <mergeCell ref="L128:L129"/>
    <mergeCell ref="M128:M129"/>
    <mergeCell ref="N128:N129"/>
    <mergeCell ref="P126:P127"/>
    <mergeCell ref="U126:U127"/>
    <mergeCell ref="V126:V127"/>
    <mergeCell ref="A127:A128"/>
    <mergeCell ref="B127:B128"/>
    <mergeCell ref="D127:D128"/>
    <mergeCell ref="E127:E128"/>
    <mergeCell ref="F127:F128"/>
    <mergeCell ref="H127:H128"/>
    <mergeCell ref="Q127:Q128"/>
    <mergeCell ref="W125:W126"/>
    <mergeCell ref="AD125:AD126"/>
    <mergeCell ref="G126:G127"/>
    <mergeCell ref="I126:I127"/>
    <mergeCell ref="H131:H132"/>
    <mergeCell ref="Q131:Q132"/>
    <mergeCell ref="R131:R132"/>
    <mergeCell ref="W131:W132"/>
    <mergeCell ref="AD131:AD132"/>
    <mergeCell ref="G132:G133"/>
    <mergeCell ref="I132:I133"/>
    <mergeCell ref="J132:J133"/>
    <mergeCell ref="K132:K133"/>
    <mergeCell ref="L132:L133"/>
    <mergeCell ref="N130:N131"/>
    <mergeCell ref="O130:O131"/>
    <mergeCell ref="P130:P131"/>
    <mergeCell ref="U130:U131"/>
    <mergeCell ref="V130:V131"/>
    <mergeCell ref="A131:A132"/>
    <mergeCell ref="B131:B132"/>
    <mergeCell ref="D131:D132"/>
    <mergeCell ref="E131:E132"/>
    <mergeCell ref="F131:F132"/>
    <mergeCell ref="Q129:Q130"/>
    <mergeCell ref="R129:R130"/>
    <mergeCell ref="W129:W130"/>
    <mergeCell ref="AD129:AD130"/>
    <mergeCell ref="G130:G131"/>
    <mergeCell ref="I130:I131"/>
    <mergeCell ref="J130:J131"/>
    <mergeCell ref="K130:K131"/>
    <mergeCell ref="L130:L131"/>
    <mergeCell ref="M130:M131"/>
    <mergeCell ref="O128:O129"/>
    <mergeCell ref="P128:P129"/>
    <mergeCell ref="A135:A136"/>
    <mergeCell ref="B135:B136"/>
    <mergeCell ref="D135:D136"/>
    <mergeCell ref="E135:E136"/>
    <mergeCell ref="F135:F136"/>
    <mergeCell ref="H135:H136"/>
    <mergeCell ref="Q135:Q136"/>
    <mergeCell ref="R135:R136"/>
    <mergeCell ref="P136:P137"/>
    <mergeCell ref="W133:W134"/>
    <mergeCell ref="AD133:AD134"/>
    <mergeCell ref="G134:G135"/>
    <mergeCell ref="I134:I135"/>
    <mergeCell ref="J134:J135"/>
    <mergeCell ref="K134:K135"/>
    <mergeCell ref="L134:L135"/>
    <mergeCell ref="M134:M135"/>
    <mergeCell ref="N134:N135"/>
    <mergeCell ref="O134:O135"/>
    <mergeCell ref="A133:A134"/>
    <mergeCell ref="B133:B134"/>
    <mergeCell ref="D133:D134"/>
    <mergeCell ref="E133:E134"/>
    <mergeCell ref="F133:F134"/>
    <mergeCell ref="H133:H134"/>
    <mergeCell ref="M132:M133"/>
    <mergeCell ref="N132:N133"/>
    <mergeCell ref="O132:O133"/>
    <mergeCell ref="P132:P133"/>
    <mergeCell ref="U132:U133"/>
    <mergeCell ref="V132:V133"/>
    <mergeCell ref="Q133:Q134"/>
    <mergeCell ref="D137:D138"/>
    <mergeCell ref="E137:E138"/>
    <mergeCell ref="F137:F138"/>
    <mergeCell ref="H137:H138"/>
    <mergeCell ref="Q137:Q138"/>
    <mergeCell ref="R137:R138"/>
    <mergeCell ref="W135:W136"/>
    <mergeCell ref="AD135:AD136"/>
    <mergeCell ref="G136:G137"/>
    <mergeCell ref="I136:I137"/>
    <mergeCell ref="J136:J137"/>
    <mergeCell ref="K136:K137"/>
    <mergeCell ref="L136:L137"/>
    <mergeCell ref="M136:M137"/>
    <mergeCell ref="N136:N137"/>
    <mergeCell ref="O136:O137"/>
    <mergeCell ref="V134:V135"/>
    <mergeCell ref="R133:R134"/>
    <mergeCell ref="P134:P135"/>
    <mergeCell ref="U134:U135"/>
    <mergeCell ref="AD139:AD140"/>
    <mergeCell ref="G140:G141"/>
    <mergeCell ref="I140:I141"/>
    <mergeCell ref="J140:J141"/>
    <mergeCell ref="K140:K141"/>
    <mergeCell ref="L140:L141"/>
    <mergeCell ref="M140:M141"/>
    <mergeCell ref="N140:N141"/>
    <mergeCell ref="P138:P139"/>
    <mergeCell ref="U138:U139"/>
    <mergeCell ref="V138:V139"/>
    <mergeCell ref="A139:A140"/>
    <mergeCell ref="B139:B140"/>
    <mergeCell ref="D139:D140"/>
    <mergeCell ref="E139:E140"/>
    <mergeCell ref="F139:F140"/>
    <mergeCell ref="H139:H140"/>
    <mergeCell ref="Q139:Q140"/>
    <mergeCell ref="W137:W138"/>
    <mergeCell ref="AD137:AD138"/>
    <mergeCell ref="G138:G139"/>
    <mergeCell ref="I138:I139"/>
    <mergeCell ref="J138:J139"/>
    <mergeCell ref="K138:K139"/>
    <mergeCell ref="L138:L139"/>
    <mergeCell ref="M138:M139"/>
    <mergeCell ref="N138:N139"/>
    <mergeCell ref="O138:O139"/>
    <mergeCell ref="U136:U137"/>
    <mergeCell ref="V136:V137"/>
    <mergeCell ref="A137:A138"/>
    <mergeCell ref="B137:B138"/>
    <mergeCell ref="I142:I143"/>
    <mergeCell ref="J142:J143"/>
    <mergeCell ref="K142:K143"/>
    <mergeCell ref="L142:L143"/>
    <mergeCell ref="M142:M143"/>
    <mergeCell ref="O140:O141"/>
    <mergeCell ref="P140:P141"/>
    <mergeCell ref="U140:U141"/>
    <mergeCell ref="V140:V141"/>
    <mergeCell ref="A141:A142"/>
    <mergeCell ref="B141:B142"/>
    <mergeCell ref="D141:D142"/>
    <mergeCell ref="E141:E142"/>
    <mergeCell ref="F141:F142"/>
    <mergeCell ref="H141:H142"/>
    <mergeCell ref="R139:R140"/>
    <mergeCell ref="W139:W140"/>
    <mergeCell ref="H152:H153"/>
    <mergeCell ref="Q148:Q151"/>
    <mergeCell ref="R148:R151"/>
    <mergeCell ref="U148:U151"/>
    <mergeCell ref="W148:W151"/>
    <mergeCell ref="AB148:AB151"/>
    <mergeCell ref="AD148:AD151"/>
    <mergeCell ref="H143:H144"/>
    <mergeCell ref="Q143:Q144"/>
    <mergeCell ref="R143:R144"/>
    <mergeCell ref="W143:W144"/>
    <mergeCell ref="A145:AD147"/>
    <mergeCell ref="A148:A151"/>
    <mergeCell ref="B148:C151"/>
    <mergeCell ref="N148:N151"/>
    <mergeCell ref="O148:O151"/>
    <mergeCell ref="P148:P151"/>
    <mergeCell ref="N142:N143"/>
    <mergeCell ref="O142:O143"/>
    <mergeCell ref="P142:P143"/>
    <mergeCell ref="U142:U143"/>
    <mergeCell ref="V142:V143"/>
    <mergeCell ref="A143:A144"/>
    <mergeCell ref="B143:B144"/>
    <mergeCell ref="D143:D144"/>
    <mergeCell ref="E143:E144"/>
    <mergeCell ref="F143:F144"/>
    <mergeCell ref="Q141:Q142"/>
    <mergeCell ref="R141:R142"/>
    <mergeCell ref="W141:W142"/>
    <mergeCell ref="AD141:AD144"/>
    <mergeCell ref="G142:G143"/>
    <mergeCell ref="W154:W155"/>
    <mergeCell ref="AD154:AD155"/>
    <mergeCell ref="G155:G156"/>
    <mergeCell ref="I155:I156"/>
    <mergeCell ref="J155:J156"/>
    <mergeCell ref="K155:K156"/>
    <mergeCell ref="L155:L156"/>
    <mergeCell ref="N153:N154"/>
    <mergeCell ref="O153:O154"/>
    <mergeCell ref="P153:P154"/>
    <mergeCell ref="U153:U154"/>
    <mergeCell ref="V153:V154"/>
    <mergeCell ref="A154:A155"/>
    <mergeCell ref="B154:B155"/>
    <mergeCell ref="D154:D155"/>
    <mergeCell ref="E154:E155"/>
    <mergeCell ref="F154:F155"/>
    <mergeCell ref="Q152:Q153"/>
    <mergeCell ref="R152:R153"/>
    <mergeCell ref="W152:W153"/>
    <mergeCell ref="AD152:AD153"/>
    <mergeCell ref="G153:G154"/>
    <mergeCell ref="I153:I154"/>
    <mergeCell ref="J153:J154"/>
    <mergeCell ref="K153:K154"/>
    <mergeCell ref="L153:L154"/>
    <mergeCell ref="M153:M154"/>
    <mergeCell ref="A152:A153"/>
    <mergeCell ref="B152:B153"/>
    <mergeCell ref="D152:D153"/>
    <mergeCell ref="E152:E153"/>
    <mergeCell ref="F152:F153"/>
    <mergeCell ref="D156:D157"/>
    <mergeCell ref="E156:E157"/>
    <mergeCell ref="F156:F157"/>
    <mergeCell ref="H156:H157"/>
    <mergeCell ref="M155:M156"/>
    <mergeCell ref="N155:N156"/>
    <mergeCell ref="O155:O156"/>
    <mergeCell ref="P155:P156"/>
    <mergeCell ref="U155:U156"/>
    <mergeCell ref="V155:V156"/>
    <mergeCell ref="Q156:Q157"/>
    <mergeCell ref="R156:R157"/>
    <mergeCell ref="P157:P158"/>
    <mergeCell ref="U157:U158"/>
    <mergeCell ref="H154:H155"/>
    <mergeCell ref="Q154:Q155"/>
    <mergeCell ref="R154:R155"/>
    <mergeCell ref="W158:W159"/>
    <mergeCell ref="AD158:AD159"/>
    <mergeCell ref="G159:G160"/>
    <mergeCell ref="I159:I160"/>
    <mergeCell ref="J159:J160"/>
    <mergeCell ref="K159:K160"/>
    <mergeCell ref="L159:L160"/>
    <mergeCell ref="M159:M160"/>
    <mergeCell ref="N159:N160"/>
    <mergeCell ref="O159:O160"/>
    <mergeCell ref="V157:V158"/>
    <mergeCell ref="A158:A159"/>
    <mergeCell ref="B158:B159"/>
    <mergeCell ref="D158:D159"/>
    <mergeCell ref="E158:E159"/>
    <mergeCell ref="F158:F159"/>
    <mergeCell ref="H158:H159"/>
    <mergeCell ref="Q158:Q159"/>
    <mergeCell ref="R158:R159"/>
    <mergeCell ref="P159:P160"/>
    <mergeCell ref="W156:W157"/>
    <mergeCell ref="AD156:AD157"/>
    <mergeCell ref="G157:G158"/>
    <mergeCell ref="I157:I158"/>
    <mergeCell ref="J157:J158"/>
    <mergeCell ref="K157:K158"/>
    <mergeCell ref="L157:L158"/>
    <mergeCell ref="M157:M158"/>
    <mergeCell ref="N157:N158"/>
    <mergeCell ref="O157:O158"/>
    <mergeCell ref="A156:A157"/>
    <mergeCell ref="B156:B157"/>
    <mergeCell ref="I161:I162"/>
    <mergeCell ref="J161:J162"/>
    <mergeCell ref="K161:K162"/>
    <mergeCell ref="L161:L162"/>
    <mergeCell ref="M161:M162"/>
    <mergeCell ref="N161:N162"/>
    <mergeCell ref="O161:O162"/>
    <mergeCell ref="U159:U160"/>
    <mergeCell ref="V159:V160"/>
    <mergeCell ref="A160:A161"/>
    <mergeCell ref="B160:B161"/>
    <mergeCell ref="D160:D161"/>
    <mergeCell ref="E160:E161"/>
    <mergeCell ref="F160:F161"/>
    <mergeCell ref="H160:H161"/>
    <mergeCell ref="Q160:Q161"/>
    <mergeCell ref="R160:R161"/>
    <mergeCell ref="P163:P164"/>
    <mergeCell ref="U163:U164"/>
    <mergeCell ref="V163:V164"/>
    <mergeCell ref="A164:A165"/>
    <mergeCell ref="B164:B165"/>
    <mergeCell ref="D164:D165"/>
    <mergeCell ref="E164:E165"/>
    <mergeCell ref="F164:F165"/>
    <mergeCell ref="H164:H165"/>
    <mergeCell ref="R162:R163"/>
    <mergeCell ref="W162:W163"/>
    <mergeCell ref="AD162:AD163"/>
    <mergeCell ref="G163:G164"/>
    <mergeCell ref="I163:I164"/>
    <mergeCell ref="J163:J164"/>
    <mergeCell ref="K163:K164"/>
    <mergeCell ref="L163:L164"/>
    <mergeCell ref="M163:M164"/>
    <mergeCell ref="N163:N164"/>
    <mergeCell ref="P161:P162"/>
    <mergeCell ref="U161:U162"/>
    <mergeCell ref="V161:V162"/>
    <mergeCell ref="A162:A163"/>
    <mergeCell ref="B162:B163"/>
    <mergeCell ref="D162:D163"/>
    <mergeCell ref="E162:E163"/>
    <mergeCell ref="F162:F163"/>
    <mergeCell ref="H162:H163"/>
    <mergeCell ref="Q162:Q163"/>
    <mergeCell ref="W160:W161"/>
    <mergeCell ref="AD160:AD161"/>
    <mergeCell ref="G161:G162"/>
    <mergeCell ref="U167:U168"/>
    <mergeCell ref="V167:V168"/>
    <mergeCell ref="Q168:Q169"/>
    <mergeCell ref="R168:R169"/>
    <mergeCell ref="P169:P170"/>
    <mergeCell ref="U169:U170"/>
    <mergeCell ref="H166:H167"/>
    <mergeCell ref="Q166:Q167"/>
    <mergeCell ref="R166:R167"/>
    <mergeCell ref="W166:W167"/>
    <mergeCell ref="AD166:AD167"/>
    <mergeCell ref="G167:G168"/>
    <mergeCell ref="I167:I168"/>
    <mergeCell ref="J167:J168"/>
    <mergeCell ref="K167:K168"/>
    <mergeCell ref="L167:L168"/>
    <mergeCell ref="N165:N166"/>
    <mergeCell ref="O165:O166"/>
    <mergeCell ref="P165:P166"/>
    <mergeCell ref="U165:U166"/>
    <mergeCell ref="V165:V166"/>
    <mergeCell ref="Q164:Q165"/>
    <mergeCell ref="R164:R165"/>
    <mergeCell ref="W164:W165"/>
    <mergeCell ref="AD164:AD165"/>
    <mergeCell ref="G165:G166"/>
    <mergeCell ref="I165:I166"/>
    <mergeCell ref="J165:J166"/>
    <mergeCell ref="K165:K166"/>
    <mergeCell ref="L165:L166"/>
    <mergeCell ref="M165:M166"/>
    <mergeCell ref="O163:O164"/>
    <mergeCell ref="I169:I170"/>
    <mergeCell ref="J169:J170"/>
    <mergeCell ref="K169:K170"/>
    <mergeCell ref="L169:L170"/>
    <mergeCell ref="M169:M170"/>
    <mergeCell ref="N169:N170"/>
    <mergeCell ref="O169:O170"/>
    <mergeCell ref="A168:A169"/>
    <mergeCell ref="B168:B169"/>
    <mergeCell ref="D168:D169"/>
    <mergeCell ref="E168:E169"/>
    <mergeCell ref="F168:F169"/>
    <mergeCell ref="H168:H169"/>
    <mergeCell ref="M167:M168"/>
    <mergeCell ref="N167:N168"/>
    <mergeCell ref="O167:O168"/>
    <mergeCell ref="P167:P168"/>
    <mergeCell ref="A166:A167"/>
    <mergeCell ref="B166:B167"/>
    <mergeCell ref="D166:D167"/>
    <mergeCell ref="E166:E167"/>
    <mergeCell ref="F166:F167"/>
    <mergeCell ref="V171:V172"/>
    <mergeCell ref="A172:A173"/>
    <mergeCell ref="B172:B173"/>
    <mergeCell ref="D172:D173"/>
    <mergeCell ref="E172:E173"/>
    <mergeCell ref="F172:F173"/>
    <mergeCell ref="H172:H173"/>
    <mergeCell ref="Q172:Q173"/>
    <mergeCell ref="R172:R173"/>
    <mergeCell ref="W170:W171"/>
    <mergeCell ref="AD170:AD171"/>
    <mergeCell ref="G171:G172"/>
    <mergeCell ref="I171:I172"/>
    <mergeCell ref="J171:J172"/>
    <mergeCell ref="K171:K172"/>
    <mergeCell ref="L171:L172"/>
    <mergeCell ref="M171:M172"/>
    <mergeCell ref="N171:N172"/>
    <mergeCell ref="O171:O172"/>
    <mergeCell ref="V169:V170"/>
    <mergeCell ref="A170:A171"/>
    <mergeCell ref="B170:B171"/>
    <mergeCell ref="D170:D171"/>
    <mergeCell ref="E170:E171"/>
    <mergeCell ref="F170:F171"/>
    <mergeCell ref="H170:H171"/>
    <mergeCell ref="Q170:Q171"/>
    <mergeCell ref="R170:R171"/>
    <mergeCell ref="P171:P172"/>
    <mergeCell ref="W168:W169"/>
    <mergeCell ref="AD168:AD169"/>
    <mergeCell ref="G169:G170"/>
    <mergeCell ref="H176:H177"/>
    <mergeCell ref="R174:R175"/>
    <mergeCell ref="W174:W175"/>
    <mergeCell ref="AD174:AD175"/>
    <mergeCell ref="G175:G176"/>
    <mergeCell ref="I175:I176"/>
    <mergeCell ref="J175:J176"/>
    <mergeCell ref="K175:K176"/>
    <mergeCell ref="L175:L176"/>
    <mergeCell ref="M175:M176"/>
    <mergeCell ref="N175:N176"/>
    <mergeCell ref="P173:P174"/>
    <mergeCell ref="U173:U174"/>
    <mergeCell ref="V173:V174"/>
    <mergeCell ref="A174:A175"/>
    <mergeCell ref="B174:B175"/>
    <mergeCell ref="D174:D175"/>
    <mergeCell ref="E174:E175"/>
    <mergeCell ref="F174:F175"/>
    <mergeCell ref="H174:H175"/>
    <mergeCell ref="Q174:Q175"/>
    <mergeCell ref="W172:W173"/>
    <mergeCell ref="AD172:AD173"/>
    <mergeCell ref="G173:G174"/>
    <mergeCell ref="I173:I174"/>
    <mergeCell ref="J173:J174"/>
    <mergeCell ref="K173:K174"/>
    <mergeCell ref="L173:L174"/>
    <mergeCell ref="M173:M174"/>
    <mergeCell ref="N173:N174"/>
    <mergeCell ref="O173:O174"/>
    <mergeCell ref="U171:U172"/>
    <mergeCell ref="J179:J180"/>
    <mergeCell ref="K179:K180"/>
    <mergeCell ref="L179:L180"/>
    <mergeCell ref="N177:N178"/>
    <mergeCell ref="O177:O178"/>
    <mergeCell ref="P177:P178"/>
    <mergeCell ref="U177:U178"/>
    <mergeCell ref="V177:V178"/>
    <mergeCell ref="A178:A179"/>
    <mergeCell ref="B178:B179"/>
    <mergeCell ref="D178:D179"/>
    <mergeCell ref="E178:E179"/>
    <mergeCell ref="F178:F179"/>
    <mergeCell ref="Q176:Q177"/>
    <mergeCell ref="R176:R177"/>
    <mergeCell ref="W176:W177"/>
    <mergeCell ref="AD176:AD177"/>
    <mergeCell ref="G177:G178"/>
    <mergeCell ref="I177:I178"/>
    <mergeCell ref="J177:J178"/>
    <mergeCell ref="K177:K178"/>
    <mergeCell ref="L177:L178"/>
    <mergeCell ref="M177:M178"/>
    <mergeCell ref="O175:O176"/>
    <mergeCell ref="P175:P176"/>
    <mergeCell ref="U175:U176"/>
    <mergeCell ref="V175:V176"/>
    <mergeCell ref="A176:A177"/>
    <mergeCell ref="B176:B177"/>
    <mergeCell ref="D176:D177"/>
    <mergeCell ref="E176:E177"/>
    <mergeCell ref="F176:F177"/>
    <mergeCell ref="AD180:AD181"/>
    <mergeCell ref="G181:G182"/>
    <mergeCell ref="I181:I182"/>
    <mergeCell ref="J181:J182"/>
    <mergeCell ref="K181:K182"/>
    <mergeCell ref="L181:L182"/>
    <mergeCell ref="M181:M182"/>
    <mergeCell ref="N181:N182"/>
    <mergeCell ref="O181:O182"/>
    <mergeCell ref="A180:A181"/>
    <mergeCell ref="B180:B181"/>
    <mergeCell ref="D180:D181"/>
    <mergeCell ref="E180:E181"/>
    <mergeCell ref="F180:F181"/>
    <mergeCell ref="H180:H181"/>
    <mergeCell ref="M179:M180"/>
    <mergeCell ref="N179:N180"/>
    <mergeCell ref="O179:O180"/>
    <mergeCell ref="P179:P180"/>
    <mergeCell ref="U179:U180"/>
    <mergeCell ref="V179:V180"/>
    <mergeCell ref="Q180:Q181"/>
    <mergeCell ref="R180:R181"/>
    <mergeCell ref="P181:P182"/>
    <mergeCell ref="U181:U182"/>
    <mergeCell ref="H178:H179"/>
    <mergeCell ref="Q178:Q179"/>
    <mergeCell ref="R178:R179"/>
    <mergeCell ref="W178:W179"/>
    <mergeCell ref="AD178:AD179"/>
    <mergeCell ref="G179:G180"/>
    <mergeCell ref="I179:I180"/>
    <mergeCell ref="O185:O186"/>
    <mergeCell ref="U183:U184"/>
    <mergeCell ref="V183:V184"/>
    <mergeCell ref="A184:A185"/>
    <mergeCell ref="B184:B185"/>
    <mergeCell ref="D184:D185"/>
    <mergeCell ref="E184:E185"/>
    <mergeCell ref="F184:F185"/>
    <mergeCell ref="H184:H185"/>
    <mergeCell ref="Q184:Q185"/>
    <mergeCell ref="R184:R185"/>
    <mergeCell ref="W182:W183"/>
    <mergeCell ref="AD182:AD183"/>
    <mergeCell ref="G183:G184"/>
    <mergeCell ref="I183:I184"/>
    <mergeCell ref="J183:J184"/>
    <mergeCell ref="K183:K184"/>
    <mergeCell ref="L183:L184"/>
    <mergeCell ref="M183:M184"/>
    <mergeCell ref="N183:N184"/>
    <mergeCell ref="O183:O184"/>
    <mergeCell ref="V181:V182"/>
    <mergeCell ref="A182:A183"/>
    <mergeCell ref="B182:B183"/>
    <mergeCell ref="D182:D183"/>
    <mergeCell ref="E182:E183"/>
    <mergeCell ref="F182:F183"/>
    <mergeCell ref="H182:H183"/>
    <mergeCell ref="Q182:Q183"/>
    <mergeCell ref="R182:R183"/>
    <mergeCell ref="P183:P184"/>
    <mergeCell ref="W180:W181"/>
    <mergeCell ref="E188:E189"/>
    <mergeCell ref="F188:F189"/>
    <mergeCell ref="H188:H189"/>
    <mergeCell ref="R186:R187"/>
    <mergeCell ref="W186:W187"/>
    <mergeCell ref="AD186:AD187"/>
    <mergeCell ref="G187:G188"/>
    <mergeCell ref="I187:I188"/>
    <mergeCell ref="J187:J188"/>
    <mergeCell ref="K187:K188"/>
    <mergeCell ref="L187:L188"/>
    <mergeCell ref="M187:M188"/>
    <mergeCell ref="N187:N188"/>
    <mergeCell ref="P185:P186"/>
    <mergeCell ref="U185:U186"/>
    <mergeCell ref="V185:V186"/>
    <mergeCell ref="A186:A187"/>
    <mergeCell ref="B186:B187"/>
    <mergeCell ref="D186:D187"/>
    <mergeCell ref="E186:E187"/>
    <mergeCell ref="F186:F187"/>
    <mergeCell ref="H186:H187"/>
    <mergeCell ref="Q186:Q187"/>
    <mergeCell ref="W184:W185"/>
    <mergeCell ref="AD184:AD185"/>
    <mergeCell ref="G185:G186"/>
    <mergeCell ref="I185:I186"/>
    <mergeCell ref="J185:J186"/>
    <mergeCell ref="K185:K186"/>
    <mergeCell ref="L185:L186"/>
    <mergeCell ref="M185:M186"/>
    <mergeCell ref="N185:N186"/>
    <mergeCell ref="H190:H191"/>
    <mergeCell ref="Q190:Q191"/>
    <mergeCell ref="R190:R191"/>
    <mergeCell ref="W190:W191"/>
    <mergeCell ref="A192:AD194"/>
    <mergeCell ref="N189:N190"/>
    <mergeCell ref="O189:O190"/>
    <mergeCell ref="P189:P190"/>
    <mergeCell ref="U189:U190"/>
    <mergeCell ref="V189:V190"/>
    <mergeCell ref="A190:A191"/>
    <mergeCell ref="B190:B191"/>
    <mergeCell ref="D190:D191"/>
    <mergeCell ref="E190:E191"/>
    <mergeCell ref="F190:F191"/>
    <mergeCell ref="Q188:Q189"/>
    <mergeCell ref="R188:R189"/>
    <mergeCell ref="W188:W189"/>
    <mergeCell ref="AD188:AD191"/>
    <mergeCell ref="G189:G190"/>
    <mergeCell ref="I189:I190"/>
    <mergeCell ref="J189:J190"/>
    <mergeCell ref="K189:K190"/>
    <mergeCell ref="L189:L190"/>
    <mergeCell ref="M189:M190"/>
    <mergeCell ref="O187:O188"/>
    <mergeCell ref="P187:P188"/>
    <mergeCell ref="U187:U188"/>
    <mergeCell ref="V187:V188"/>
    <mergeCell ref="A188:A189"/>
    <mergeCell ref="B188:B189"/>
    <mergeCell ref="D188:D189"/>
  </mergeCells>
  <printOptions horizontalCentered="1" verticalCentered="1"/>
  <pageMargins left="0" right="0" top="0" bottom="0" header="0.3" footer="0.3"/>
  <pageSetup paperSize="9" scale="65" orientation="landscape" horizontalDpi="4294967293" verticalDpi="360" r:id="rId1"/>
  <rowBreaks count="2" manualBreakCount="2">
    <brk id="53" max="29" man="1"/>
    <brk id="100" max="29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29"/>
  <sheetViews>
    <sheetView view="pageBreakPreview" zoomScaleSheetLayoutView="100" workbookViewId="0">
      <selection activeCell="X12" sqref="X12"/>
    </sheetView>
  </sheetViews>
  <sheetFormatPr defaultColWidth="9" defaultRowHeight="13.5"/>
  <cols>
    <col min="1" max="1" width="5.25" style="13" customWidth="1"/>
    <col min="2" max="2" width="20.25" style="13" customWidth="1"/>
    <col min="3" max="3" width="12.875" style="89" customWidth="1"/>
    <col min="4" max="4" width="9.875" style="39" hidden="1" customWidth="1"/>
    <col min="5" max="5" width="9.375" style="39" hidden="1" customWidth="1"/>
    <col min="6" max="6" width="7.125" style="39" hidden="1" customWidth="1"/>
    <col min="7" max="7" width="16.25" style="39" hidden="1" customWidth="1"/>
    <col min="8" max="9" width="15.375" style="39" hidden="1" customWidth="1"/>
    <col min="10" max="10" width="8.625" style="39" hidden="1" customWidth="1"/>
    <col min="11" max="11" width="7.25" style="39" hidden="1" customWidth="1"/>
    <col min="12" max="13" width="9.375" style="39" hidden="1" customWidth="1"/>
    <col min="14" max="14" width="7.25" style="40" customWidth="1"/>
    <col min="15" max="15" width="8.375" style="41" customWidth="1"/>
    <col min="16" max="16" width="6.625" style="41" customWidth="1"/>
    <col min="17" max="17" width="8.375" style="42" customWidth="1"/>
    <col min="18" max="18" width="8" style="42" customWidth="1"/>
    <col min="19" max="19" width="13.75" style="89" customWidth="1"/>
    <col min="20" max="20" width="0.25" style="89" hidden="1" customWidth="1"/>
    <col min="21" max="21" width="8.375" style="24" customWidth="1"/>
    <col min="22" max="22" width="0.375" style="43" hidden="1" customWidth="1"/>
    <col min="23" max="23" width="15.5" style="47" customWidth="1"/>
    <col min="24" max="25" width="9.625" style="89" customWidth="1"/>
    <col min="26" max="27" width="5.875" style="89" customWidth="1"/>
    <col min="28" max="28" width="8.5" style="89" customWidth="1"/>
    <col min="29" max="29" width="7.875" style="89" customWidth="1"/>
    <col min="30" max="30" width="52.75" style="13" customWidth="1"/>
    <col min="31" max="16384" width="9" style="13"/>
  </cols>
  <sheetData>
    <row r="1" spans="1:30" s="1" customFormat="1" ht="30.75" customHeight="1">
      <c r="A1" s="525" t="s">
        <v>31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</row>
    <row r="2" spans="1:30" s="1" customFormat="1" ht="23.25" customHeight="1">
      <c r="A2" s="526" t="s">
        <v>50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</row>
    <row r="3" spans="1:30" s="1" customFormat="1" ht="15.95" customHeight="1">
      <c r="A3" s="527" t="s">
        <v>119</v>
      </c>
      <c r="B3" s="527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528" t="s">
        <v>138</v>
      </c>
      <c r="O3" s="528"/>
      <c r="P3" s="5"/>
      <c r="Q3" s="50"/>
      <c r="R3" s="529" t="s">
        <v>112</v>
      </c>
      <c r="S3" s="529"/>
      <c r="T3" s="529"/>
      <c r="U3" s="529"/>
      <c r="V3" s="530" t="s">
        <v>120</v>
      </c>
      <c r="W3" s="530"/>
      <c r="X3" s="530"/>
      <c r="Y3" s="530"/>
      <c r="Z3" s="530"/>
      <c r="AA3" s="531" t="s">
        <v>121</v>
      </c>
      <c r="AB3" s="531"/>
      <c r="AC3" s="531"/>
      <c r="AD3" s="67" t="s">
        <v>107</v>
      </c>
    </row>
    <row r="4" spans="1:30" s="1" customFormat="1" ht="4.5" customHeight="1">
      <c r="A4" s="8"/>
      <c r="B4" s="9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5"/>
      <c r="P4" s="5"/>
      <c r="Q4" s="50"/>
      <c r="R4" s="50"/>
      <c r="S4" s="10"/>
      <c r="T4" s="10"/>
      <c r="U4" s="6"/>
      <c r="V4" s="10"/>
      <c r="W4" s="44"/>
      <c r="X4" s="10"/>
      <c r="Y4" s="10"/>
      <c r="Z4" s="10"/>
      <c r="AA4" s="10"/>
      <c r="AB4" s="87"/>
      <c r="AC4" s="87"/>
      <c r="AD4" s="7"/>
    </row>
    <row r="5" spans="1:30" ht="14.1" customHeight="1">
      <c r="A5" s="490" t="s">
        <v>11</v>
      </c>
      <c r="B5" s="493" t="s">
        <v>12</v>
      </c>
      <c r="C5" s="494"/>
      <c r="D5" s="11"/>
      <c r="E5" s="11"/>
      <c r="F5" s="11"/>
      <c r="G5" s="11"/>
      <c r="H5" s="11"/>
      <c r="I5" s="11"/>
      <c r="J5" s="11"/>
      <c r="K5" s="11"/>
      <c r="L5" s="11"/>
      <c r="M5" s="11"/>
      <c r="N5" s="499" t="s">
        <v>4</v>
      </c>
      <c r="O5" s="500" t="s">
        <v>5</v>
      </c>
      <c r="P5" s="500" t="s">
        <v>13</v>
      </c>
      <c r="Q5" s="484" t="s">
        <v>14</v>
      </c>
      <c r="R5" s="484" t="s">
        <v>6</v>
      </c>
      <c r="S5" s="76" t="s">
        <v>52</v>
      </c>
      <c r="T5" s="79" t="s">
        <v>33</v>
      </c>
      <c r="U5" s="485" t="s">
        <v>15</v>
      </c>
      <c r="V5" s="12"/>
      <c r="W5" s="486" t="s">
        <v>16</v>
      </c>
      <c r="X5" s="82" t="s">
        <v>34</v>
      </c>
      <c r="Y5" s="82" t="s">
        <v>33</v>
      </c>
      <c r="Z5" s="82" t="s">
        <v>35</v>
      </c>
      <c r="AA5" s="82" t="s">
        <v>36</v>
      </c>
      <c r="AB5" s="487" t="s">
        <v>37</v>
      </c>
      <c r="AC5" s="82" t="s">
        <v>58</v>
      </c>
      <c r="AD5" s="487" t="s">
        <v>38</v>
      </c>
    </row>
    <row r="6" spans="1:30" ht="14.1" customHeight="1">
      <c r="A6" s="491"/>
      <c r="B6" s="495"/>
      <c r="C6" s="496"/>
      <c r="D6" s="11"/>
      <c r="E6" s="11"/>
      <c r="F6" s="11"/>
      <c r="G6" s="11"/>
      <c r="H6" s="11"/>
      <c r="I6" s="11"/>
      <c r="J6" s="11"/>
      <c r="K6" s="11"/>
      <c r="L6" s="11"/>
      <c r="M6" s="11"/>
      <c r="N6" s="499"/>
      <c r="O6" s="500"/>
      <c r="P6" s="500"/>
      <c r="Q6" s="484"/>
      <c r="R6" s="484"/>
      <c r="S6" s="77" t="s">
        <v>53</v>
      </c>
      <c r="T6" s="80" t="s">
        <v>39</v>
      </c>
      <c r="U6" s="485"/>
      <c r="V6" s="12"/>
      <c r="W6" s="486"/>
      <c r="X6" s="83" t="s">
        <v>40</v>
      </c>
      <c r="Y6" s="83" t="s">
        <v>41</v>
      </c>
      <c r="Z6" s="83" t="s">
        <v>42</v>
      </c>
      <c r="AA6" s="83" t="s">
        <v>43</v>
      </c>
      <c r="AB6" s="488"/>
      <c r="AC6" s="83" t="s">
        <v>59</v>
      </c>
      <c r="AD6" s="488"/>
    </row>
    <row r="7" spans="1:30" s="89" customFormat="1" ht="14.1" customHeight="1">
      <c r="A7" s="491"/>
      <c r="B7" s="495"/>
      <c r="C7" s="496"/>
      <c r="D7" s="14" t="s">
        <v>17</v>
      </c>
      <c r="E7" s="14" t="s">
        <v>18</v>
      </c>
      <c r="F7" s="15" t="s">
        <v>0</v>
      </c>
      <c r="G7" s="15" t="s">
        <v>1</v>
      </c>
      <c r="H7" s="85" t="s">
        <v>19</v>
      </c>
      <c r="I7" s="16" t="s">
        <v>2</v>
      </c>
      <c r="J7" s="15" t="s">
        <v>3</v>
      </c>
      <c r="K7" s="85"/>
      <c r="L7" s="15" t="s">
        <v>20</v>
      </c>
      <c r="M7" s="15" t="s">
        <v>21</v>
      </c>
      <c r="N7" s="499"/>
      <c r="O7" s="500"/>
      <c r="P7" s="500"/>
      <c r="Q7" s="484"/>
      <c r="R7" s="484"/>
      <c r="S7" s="77" t="s">
        <v>54</v>
      </c>
      <c r="T7" s="80" t="s">
        <v>44</v>
      </c>
      <c r="U7" s="485"/>
      <c r="V7" s="12"/>
      <c r="W7" s="486"/>
      <c r="X7" s="83" t="s">
        <v>44</v>
      </c>
      <c r="Y7" s="83" t="s">
        <v>45</v>
      </c>
      <c r="Z7" s="83" t="s">
        <v>46</v>
      </c>
      <c r="AA7" s="83" t="s">
        <v>72</v>
      </c>
      <c r="AB7" s="488"/>
      <c r="AC7" s="83" t="s">
        <v>73</v>
      </c>
      <c r="AD7" s="488"/>
    </row>
    <row r="8" spans="1:30" ht="13.5" customHeight="1">
      <c r="A8" s="492"/>
      <c r="B8" s="497"/>
      <c r="C8" s="498"/>
      <c r="D8" s="11"/>
      <c r="E8" s="11"/>
      <c r="F8" s="17"/>
      <c r="G8" s="17"/>
      <c r="H8" s="17"/>
      <c r="I8" s="86"/>
      <c r="J8" s="17"/>
      <c r="K8" s="17"/>
      <c r="L8" s="17"/>
      <c r="M8" s="17"/>
      <c r="N8" s="499"/>
      <c r="O8" s="500"/>
      <c r="P8" s="500"/>
      <c r="Q8" s="484"/>
      <c r="R8" s="484"/>
      <c r="S8" s="78" t="s">
        <v>55</v>
      </c>
      <c r="T8" s="81" t="s">
        <v>47</v>
      </c>
      <c r="U8" s="485"/>
      <c r="V8" s="12"/>
      <c r="W8" s="486"/>
      <c r="X8" s="84" t="s">
        <v>47</v>
      </c>
      <c r="Y8" s="84" t="s">
        <v>48</v>
      </c>
      <c r="Z8" s="84" t="s">
        <v>49</v>
      </c>
      <c r="AA8" s="84"/>
      <c r="AB8" s="489"/>
      <c r="AC8" s="70" t="s">
        <v>60</v>
      </c>
      <c r="AD8" s="489"/>
    </row>
    <row r="9" spans="1:30" ht="15" customHeight="1">
      <c r="A9" s="502">
        <f>IF(B9="","",1)</f>
        <v>1</v>
      </c>
      <c r="B9" s="393" t="s">
        <v>110</v>
      </c>
      <c r="C9" s="71">
        <v>35.034799999999997</v>
      </c>
      <c r="D9" s="472">
        <f>TRUNC(C9)+((C9-TRUNC(C9))/0.6)</f>
        <v>35.057999999999993</v>
      </c>
      <c r="E9" s="472">
        <f>TRUNC(C10)+((C10-TRUNC(C10))/0.6)</f>
        <v>136.88333333333333</v>
      </c>
      <c r="F9" s="473">
        <f>ROUND(((LOG10(TAN(PI()/4+(D9/2*PI()/180)))*7915.7046)-(3437.7468*((0.0816968^2*SIN(D9*PI()/180))+(0.0816968^4/3*((SIN(D9*PI()/180))^3))+(0.0816968^6/5*((SIN(D9*PI()/180))^5))))),2)</f>
        <v>2235.35</v>
      </c>
      <c r="G9" s="58"/>
      <c r="H9" s="464">
        <f>IF(E9&lt;0,E9+360,E9)</f>
        <v>136.88333333333333</v>
      </c>
      <c r="I9" s="88"/>
      <c r="J9" s="58"/>
      <c r="K9" s="58"/>
      <c r="L9" s="58"/>
      <c r="M9" s="58"/>
      <c r="N9" s="59"/>
      <c r="O9" s="60"/>
      <c r="P9" s="60"/>
      <c r="Q9" s="501">
        <f>IF(O10="","",0)</f>
        <v>0</v>
      </c>
      <c r="R9" s="521">
        <v>1102.7000000000003</v>
      </c>
      <c r="S9" s="61"/>
      <c r="T9" s="61" t="s">
        <v>7</v>
      </c>
      <c r="U9" s="62"/>
      <c r="V9" s="63"/>
      <c r="W9" s="482">
        <v>43255.708333333336</v>
      </c>
      <c r="X9" s="61" t="s">
        <v>87</v>
      </c>
      <c r="Y9" s="61"/>
      <c r="Z9" s="61"/>
      <c r="AA9" s="61"/>
      <c r="AB9" s="52"/>
      <c r="AC9" s="57"/>
      <c r="AD9" s="523" t="s">
        <v>90</v>
      </c>
    </row>
    <row r="10" spans="1:30" ht="15" customHeight="1">
      <c r="A10" s="502"/>
      <c r="B10" s="393"/>
      <c r="C10" s="72">
        <v>136.53</v>
      </c>
      <c r="D10" s="472"/>
      <c r="E10" s="472"/>
      <c r="F10" s="473"/>
      <c r="G10" s="464">
        <f>ABS(D9-D11)*60</f>
        <v>0.47999999999930765</v>
      </c>
      <c r="H10" s="464"/>
      <c r="I10" s="477">
        <f>ABS(H9-H11)*60</f>
        <v>0.37000000000034561</v>
      </c>
      <c r="J10" s="478">
        <f>ABS(F9-F11)</f>
        <v>0.58999999999969077</v>
      </c>
      <c r="K10" s="479">
        <f>IF(AND(D9&lt;D11,H9=H11),0,IF(AND(D9&gt;D11,H9=H11),180,IF(AND(D9=D11,H9&lt;H11),90,IF(AND(D9=D11,H9&gt;H11),270,(ATAN(I10/J10)*180/PI())))))</f>
        <v>32.092591328771768</v>
      </c>
      <c r="L10" s="472">
        <f>IF(OR(K10=0,K10=90,K10=180,K10=270),K10,IF(AND(D9&lt;D11,H9&lt;H11),K10,IF(AND(D9&lt;D11,H9&gt;H11),360-K10,IF(AND(D9&gt;D11,H9&lt;H11),180-K10,IF(AND(D9&gt;D11,H9&gt;H11),180+K10)))))</f>
        <v>212.09259132877176</v>
      </c>
      <c r="M10" s="472">
        <f>(IF(I10=0,G10,IF(G10=0,COS(D11*PI()/180)*I10,G10/COS(K10*PI()/180))))</f>
        <v>0.56657850618995642</v>
      </c>
      <c r="N10" s="468">
        <f>IF(C12="","",ROUND(L10,1))</f>
        <v>212.1</v>
      </c>
      <c r="O10" s="469">
        <f>IF(C12="","",ROUND(M10,1))</f>
        <v>0.6</v>
      </c>
      <c r="P10" s="353">
        <v>3</v>
      </c>
      <c r="Q10" s="501"/>
      <c r="R10" s="522"/>
      <c r="S10" s="64">
        <v>2.9</v>
      </c>
      <c r="T10" s="64" t="s">
        <v>23</v>
      </c>
      <c r="U10" s="358"/>
      <c r="V10" s="470">
        <f>(O10/P10+U10/60)/24</f>
        <v>8.3333333333333332E-3</v>
      </c>
      <c r="W10" s="482"/>
      <c r="X10" s="64" t="s">
        <v>88</v>
      </c>
      <c r="Y10" s="65" t="s">
        <v>89</v>
      </c>
      <c r="Z10" s="64" t="s">
        <v>32</v>
      </c>
      <c r="AA10" s="64">
        <v>3</v>
      </c>
      <c r="AB10" s="53" t="s">
        <v>74</v>
      </c>
      <c r="AC10" s="56" t="s">
        <v>83</v>
      </c>
      <c r="AD10" s="524"/>
    </row>
    <row r="11" spans="1:30" ht="15" customHeight="1">
      <c r="A11" s="471">
        <f>IF(B11="","",A9+1)</f>
        <v>2</v>
      </c>
      <c r="B11" s="348" t="s">
        <v>109</v>
      </c>
      <c r="C11" s="54">
        <v>35.03</v>
      </c>
      <c r="D11" s="472">
        <f>TRUNC(C11)+((C11-TRUNC(C11))/0.6)</f>
        <v>35.050000000000004</v>
      </c>
      <c r="E11" s="472">
        <f>TRUNC(C12)+((C12-TRUNC(C12))/0.6)</f>
        <v>136.87716666666665</v>
      </c>
      <c r="F11" s="473">
        <f>ROUND(((LOG10(TAN(PI()/4+(D11/2*PI()/180)))*7915.7046)-(3437.7468*((0.0816968^2*SIN(D11*PI()/180))+(0.0816968^4/3*((SIN(D11*PI()/180))^3))+(0.0816968^6/5*((SIN(D11*PI()/180))^5))))),2)</f>
        <v>2234.7600000000002</v>
      </c>
      <c r="G11" s="464"/>
      <c r="H11" s="464">
        <f>IF(E11&lt;0,E11+360,E11)</f>
        <v>136.87716666666665</v>
      </c>
      <c r="I11" s="477"/>
      <c r="J11" s="478"/>
      <c r="K11" s="479"/>
      <c r="L11" s="472"/>
      <c r="M11" s="472"/>
      <c r="N11" s="468"/>
      <c r="O11" s="469"/>
      <c r="P11" s="353"/>
      <c r="Q11" s="465">
        <f>IF(O10="","",Q9+O10)</f>
        <v>0.6</v>
      </c>
      <c r="R11" s="465">
        <f>IF(O10="","",R9-O10)</f>
        <v>1102.1000000000004</v>
      </c>
      <c r="S11" s="61"/>
      <c r="T11" s="61" t="s">
        <v>7</v>
      </c>
      <c r="U11" s="355"/>
      <c r="V11" s="470"/>
      <c r="W11" s="466">
        <f>IF(P10="","",W9+V10)</f>
        <v>43255.716666666667</v>
      </c>
      <c r="X11" s="61" t="s">
        <v>87</v>
      </c>
      <c r="Y11" s="61"/>
      <c r="Z11" s="61"/>
      <c r="AA11" s="61"/>
      <c r="AB11" s="52"/>
      <c r="AC11" s="57"/>
      <c r="AD11" s="504" t="s">
        <v>97</v>
      </c>
    </row>
    <row r="12" spans="1:30" ht="15" customHeight="1">
      <c r="A12" s="471"/>
      <c r="B12" s="349"/>
      <c r="C12" s="55">
        <v>136.52629999999999</v>
      </c>
      <c r="D12" s="472"/>
      <c r="E12" s="472"/>
      <c r="F12" s="473"/>
      <c r="G12" s="464">
        <f>ABS(D11-D13)*60</f>
        <v>0.95000000000041496</v>
      </c>
      <c r="H12" s="464"/>
      <c r="I12" s="477">
        <f>ABS(H11-H13)*60</f>
        <v>1.3599999999991041</v>
      </c>
      <c r="J12" s="478">
        <f>ABS(F11-F13)</f>
        <v>1.1500000000000909</v>
      </c>
      <c r="K12" s="479">
        <f>IF(AND(D11&lt;D13,H11=H13),0,IF(AND(D11&gt;D13,H11=H13),180,IF(AND(D11=D13,H11&lt;H13),90,IF(AND(D11=D13,H11&gt;H13),270,(ATAN(I12/J12)*180/PI())))))</f>
        <v>49.782532484453093</v>
      </c>
      <c r="L12" s="472">
        <f>IF(OR(K12=0,K12=90,K12=180,K12=270),K12,IF(AND(D11&lt;D13,H11&lt;H13),K12,IF(AND(D11&lt;D13,H11&gt;H13),360-K12,IF(AND(D11&gt;D13,H11&lt;H13),180-K12,IF(AND(D11&gt;D13,H11&gt;H13),180+K12)))))</f>
        <v>229.7825324844531</v>
      </c>
      <c r="M12" s="472">
        <f>(IF(I12=0,G12,IF(G12=0,COS(D13*PI()/180)*I12,G12/COS(K12*PI()/180))))</f>
        <v>1.4712931056205392</v>
      </c>
      <c r="N12" s="468">
        <f>IF(C14="","",ROUND(L12,1))</f>
        <v>229.8</v>
      </c>
      <c r="O12" s="469">
        <f>IF(C14="","",ROUND(M12,1))</f>
        <v>1.5</v>
      </c>
      <c r="P12" s="353">
        <v>5</v>
      </c>
      <c r="Q12" s="465"/>
      <c r="R12" s="465"/>
      <c r="S12" s="64">
        <v>3</v>
      </c>
      <c r="T12" s="64" t="s">
        <v>23</v>
      </c>
      <c r="U12" s="358"/>
      <c r="V12" s="470">
        <f>(O12/P12+U12/60)/24</f>
        <v>1.2499999999999999E-2</v>
      </c>
      <c r="W12" s="466"/>
      <c r="X12" s="64" t="s">
        <v>88</v>
      </c>
      <c r="Y12" s="65" t="s">
        <v>89</v>
      </c>
      <c r="Z12" s="64" t="s">
        <v>32</v>
      </c>
      <c r="AA12" s="64">
        <v>3</v>
      </c>
      <c r="AB12" s="53" t="s">
        <v>74</v>
      </c>
      <c r="AC12" s="56" t="s">
        <v>83</v>
      </c>
      <c r="AD12" s="505"/>
    </row>
    <row r="13" spans="1:30" ht="15" customHeight="1">
      <c r="A13" s="471">
        <f>IF(B13="","",A11+1)</f>
        <v>3</v>
      </c>
      <c r="B13" s="392" t="s">
        <v>108</v>
      </c>
      <c r="C13" s="54">
        <v>35.020499999999998</v>
      </c>
      <c r="D13" s="472">
        <f>TRUNC(C13)+((C13-TRUNC(C13))/0.6)</f>
        <v>35.034166666666664</v>
      </c>
      <c r="E13" s="472">
        <f>TRUNC(C14)+((C14-TRUNC(C14))/0.6)</f>
        <v>136.8545</v>
      </c>
      <c r="F13" s="473">
        <f>ROUND(((LOG10(TAN(PI()/4+(D13/2*PI()/180)))*7915.7046)-(3437.7468*((0.0816968^2*SIN(D13*PI()/180))+(0.0816968^4/3*((SIN(D13*PI()/180))^3))+(0.0816968^6/5*((SIN(D13*PI()/180))^5))))),2)</f>
        <v>2233.61</v>
      </c>
      <c r="G13" s="464"/>
      <c r="H13" s="464">
        <f>IF(E13&lt;0,E13+360,E13)</f>
        <v>136.8545</v>
      </c>
      <c r="I13" s="477"/>
      <c r="J13" s="478"/>
      <c r="K13" s="479"/>
      <c r="L13" s="472"/>
      <c r="M13" s="472"/>
      <c r="N13" s="468"/>
      <c r="O13" s="469"/>
      <c r="P13" s="353"/>
      <c r="Q13" s="465">
        <f>IF(O12="","",Q11+O12)</f>
        <v>2.1</v>
      </c>
      <c r="R13" s="465">
        <f>IF(O12="","",R11-O12)</f>
        <v>1100.6000000000004</v>
      </c>
      <c r="S13" s="61"/>
      <c r="T13" s="61" t="s">
        <v>7</v>
      </c>
      <c r="U13" s="355"/>
      <c r="V13" s="470"/>
      <c r="W13" s="466">
        <f>IF(P12="","",W11+V12)</f>
        <v>43255.729166666664</v>
      </c>
      <c r="X13" s="61" t="s">
        <v>87</v>
      </c>
      <c r="Y13" s="61"/>
      <c r="Z13" s="61"/>
      <c r="AA13" s="61"/>
      <c r="AB13" s="52"/>
      <c r="AC13" s="57"/>
      <c r="AD13" s="514" t="s">
        <v>143</v>
      </c>
    </row>
    <row r="14" spans="1:30" ht="15" customHeight="1">
      <c r="A14" s="471"/>
      <c r="B14" s="392"/>
      <c r="C14" s="55">
        <v>136.5127</v>
      </c>
      <c r="D14" s="472"/>
      <c r="E14" s="472"/>
      <c r="F14" s="473"/>
      <c r="G14" s="464">
        <f>ABS(D13-D15)*60</f>
        <v>0.69000000000031037</v>
      </c>
      <c r="H14" s="464"/>
      <c r="I14" s="477">
        <f>ABS(H13-H15)*60</f>
        <v>0.57000000000016371</v>
      </c>
      <c r="J14" s="478">
        <f>ABS(F13-F15)</f>
        <v>0.84000000000014552</v>
      </c>
      <c r="K14" s="479">
        <f>IF(AND(D13&lt;D15,H13=H15),0,IF(AND(D13&gt;D15,H13=H15),180,IF(AND(D13=D15,H13&lt;H15),90,IF(AND(D13=D15,H13&gt;H15),270,(ATAN(I14/J14)*180/PI())))))</f>
        <v>34.159694545672465</v>
      </c>
      <c r="L14" s="472">
        <f>IF(OR(K14=0,K14=90,K14=180,K14=270),K14,IF(AND(D13&lt;D15,H13&lt;H15),K14,IF(AND(D13&lt;D15,H13&gt;H15),360-K14,IF(AND(D13&gt;D15,H13&lt;H15),180-K14,IF(AND(D13&gt;D15,H13&gt;H15),180+K14)))))</f>
        <v>214.15969454567247</v>
      </c>
      <c r="M14" s="472">
        <f>(IF(I14=0,G14,IF(G14=0,COS(D15*PI()/180)*I14,G14/COS(K14*PI()/180))))</f>
        <v>0.83386126984505893</v>
      </c>
      <c r="N14" s="468">
        <f>IF(C16="","",ROUND(L14,1))</f>
        <v>214.2</v>
      </c>
      <c r="O14" s="469">
        <f>IF(C16="","",ROUND(M14,1))</f>
        <v>0.8</v>
      </c>
      <c r="P14" s="353">
        <v>5</v>
      </c>
      <c r="Q14" s="465"/>
      <c r="R14" s="465"/>
      <c r="S14" s="64">
        <v>6</v>
      </c>
      <c r="T14" s="64" t="s">
        <v>23</v>
      </c>
      <c r="U14" s="358"/>
      <c r="V14" s="470">
        <f>(O14/P14+U14/60)/24</f>
        <v>6.6666666666666671E-3</v>
      </c>
      <c r="W14" s="466"/>
      <c r="X14" s="64" t="s">
        <v>88</v>
      </c>
      <c r="Y14" s="65" t="s">
        <v>89</v>
      </c>
      <c r="Z14" s="64" t="s">
        <v>32</v>
      </c>
      <c r="AA14" s="64">
        <v>3</v>
      </c>
      <c r="AB14" s="53" t="s">
        <v>74</v>
      </c>
      <c r="AC14" s="56" t="s">
        <v>83</v>
      </c>
      <c r="AD14" s="515"/>
    </row>
    <row r="15" spans="1:30" ht="15" customHeight="1">
      <c r="A15" s="471">
        <f>IF(B15="","",A13+1)</f>
        <v>4</v>
      </c>
      <c r="B15" s="392" t="s">
        <v>105</v>
      </c>
      <c r="C15" s="54">
        <v>35.013599999999997</v>
      </c>
      <c r="D15" s="472">
        <f>TRUNC(C15)+((C15-TRUNC(C15))/0.6)</f>
        <v>35.022666666666659</v>
      </c>
      <c r="E15" s="472">
        <f>TRUNC(C16)+((C16-TRUNC(C16))/0.6)</f>
        <v>136.845</v>
      </c>
      <c r="F15" s="473">
        <f>ROUND(((LOG10(TAN(PI()/4+(D15/2*PI()/180)))*7915.7046)-(3437.7468*((0.0816968^2*SIN(D15*PI()/180))+(0.0816968^4/3*((SIN(D15*PI()/180))^3))+(0.0816968^6/5*((SIN(D15*PI()/180))^5))))),2)</f>
        <v>2232.77</v>
      </c>
      <c r="G15" s="464"/>
      <c r="H15" s="464">
        <f>IF(E15&lt;0,E15+360,E15)</f>
        <v>136.845</v>
      </c>
      <c r="I15" s="477"/>
      <c r="J15" s="478"/>
      <c r="K15" s="479"/>
      <c r="L15" s="472"/>
      <c r="M15" s="472"/>
      <c r="N15" s="468"/>
      <c r="O15" s="469"/>
      <c r="P15" s="353"/>
      <c r="Q15" s="465">
        <f>IF(O14="","",Q13+O14)</f>
        <v>2.9000000000000004</v>
      </c>
      <c r="R15" s="465">
        <f>IF(O14="","",R13-O14)</f>
        <v>1099.8000000000004</v>
      </c>
      <c r="S15" s="61"/>
      <c r="T15" s="61" t="s">
        <v>7</v>
      </c>
      <c r="U15" s="355"/>
      <c r="V15" s="470"/>
      <c r="W15" s="466">
        <f>IF(P14="","",W13+V14)</f>
        <v>43255.735833333332</v>
      </c>
      <c r="X15" s="61" t="s">
        <v>87</v>
      </c>
      <c r="Y15" s="61"/>
      <c r="Z15" s="61"/>
      <c r="AA15" s="61"/>
      <c r="AB15" s="52"/>
      <c r="AC15" s="57"/>
      <c r="AD15" s="480" t="s">
        <v>93</v>
      </c>
    </row>
    <row r="16" spans="1:30" ht="15" customHeight="1">
      <c r="A16" s="471"/>
      <c r="B16" s="392"/>
      <c r="C16" s="55">
        <v>136.50700000000001</v>
      </c>
      <c r="D16" s="472"/>
      <c r="E16" s="472"/>
      <c r="F16" s="473"/>
      <c r="G16" s="464">
        <f>ABS(D15-D17)*60</f>
        <v>5.8099999999993202</v>
      </c>
      <c r="H16" s="464"/>
      <c r="I16" s="477">
        <f>ABS(H15-H17)*60</f>
        <v>4.9000000000006594</v>
      </c>
      <c r="J16" s="478">
        <f>ABS(F15-F17)</f>
        <v>7.0599999999999454</v>
      </c>
      <c r="K16" s="479">
        <f>IF(AND(D15&lt;D17,H15=H17),0,IF(AND(D15&gt;D17,H15=H17),180,IF(AND(D15=D17,H15&lt;H17),90,IF(AND(D15=D17,H15&gt;H17),270,(ATAN(I16/J16)*180/PI())))))</f>
        <v>34.762619828597046</v>
      </c>
      <c r="L16" s="472">
        <f>IF(OR(K16=0,K16=90,K16=180,K16=270),K16,IF(AND(D15&lt;D17,H15&lt;H17),K16,IF(AND(D15&lt;D17,H15&gt;H17),360-K16,IF(AND(D15&gt;D17,H15&lt;H17),180-K16,IF(AND(D15&gt;D17,H15&gt;H17),180+K16)))))</f>
        <v>214.76261982859705</v>
      </c>
      <c r="M16" s="472">
        <f>(IF(I16=0,G16,IF(G16=0,COS(D17*PI()/180)*I16,G16/COS(K16*PI()/180))))</f>
        <v>7.0722444949239396</v>
      </c>
      <c r="N16" s="468">
        <f>IF(C18="","",ROUND(L16,1))</f>
        <v>214.8</v>
      </c>
      <c r="O16" s="469">
        <f>IF(C18="","",ROUND(M16,1))</f>
        <v>7.1</v>
      </c>
      <c r="P16" s="353">
        <v>12</v>
      </c>
      <c r="Q16" s="465"/>
      <c r="R16" s="465"/>
      <c r="S16" s="64">
        <v>7</v>
      </c>
      <c r="T16" s="64" t="s">
        <v>23</v>
      </c>
      <c r="U16" s="358"/>
      <c r="V16" s="470">
        <f>(O16/P16+U16/60)/24</f>
        <v>2.4652777777777777E-2</v>
      </c>
      <c r="W16" s="466"/>
      <c r="X16" s="64" t="s">
        <v>88</v>
      </c>
      <c r="Y16" s="65" t="s">
        <v>89</v>
      </c>
      <c r="Z16" s="64" t="s">
        <v>32</v>
      </c>
      <c r="AA16" s="64">
        <v>3</v>
      </c>
      <c r="AB16" s="53" t="s">
        <v>75</v>
      </c>
      <c r="AC16" s="56" t="s">
        <v>83</v>
      </c>
      <c r="AD16" s="480"/>
    </row>
    <row r="17" spans="1:30" ht="15" customHeight="1">
      <c r="A17" s="471">
        <f>IF(B17="","",A15+1)</f>
        <v>5</v>
      </c>
      <c r="B17" s="392" t="s">
        <v>111</v>
      </c>
      <c r="C17" s="54">
        <v>34.555500000000002</v>
      </c>
      <c r="D17" s="472">
        <f>TRUNC(C17)+((C17-TRUNC(C17))/0.6)</f>
        <v>34.925833333333337</v>
      </c>
      <c r="E17" s="472">
        <f>TRUNC(C18)+((C18-TRUNC(C18))/0.6)</f>
        <v>136.76333333333332</v>
      </c>
      <c r="F17" s="473">
        <f>ROUND(((LOG10(TAN(PI()/4+(D17/2*PI()/180)))*7915.7046)-(3437.7468*((0.0816968^2*SIN(D17*PI()/180))+(0.0816968^4/3*((SIN(D17*PI()/180))^3))+(0.0816968^6/5*((SIN(D17*PI()/180))^5))))),2)</f>
        <v>2225.71</v>
      </c>
      <c r="G17" s="464"/>
      <c r="H17" s="464">
        <f>IF(E17&lt;0,E17+360,E17)</f>
        <v>136.76333333333332</v>
      </c>
      <c r="I17" s="477"/>
      <c r="J17" s="478"/>
      <c r="K17" s="479"/>
      <c r="L17" s="472"/>
      <c r="M17" s="472"/>
      <c r="N17" s="468"/>
      <c r="O17" s="469"/>
      <c r="P17" s="353"/>
      <c r="Q17" s="465">
        <f>IF(O16="","",Q15+O16)</f>
        <v>10</v>
      </c>
      <c r="R17" s="465">
        <f>IF(O16="","",R15-O16)</f>
        <v>1092.7000000000005</v>
      </c>
      <c r="S17" s="61"/>
      <c r="T17" s="61" t="s">
        <v>7</v>
      </c>
      <c r="U17" s="355"/>
      <c r="V17" s="470"/>
      <c r="W17" s="466">
        <f>IF(P16="","",W15+V16)</f>
        <v>43255.76048611111</v>
      </c>
      <c r="X17" s="61" t="s">
        <v>87</v>
      </c>
      <c r="Y17" s="61"/>
      <c r="Z17" s="61"/>
      <c r="AA17" s="61"/>
      <c r="AB17" s="52"/>
      <c r="AC17" s="57"/>
      <c r="AD17" s="503" t="s">
        <v>91</v>
      </c>
    </row>
    <row r="18" spans="1:30" ht="15" customHeight="1">
      <c r="A18" s="471"/>
      <c r="B18" s="392"/>
      <c r="C18" s="55">
        <v>136.458</v>
      </c>
      <c r="D18" s="472"/>
      <c r="E18" s="472"/>
      <c r="F18" s="473"/>
      <c r="G18" s="464">
        <f>ABS(D17-D19)*60</f>
        <v>7.9000000000000625</v>
      </c>
      <c r="H18" s="464"/>
      <c r="I18" s="477">
        <f>ABS(H17-H19)*60</f>
        <v>0</v>
      </c>
      <c r="J18" s="478">
        <f>ABS(F17-F19)</f>
        <v>9.5799999999999272</v>
      </c>
      <c r="K18" s="479">
        <f>IF(AND(D17&lt;D19,H17=H19),0,IF(AND(D17&gt;D19,H17=H19),180,IF(AND(D17=D19,H17&lt;H19),90,IF(AND(D17=D19,H17&gt;H19),270,(ATAN(I18/J18)*180/PI())))))</f>
        <v>180</v>
      </c>
      <c r="L18" s="472">
        <f>IF(OR(K18=0,K18=90,K18=180,K18=270),K18,IF(AND(D17&lt;D19,H17&lt;H19),K18,IF(AND(D17&lt;D19,H17&gt;H19),360-K18,IF(AND(D17&gt;D19,H17&lt;H19),180-K18,IF(AND(D17&gt;D19,H17&gt;H19),180+K18)))))</f>
        <v>180</v>
      </c>
      <c r="M18" s="472">
        <f>(IF(I18=0,G18,IF(G18=0,COS(D19*PI()/180)*I18,G18/COS(K18*PI()/180))))</f>
        <v>7.9000000000000625</v>
      </c>
      <c r="N18" s="468">
        <f>IF(C20="","",ROUND(L18,1))</f>
        <v>180</v>
      </c>
      <c r="O18" s="469">
        <f>IF(C20="","",ROUND(M18,1))</f>
        <v>7.9</v>
      </c>
      <c r="P18" s="353">
        <v>12</v>
      </c>
      <c r="Q18" s="465"/>
      <c r="R18" s="465"/>
      <c r="S18" s="64">
        <v>6</v>
      </c>
      <c r="T18" s="64" t="s">
        <v>24</v>
      </c>
      <c r="U18" s="358"/>
      <c r="V18" s="470">
        <f>(O18/P18+U18/60)/24</f>
        <v>2.7430555555555555E-2</v>
      </c>
      <c r="W18" s="466"/>
      <c r="X18" s="64" t="s">
        <v>88</v>
      </c>
      <c r="Y18" s="65" t="s">
        <v>89</v>
      </c>
      <c r="Z18" s="64" t="s">
        <v>32</v>
      </c>
      <c r="AA18" s="64">
        <v>3</v>
      </c>
      <c r="AB18" s="53" t="s">
        <v>75</v>
      </c>
      <c r="AC18" s="56" t="s">
        <v>83</v>
      </c>
      <c r="AD18" s="503"/>
    </row>
    <row r="19" spans="1:30" ht="15" customHeight="1">
      <c r="A19" s="471">
        <f>IF(B19="","",A17+1)</f>
        <v>6</v>
      </c>
      <c r="B19" s="392" t="s">
        <v>114</v>
      </c>
      <c r="C19" s="54">
        <v>34.476500000000001</v>
      </c>
      <c r="D19" s="472">
        <f>TRUNC(C19)+((C19-TRUNC(C19))/0.6)</f>
        <v>34.794166666666669</v>
      </c>
      <c r="E19" s="472">
        <f>TRUNC(C20)+((C20-TRUNC(C20))/0.6)</f>
        <v>136.76333333333332</v>
      </c>
      <c r="F19" s="473">
        <f>ROUND(((LOG10(TAN(PI()/4+(D19/2*PI()/180)))*7915.7046)-(3437.7468*((0.0816968^2*SIN(D19*PI()/180))+(0.0816968^4/3*((SIN(D19*PI()/180))^3))+(0.0816968^6/5*((SIN(D19*PI()/180))^5))))),2)</f>
        <v>2216.13</v>
      </c>
      <c r="G19" s="464"/>
      <c r="H19" s="464">
        <f>IF(E19&lt;0,E19+360,E19)</f>
        <v>136.76333333333332</v>
      </c>
      <c r="I19" s="477"/>
      <c r="J19" s="478"/>
      <c r="K19" s="479"/>
      <c r="L19" s="472"/>
      <c r="M19" s="472"/>
      <c r="N19" s="468"/>
      <c r="O19" s="469"/>
      <c r="P19" s="353"/>
      <c r="Q19" s="465">
        <f>IF(O18="","",Q17+O18)</f>
        <v>17.899999999999999</v>
      </c>
      <c r="R19" s="465">
        <f>IF(O18="","",R17-O18)</f>
        <v>1084.8000000000004</v>
      </c>
      <c r="S19" s="61"/>
      <c r="T19" s="61" t="s">
        <v>7</v>
      </c>
      <c r="U19" s="355"/>
      <c r="V19" s="470"/>
      <c r="W19" s="466">
        <f>IF(P18="","",W17+V18)</f>
        <v>43255.787916666668</v>
      </c>
      <c r="X19" s="61" t="s">
        <v>87</v>
      </c>
      <c r="Y19" s="61"/>
      <c r="Z19" s="61"/>
      <c r="AA19" s="61"/>
      <c r="AB19" s="52"/>
      <c r="AC19" s="57"/>
      <c r="AD19" s="504" t="s">
        <v>92</v>
      </c>
    </row>
    <row r="20" spans="1:30" ht="15" customHeight="1">
      <c r="A20" s="471"/>
      <c r="B20" s="392"/>
      <c r="C20" s="55">
        <v>136.458</v>
      </c>
      <c r="D20" s="472"/>
      <c r="E20" s="472"/>
      <c r="F20" s="473"/>
      <c r="G20" s="464">
        <f>ABS(D19-D21)*60</f>
        <v>7.5999999999999091</v>
      </c>
      <c r="H20" s="464"/>
      <c r="I20" s="477">
        <f>ABS(H19-H21)*60</f>
        <v>4.4999999999993179</v>
      </c>
      <c r="J20" s="478">
        <f>ABS(F19-F21)</f>
        <v>9.2100000000000364</v>
      </c>
      <c r="K20" s="479">
        <f>IF(AND(D19&lt;D21,H19=H21),0,IF(AND(D19&gt;D21,H19=H21),180,IF(AND(D19=D21,H19&lt;H21),90,IF(AND(D19=D21,H19&gt;H21),270,(ATAN(I20/J20)*180/PI())))))</f>
        <v>26.040104535501776</v>
      </c>
      <c r="L20" s="472">
        <f>IF(OR(K20=0,K20=90,K20=180,K20=270),K20,IF(AND(D19&lt;D21,H19&lt;H21),K20,IF(AND(D19&lt;D21,H19&gt;H21),360-K20,IF(AND(D19&gt;D21,H19&lt;H21),180-K20,IF(AND(D19&gt;D21,H19&gt;H21),180+K20)))))</f>
        <v>153.95989546449823</v>
      </c>
      <c r="M20" s="472">
        <f>(IF(I20=0,G20,IF(G20=0,COS(D21*PI()/180)*I20,G20/COS(K20*PI()/180))))</f>
        <v>8.4586645351903851</v>
      </c>
      <c r="N20" s="468">
        <f>IF(C22="","",ROUND(L20,1))</f>
        <v>154</v>
      </c>
      <c r="O20" s="469">
        <f>IF(C22="","",ROUND(M20,1))</f>
        <v>8.5</v>
      </c>
      <c r="P20" s="353">
        <v>12</v>
      </c>
      <c r="Q20" s="465"/>
      <c r="R20" s="465"/>
      <c r="S20" s="64">
        <v>17</v>
      </c>
      <c r="T20" s="64" t="s">
        <v>23</v>
      </c>
      <c r="U20" s="358"/>
      <c r="V20" s="470">
        <f>(O20/P20+U20/60)/24</f>
        <v>2.9513888888888892E-2</v>
      </c>
      <c r="W20" s="466"/>
      <c r="X20" s="64" t="s">
        <v>88</v>
      </c>
      <c r="Y20" s="65" t="s">
        <v>89</v>
      </c>
      <c r="Z20" s="64" t="s">
        <v>32</v>
      </c>
      <c r="AA20" s="64">
        <v>3</v>
      </c>
      <c r="AB20" s="53" t="s">
        <v>76</v>
      </c>
      <c r="AC20" s="56" t="s">
        <v>83</v>
      </c>
      <c r="AD20" s="505"/>
    </row>
    <row r="21" spans="1:30" ht="15" customHeight="1">
      <c r="A21" s="471">
        <f>IF(B21="","",A19+1)</f>
        <v>7</v>
      </c>
      <c r="B21" s="392" t="s">
        <v>115</v>
      </c>
      <c r="C21" s="54">
        <v>34.400500000000001</v>
      </c>
      <c r="D21" s="472">
        <f>TRUNC(C21)+((C21-TRUNC(C21))/0.6)</f>
        <v>34.667500000000004</v>
      </c>
      <c r="E21" s="472">
        <f>TRUNC(C22)+((C22-TRUNC(C22))/0.6)</f>
        <v>136.83833333333331</v>
      </c>
      <c r="F21" s="473">
        <f>ROUND(((LOG10(TAN(PI()/4+(D21/2*PI()/180)))*7915.7046)-(3437.7468*((0.0816968^2*SIN(D21*PI()/180))+(0.0816968^4/3*((SIN(D21*PI()/180))^3))+(0.0816968^6/5*((SIN(D21*PI()/180))^5))))),2)</f>
        <v>2206.92</v>
      </c>
      <c r="G21" s="464"/>
      <c r="H21" s="464">
        <f>IF(E21&lt;0,E21+360,E21)</f>
        <v>136.83833333333331</v>
      </c>
      <c r="I21" s="477"/>
      <c r="J21" s="478"/>
      <c r="K21" s="479"/>
      <c r="L21" s="472"/>
      <c r="M21" s="472"/>
      <c r="N21" s="468"/>
      <c r="O21" s="469"/>
      <c r="P21" s="353"/>
      <c r="Q21" s="465">
        <f>IF(O20="","",Q19+O20)</f>
        <v>26.4</v>
      </c>
      <c r="R21" s="465">
        <f>IF(O20="","",R19-O20)</f>
        <v>1076.3000000000004</v>
      </c>
      <c r="S21" s="61"/>
      <c r="T21" s="61" t="s">
        <v>25</v>
      </c>
      <c r="U21" s="355"/>
      <c r="V21" s="470"/>
      <c r="W21" s="466">
        <f>IF(P20="","",W19+V20)</f>
        <v>43255.817430555559</v>
      </c>
      <c r="X21" s="61" t="s">
        <v>87</v>
      </c>
      <c r="Y21" s="61"/>
      <c r="Z21" s="61"/>
      <c r="AA21" s="61"/>
      <c r="AB21" s="52"/>
      <c r="AC21" s="57"/>
      <c r="AD21" s="504" t="s">
        <v>98</v>
      </c>
    </row>
    <row r="22" spans="1:30" ht="15" customHeight="1">
      <c r="A22" s="471"/>
      <c r="B22" s="392"/>
      <c r="C22" s="55">
        <v>136.50299999999999</v>
      </c>
      <c r="D22" s="472"/>
      <c r="E22" s="472"/>
      <c r="F22" s="473"/>
      <c r="G22" s="464">
        <f>ABS(D21-D23)*60</f>
        <v>4.8500000000007049</v>
      </c>
      <c r="H22" s="464"/>
      <c r="I22" s="477">
        <f>ABS(H21-H23)*60</f>
        <v>7.8700000000020509</v>
      </c>
      <c r="J22" s="478">
        <f>ABS(F21-F23)</f>
        <v>5.8699999999998909</v>
      </c>
      <c r="K22" s="479">
        <f>IF(AND(D21&lt;D23,H21=H23),0,IF(AND(D21&gt;D23,H21=H23),180,IF(AND(D21=D23,H21&lt;H23),90,IF(AND(D21=D23,H21&gt;H23),270,(ATAN(I22/J22)*180/PI())))))</f>
        <v>53.281832521711124</v>
      </c>
      <c r="L22" s="472">
        <f>IF(OR(K22=0,K22=90,K22=180,K22=270),K22,IF(AND(D21&lt;D23,H21&lt;H23),K22,IF(AND(D21&lt;D23,H21&gt;H23),360-K22,IF(AND(D21&gt;D23,H21&lt;H23),180-K22,IF(AND(D21&gt;D23,H21&gt;H23),180+K22)))))</f>
        <v>126.71816747828888</v>
      </c>
      <c r="M22" s="472">
        <f>(IF(I22=0,G22,IF(G22=0,COS(D23*PI()/180)*I22,G22/COS(K22*PI()/180))))</f>
        <v>8.1120045943024657</v>
      </c>
      <c r="N22" s="468">
        <f>IF(C24="","",ROUND(L22,1))</f>
        <v>126.7</v>
      </c>
      <c r="O22" s="469">
        <f>IF(C24="","",ROUND(M22,1))</f>
        <v>8.1</v>
      </c>
      <c r="P22" s="353">
        <v>12</v>
      </c>
      <c r="Q22" s="465"/>
      <c r="R22" s="465"/>
      <c r="S22" s="64" t="s">
        <v>56</v>
      </c>
      <c r="T22" s="64" t="s">
        <v>24</v>
      </c>
      <c r="U22" s="358"/>
      <c r="V22" s="470">
        <f>(O22/P22+U22/60)/24</f>
        <v>2.8124999999999997E-2</v>
      </c>
      <c r="W22" s="466"/>
      <c r="X22" s="64" t="s">
        <v>88</v>
      </c>
      <c r="Y22" s="65" t="s">
        <v>89</v>
      </c>
      <c r="Z22" s="64" t="s">
        <v>32</v>
      </c>
      <c r="AA22" s="64">
        <v>3</v>
      </c>
      <c r="AB22" s="53" t="s">
        <v>76</v>
      </c>
      <c r="AC22" s="56" t="s">
        <v>83</v>
      </c>
      <c r="AD22" s="505"/>
    </row>
    <row r="23" spans="1:30" ht="15" customHeight="1">
      <c r="A23" s="471">
        <f>IF(B23="","",A21+1)</f>
        <v>8</v>
      </c>
      <c r="B23" s="392" t="s">
        <v>116</v>
      </c>
      <c r="C23" s="54">
        <v>34.351999999999997</v>
      </c>
      <c r="D23" s="472">
        <f>TRUNC(C23)+((C23-TRUNC(C23))/0.6)</f>
        <v>34.586666666666659</v>
      </c>
      <c r="E23" s="472">
        <f>TRUNC(C24)+((C24-TRUNC(C24))/0.6)</f>
        <v>136.96950000000001</v>
      </c>
      <c r="F23" s="473">
        <f>ROUND(((LOG10(TAN(PI()/4+(D23/2*PI()/180)))*7915.7046)-(3437.7468*((0.0816968^2*SIN(D23*PI()/180))+(0.0816968^4/3*((SIN(D23*PI()/180))^3))+(0.0816968^6/5*((SIN(D23*PI()/180))^5))))),2)</f>
        <v>2201.0500000000002</v>
      </c>
      <c r="G23" s="464"/>
      <c r="H23" s="464">
        <f>IF(E23&lt;0,E23+360,E23)</f>
        <v>136.96950000000001</v>
      </c>
      <c r="I23" s="477"/>
      <c r="J23" s="478"/>
      <c r="K23" s="479"/>
      <c r="L23" s="472"/>
      <c r="M23" s="472"/>
      <c r="N23" s="468"/>
      <c r="O23" s="469"/>
      <c r="P23" s="353"/>
      <c r="Q23" s="465">
        <f>IF(O22="","",Q21+O22)</f>
        <v>34.5</v>
      </c>
      <c r="R23" s="465">
        <f>IF(O22="","",R21-O22)</f>
        <v>1068.2000000000005</v>
      </c>
      <c r="S23" s="61"/>
      <c r="T23" s="61" t="s">
        <v>25</v>
      </c>
      <c r="U23" s="355"/>
      <c r="V23" s="470"/>
      <c r="W23" s="466">
        <f>IF(P22="","",W21+V22)</f>
        <v>43255.845555555556</v>
      </c>
      <c r="X23" s="61" t="s">
        <v>87</v>
      </c>
      <c r="Y23" s="61"/>
      <c r="Z23" s="61"/>
      <c r="AA23" s="61"/>
      <c r="AB23" s="52"/>
      <c r="AC23" s="57"/>
      <c r="AD23" s="504" t="s">
        <v>99</v>
      </c>
    </row>
    <row r="24" spans="1:30" ht="15" customHeight="1">
      <c r="A24" s="471"/>
      <c r="B24" s="392"/>
      <c r="C24" s="55">
        <v>136.58170000000001</v>
      </c>
      <c r="D24" s="472"/>
      <c r="E24" s="472"/>
      <c r="F24" s="473"/>
      <c r="G24" s="464">
        <f>ABS(D23-D25)*60</f>
        <v>4.4499999999997897</v>
      </c>
      <c r="H24" s="464"/>
      <c r="I24" s="477">
        <f>ABS(H23-H25)*60</f>
        <v>5.4299999999994952</v>
      </c>
      <c r="J24" s="478">
        <f>ABS(F23-F25)</f>
        <v>5.3700000000003456</v>
      </c>
      <c r="K24" s="479">
        <f>IF(AND(D23&lt;D25,H23=H25),0,IF(AND(D23&gt;D25,H23=H25),180,IF(AND(D23=D25,H23&lt;H25),90,IF(AND(D23=D25,H23&gt;H25),270,(ATAN(I24/J24)*180/PI())))))</f>
        <v>45.318306611446857</v>
      </c>
      <c r="L24" s="472">
        <f>IF(OR(K24=0,K24=90,K24=180,K24=270),K24,IF(AND(D23&lt;D25,H23&lt;H25),K24,IF(AND(D23&lt;D25,H23&gt;H25),360-K24,IF(AND(D23&gt;D25,H23&lt;H25),180-K24,IF(AND(D23&gt;D25,H23&gt;H25),180+K24)))))</f>
        <v>134.68169338855313</v>
      </c>
      <c r="M24" s="472">
        <f>(IF(I24=0,G24,IF(G24=0,COS(D25*PI()/180)*I24,G24/COS(K24*PI()/180))))</f>
        <v>6.3285058356245845</v>
      </c>
      <c r="N24" s="468">
        <f>IF(C26="","",ROUND(L24,1))</f>
        <v>134.69999999999999</v>
      </c>
      <c r="O24" s="469">
        <f>IF(C26="","",ROUND(M24,1))</f>
        <v>6.3</v>
      </c>
      <c r="P24" s="353">
        <v>12</v>
      </c>
      <c r="Q24" s="465"/>
      <c r="R24" s="465"/>
      <c r="S24" s="64" t="s">
        <v>56</v>
      </c>
      <c r="T24" s="64" t="s">
        <v>24</v>
      </c>
      <c r="U24" s="358"/>
      <c r="V24" s="470">
        <f>(O24/P24+U24/60)/24</f>
        <v>2.1875000000000002E-2</v>
      </c>
      <c r="W24" s="466"/>
      <c r="X24" s="64" t="s">
        <v>88</v>
      </c>
      <c r="Y24" s="65" t="s">
        <v>89</v>
      </c>
      <c r="Z24" s="64" t="s">
        <v>32</v>
      </c>
      <c r="AA24" s="64">
        <v>3</v>
      </c>
      <c r="AB24" s="53" t="s">
        <v>70</v>
      </c>
      <c r="AC24" s="56" t="s">
        <v>83</v>
      </c>
      <c r="AD24" s="519"/>
    </row>
    <row r="25" spans="1:30" ht="15" customHeight="1">
      <c r="A25" s="471">
        <f>IF(B25="","",A23+1)</f>
        <v>9</v>
      </c>
      <c r="B25" s="392" t="s">
        <v>117</v>
      </c>
      <c r="C25" s="54">
        <v>34.307499999999997</v>
      </c>
      <c r="D25" s="472">
        <f>TRUNC(C25)+((C25-TRUNC(C25))/0.6)</f>
        <v>34.512499999999996</v>
      </c>
      <c r="E25" s="472">
        <f>TRUNC(C26)+((C26-TRUNC(C26))/0.6)</f>
        <v>137.06</v>
      </c>
      <c r="F25" s="473">
        <f>ROUND(((LOG10(TAN(PI()/4+(D25/2*PI()/180)))*7915.7046)-(3437.7468*((0.0816968^2*SIN(D25*PI()/180))+(0.0816968^4/3*((SIN(D25*PI()/180))^3))+(0.0816968^6/5*((SIN(D25*PI()/180))^5))))),2)</f>
        <v>2195.6799999999998</v>
      </c>
      <c r="G25" s="464"/>
      <c r="H25" s="464">
        <f>IF(E25&lt;0,E25+360,E25)</f>
        <v>137.06</v>
      </c>
      <c r="I25" s="477"/>
      <c r="J25" s="478"/>
      <c r="K25" s="479"/>
      <c r="L25" s="472"/>
      <c r="M25" s="472"/>
      <c r="N25" s="468"/>
      <c r="O25" s="469"/>
      <c r="P25" s="353"/>
      <c r="Q25" s="465">
        <f>IF(O24="","",Q23+O24)</f>
        <v>40.799999999999997</v>
      </c>
      <c r="R25" s="465">
        <f>IF(O24="","",R23-O24)</f>
        <v>1061.9000000000005</v>
      </c>
      <c r="S25" s="61"/>
      <c r="T25" s="61" t="s">
        <v>30</v>
      </c>
      <c r="U25" s="355"/>
      <c r="V25" s="470"/>
      <c r="W25" s="466">
        <f>IF(P24="","",W23+V24)</f>
        <v>43255.867430555554</v>
      </c>
      <c r="X25" s="61" t="s">
        <v>87</v>
      </c>
      <c r="Y25" s="61"/>
      <c r="Z25" s="61"/>
      <c r="AA25" s="61"/>
      <c r="AB25" s="52"/>
      <c r="AC25" s="57"/>
      <c r="AD25" s="504" t="s">
        <v>96</v>
      </c>
    </row>
    <row r="26" spans="1:30" ht="15" customHeight="1">
      <c r="A26" s="471"/>
      <c r="B26" s="392"/>
      <c r="C26" s="55">
        <v>137.036</v>
      </c>
      <c r="D26" s="472"/>
      <c r="E26" s="472"/>
      <c r="F26" s="473"/>
      <c r="G26" s="464">
        <f>ABS(D25-D27)*60</f>
        <v>2.2500000000000853</v>
      </c>
      <c r="H26" s="464"/>
      <c r="I26" s="477">
        <f>ABS(H25-H27)*60</f>
        <v>0</v>
      </c>
      <c r="J26" s="478">
        <f>ABS(F25-F27)</f>
        <v>2.7199999999997999</v>
      </c>
      <c r="K26" s="479">
        <f>IF(AND(D25&lt;D27,H25=H27),0,IF(AND(D25&gt;D27,H25=H27),180,IF(AND(D25=D27,H25&lt;H27),90,IF(AND(D25=D27,H25&gt;H27),270,(ATAN(I26/J26)*180/PI())))))</f>
        <v>180</v>
      </c>
      <c r="L26" s="472">
        <f>IF(OR(K26=0,K26=90,K26=180,K26=270),K26,IF(AND(D25&lt;D27,H25&lt;H27),K26,IF(AND(D25&lt;D27,H25&gt;H27),360-K26,IF(AND(D25&gt;D27,H25&lt;H27),180-K26,IF(AND(D25&gt;D27,H25&gt;H27),180+K26)))))</f>
        <v>180</v>
      </c>
      <c r="M26" s="472">
        <f>(IF(I26=0,G26,IF(G26=0,COS(D27*PI()/180)*I26,G26/COS(K26*PI()/180))))</f>
        <v>2.2500000000000853</v>
      </c>
      <c r="N26" s="468">
        <f>IF(C28="","",ROUND(L26,1))</f>
        <v>180</v>
      </c>
      <c r="O26" s="469">
        <f>IF(C28="","",ROUND(M26,1))</f>
        <v>2.2999999999999998</v>
      </c>
      <c r="P26" s="353">
        <v>12</v>
      </c>
      <c r="Q26" s="465"/>
      <c r="R26" s="465"/>
      <c r="S26" s="64">
        <v>14</v>
      </c>
      <c r="T26" s="64" t="s">
        <v>24</v>
      </c>
      <c r="U26" s="358"/>
      <c r="V26" s="470">
        <f>(O26/P26+U26/60)/24</f>
        <v>7.9861111111111105E-3</v>
      </c>
      <c r="W26" s="466"/>
      <c r="X26" s="64" t="s">
        <v>88</v>
      </c>
      <c r="Y26" s="65" t="s">
        <v>89</v>
      </c>
      <c r="Z26" s="64" t="s">
        <v>32</v>
      </c>
      <c r="AA26" s="64">
        <v>3</v>
      </c>
      <c r="AB26" s="53" t="s">
        <v>77</v>
      </c>
      <c r="AC26" s="56" t="s">
        <v>83</v>
      </c>
      <c r="AD26" s="505"/>
    </row>
    <row r="27" spans="1:30" ht="15" customHeight="1">
      <c r="A27" s="471">
        <f>IF(B27="","",A25+1)</f>
        <v>10</v>
      </c>
      <c r="B27" s="518" t="s">
        <v>118</v>
      </c>
      <c r="C27" s="74">
        <v>34.284999999999997</v>
      </c>
      <c r="D27" s="472">
        <f>TRUNC(C27)+((C27-TRUNC(C27))/0.6)</f>
        <v>34.474999999999994</v>
      </c>
      <c r="E27" s="472">
        <f>TRUNC(C28)+((C28-TRUNC(C28))/0.6)</f>
        <v>137.06</v>
      </c>
      <c r="F27" s="473">
        <f>ROUND(((LOG10(TAN(PI()/4+(D27/2*PI()/180)))*7915.7046)-(3437.7468*((0.0816968^2*SIN(D27*PI()/180))+(0.0816968^4/3*((SIN(D27*PI()/180))^3))+(0.0816968^6/5*((SIN(D27*PI()/180))^5))))),2)</f>
        <v>2192.96</v>
      </c>
      <c r="G27" s="464"/>
      <c r="H27" s="464">
        <f>IF(E27&lt;0,E27+360,E27)</f>
        <v>137.06</v>
      </c>
      <c r="I27" s="477"/>
      <c r="J27" s="478"/>
      <c r="K27" s="479"/>
      <c r="L27" s="472"/>
      <c r="M27" s="472"/>
      <c r="N27" s="468"/>
      <c r="O27" s="469"/>
      <c r="P27" s="353"/>
      <c r="Q27" s="513">
        <f>IF(O26="","",Q25+O26)</f>
        <v>43.099999999999994</v>
      </c>
      <c r="R27" s="513">
        <f>IF(O26="","",R25-O26)</f>
        <v>1059.6000000000006</v>
      </c>
      <c r="S27" s="61"/>
      <c r="T27" s="61" t="s">
        <v>25</v>
      </c>
      <c r="U27" s="355"/>
      <c r="V27" s="470"/>
      <c r="W27" s="466">
        <f>IF(P26="","",W25+V26)</f>
        <v>43255.875416666662</v>
      </c>
      <c r="X27" s="61" t="s">
        <v>87</v>
      </c>
      <c r="Y27" s="61"/>
      <c r="Z27" s="61"/>
      <c r="AA27" s="61"/>
      <c r="AB27" s="52"/>
      <c r="AC27" s="57"/>
      <c r="AD27" s="503" t="s">
        <v>90</v>
      </c>
    </row>
    <row r="28" spans="1:30" ht="15" customHeight="1">
      <c r="A28" s="471"/>
      <c r="B28" s="518"/>
      <c r="C28" s="75">
        <v>137.036</v>
      </c>
      <c r="D28" s="472"/>
      <c r="E28" s="472"/>
      <c r="F28" s="473"/>
      <c r="G28" s="464">
        <f>ABS(D27-D29)*60</f>
        <v>17.899999999999494</v>
      </c>
      <c r="H28" s="464"/>
      <c r="I28" s="477">
        <f>ABS(H27-H29)*60</f>
        <v>0</v>
      </c>
      <c r="J28" s="478">
        <f>ABS(F27-F29)</f>
        <v>21.579999999999927</v>
      </c>
      <c r="K28" s="479">
        <f>IF(AND(D27&lt;D29,H27=H29),0,IF(AND(D27&gt;D29,H27=H29),180,IF(AND(D27=D29,H27&lt;H29),90,IF(AND(D27=D29,H27&gt;H29),270,(ATAN(I28/J28)*180/PI())))))</f>
        <v>180</v>
      </c>
      <c r="L28" s="472">
        <f>IF(OR(K28=0,K28=90,K28=180,K28=270),K28,IF(AND(D27&lt;D29,H27&lt;H29),K28,IF(AND(D27&lt;D29,H27&gt;H29),360-K28,IF(AND(D27&gt;D29,H27&lt;H29),180-K28,IF(AND(D27&gt;D29,H27&gt;H29),180+K28)))))</f>
        <v>180</v>
      </c>
      <c r="M28" s="472">
        <f>(IF(I28=0,G28,IF(G28=0,COS(D29*PI()/180)*I28,G28/COS(K28*PI()/180))))</f>
        <v>17.899999999999494</v>
      </c>
      <c r="N28" s="468">
        <f>IF(C30="","",ROUND(L28,1))</f>
        <v>180</v>
      </c>
      <c r="O28" s="469">
        <f>IF(C30="","",ROUND(M28,1))</f>
        <v>17.899999999999999</v>
      </c>
      <c r="P28" s="353">
        <v>16</v>
      </c>
      <c r="Q28" s="513"/>
      <c r="R28" s="513"/>
      <c r="S28" s="64" t="s">
        <v>56</v>
      </c>
      <c r="T28" s="64" t="s">
        <v>23</v>
      </c>
      <c r="U28" s="358"/>
      <c r="V28" s="470">
        <f>(O28/P28+U28/60)/24</f>
        <v>4.6614583333333327E-2</v>
      </c>
      <c r="W28" s="466"/>
      <c r="X28" s="64" t="s">
        <v>88</v>
      </c>
      <c r="Y28" s="65" t="s">
        <v>89</v>
      </c>
      <c r="Z28" s="64" t="s">
        <v>32</v>
      </c>
      <c r="AA28" s="64">
        <v>2</v>
      </c>
      <c r="AB28" s="53" t="s">
        <v>69</v>
      </c>
      <c r="AC28" s="56" t="s">
        <v>32</v>
      </c>
      <c r="AD28" s="503"/>
    </row>
    <row r="29" spans="1:30" ht="15" customHeight="1">
      <c r="A29" s="471">
        <f>IF(B29="","",A27+1)</f>
        <v>11</v>
      </c>
      <c r="B29" s="392" t="s">
        <v>122</v>
      </c>
      <c r="C29" s="54">
        <v>34.106000000000002</v>
      </c>
      <c r="D29" s="472">
        <f>TRUNC(C29)+((C29-TRUNC(C29))/0.6)</f>
        <v>34.176666666666669</v>
      </c>
      <c r="E29" s="472">
        <f>TRUNC(C30)+((C30-TRUNC(C30))/0.6)</f>
        <v>137.06</v>
      </c>
      <c r="F29" s="473">
        <f>ROUND(((LOG10(TAN(PI()/4+(D29/2*PI()/180)))*7915.7046)-(3437.7468*((0.0816968^2*SIN(D29*PI()/180))+(0.0816968^4/3*((SIN(D29*PI()/180))^3))+(0.0816968^6/5*((SIN(D29*PI()/180))^5))))),2)</f>
        <v>2171.38</v>
      </c>
      <c r="G29" s="464"/>
      <c r="H29" s="464">
        <f>IF(E29&lt;0,E29+360,E29)</f>
        <v>137.06</v>
      </c>
      <c r="I29" s="477"/>
      <c r="J29" s="478"/>
      <c r="K29" s="479"/>
      <c r="L29" s="472"/>
      <c r="M29" s="472"/>
      <c r="N29" s="468"/>
      <c r="O29" s="469"/>
      <c r="P29" s="353"/>
      <c r="Q29" s="465">
        <f>IF(O28="","",Q27+O28)</f>
        <v>60.999999999999993</v>
      </c>
      <c r="R29" s="465">
        <f>IF(O28="","",R27-O28)</f>
        <v>1041.7000000000005</v>
      </c>
      <c r="S29" s="61"/>
      <c r="T29" s="61" t="s">
        <v>25</v>
      </c>
      <c r="U29" s="355"/>
      <c r="V29" s="470"/>
      <c r="W29" s="466">
        <f>IF(P28="","",W27+V28)</f>
        <v>43255.922031249997</v>
      </c>
      <c r="X29" s="61" t="s">
        <v>87</v>
      </c>
      <c r="Y29" s="61"/>
      <c r="Z29" s="61"/>
      <c r="AA29" s="61"/>
      <c r="AB29" s="52"/>
      <c r="AC29" s="57"/>
      <c r="AD29" s="516" t="s">
        <v>102</v>
      </c>
    </row>
    <row r="30" spans="1:30" ht="15" customHeight="1">
      <c r="A30" s="471"/>
      <c r="B30" s="392"/>
      <c r="C30" s="55">
        <v>137.036</v>
      </c>
      <c r="D30" s="472"/>
      <c r="E30" s="472"/>
      <c r="F30" s="473"/>
      <c r="G30" s="464">
        <f>ABS(D29-D31)*60</f>
        <v>60.599999999999881</v>
      </c>
      <c r="H30" s="464"/>
      <c r="I30" s="477">
        <f>ABS(H29-H31)*60</f>
        <v>63.600000000000136</v>
      </c>
      <c r="J30" s="478">
        <f>ABS(F29-F31)</f>
        <v>72.480000000000018</v>
      </c>
      <c r="K30" s="479">
        <f>IF(AND(D29&lt;D31,H29=H31),0,IF(AND(D29&gt;D31,H29=H31),180,IF(AND(D29=D31,H29&lt;H31),90,IF(AND(D29=D31,H29&gt;H31),270,(ATAN(I30/J30)*180/PI())))))</f>
        <v>41.266415554594992</v>
      </c>
      <c r="L30" s="472">
        <f>IF(OR(K30=0,K30=90,K30=180,K30=270),K30,IF(AND(D29&lt;D31,H29&lt;H31),K30,IF(AND(D29&lt;D31,H29&gt;H31),360-K30,IF(AND(D29&gt;D31,H29&lt;H31),180-K30,IF(AND(D29&gt;D31,H29&gt;H31),180+K30)))))</f>
        <v>221.266415554595</v>
      </c>
      <c r="M30" s="472">
        <f>(IF(I30=0,G30,IF(G30=0,COS(D31*PI()/180)*I30,G30/COS(K30*PI()/180))))</f>
        <v>80.62253684978144</v>
      </c>
      <c r="N30" s="468">
        <f>IF(C32="","",ROUND(L30,1))</f>
        <v>221.3</v>
      </c>
      <c r="O30" s="469">
        <f>IF(C32="","",ROUND(M30,1))</f>
        <v>80.599999999999994</v>
      </c>
      <c r="P30" s="353">
        <v>16</v>
      </c>
      <c r="Q30" s="465"/>
      <c r="R30" s="465"/>
      <c r="S30" s="64" t="s">
        <v>56</v>
      </c>
      <c r="T30" s="64" t="s">
        <v>22</v>
      </c>
      <c r="U30" s="358"/>
      <c r="V30" s="470">
        <f>(O30/P30+U30/60)/24</f>
        <v>0.20989583333333331</v>
      </c>
      <c r="W30" s="466"/>
      <c r="X30" s="64" t="s">
        <v>88</v>
      </c>
      <c r="Y30" s="65" t="s">
        <v>113</v>
      </c>
      <c r="Z30" s="64" t="s">
        <v>83</v>
      </c>
      <c r="AA30" s="64">
        <v>2</v>
      </c>
      <c r="AB30" s="53" t="s">
        <v>82</v>
      </c>
      <c r="AC30" s="56" t="s">
        <v>32</v>
      </c>
      <c r="AD30" s="517"/>
    </row>
    <row r="31" spans="1:30" ht="15" customHeight="1">
      <c r="A31" s="471">
        <f>IF(B31="","",A29+1)</f>
        <v>12</v>
      </c>
      <c r="B31" s="394" t="s">
        <v>123</v>
      </c>
      <c r="C31" s="54">
        <v>33.1</v>
      </c>
      <c r="D31" s="472">
        <f>TRUNC(C31)+((C31-TRUNC(C31))/0.6)</f>
        <v>33.166666666666671</v>
      </c>
      <c r="E31" s="472">
        <f>TRUNC(C32)+((C32-TRUNC(C32))/0.6)</f>
        <v>136</v>
      </c>
      <c r="F31" s="473">
        <f>ROUND(((LOG10(TAN(PI()/4+(D31/2*PI()/180)))*7915.7046)-(3437.7468*((0.0816968^2*SIN(D31*PI()/180))+(0.0816968^4/3*((SIN(D31*PI()/180))^3))+(0.0816968^6/5*((SIN(D31*PI()/180))^5))))),2)</f>
        <v>2098.9</v>
      </c>
      <c r="G31" s="464"/>
      <c r="H31" s="464">
        <f>IF(E31&lt;0,E31+360,E31)</f>
        <v>136</v>
      </c>
      <c r="I31" s="477"/>
      <c r="J31" s="478"/>
      <c r="K31" s="479"/>
      <c r="L31" s="472"/>
      <c r="M31" s="472"/>
      <c r="N31" s="468"/>
      <c r="O31" s="469"/>
      <c r="P31" s="353"/>
      <c r="Q31" s="465">
        <f>IF(O30="","",Q29+O30)</f>
        <v>141.6</v>
      </c>
      <c r="R31" s="465">
        <f>IF(O30="","",R29-O30)</f>
        <v>961.10000000000048</v>
      </c>
      <c r="S31" s="61"/>
      <c r="T31" s="61" t="s">
        <v>25</v>
      </c>
      <c r="U31" s="355"/>
      <c r="V31" s="470"/>
      <c r="W31" s="466">
        <f>IF(P30="","",W29+V30)</f>
        <v>43256.131927083326</v>
      </c>
      <c r="X31" s="61" t="s">
        <v>87</v>
      </c>
      <c r="Y31" s="61"/>
      <c r="Z31" s="61"/>
      <c r="AA31" s="61"/>
      <c r="AB31" s="52" t="s">
        <v>133</v>
      </c>
      <c r="AC31" s="57"/>
      <c r="AD31" s="504" t="s">
        <v>101</v>
      </c>
    </row>
    <row r="32" spans="1:30" ht="16.5">
      <c r="A32" s="471"/>
      <c r="B32" s="395"/>
      <c r="C32" s="55">
        <v>136</v>
      </c>
      <c r="D32" s="472"/>
      <c r="E32" s="472"/>
      <c r="F32" s="473"/>
      <c r="G32" s="464">
        <f>ABS(D31-D33)*60</f>
        <v>70.000000000000284</v>
      </c>
      <c r="H32" s="464"/>
      <c r="I32" s="477">
        <f>ABS(H31-H33)*60</f>
        <v>249.99999999999943</v>
      </c>
      <c r="J32" s="478">
        <f>ABS(F31-F33)</f>
        <v>82.680000000000064</v>
      </c>
      <c r="K32" s="479">
        <f>IF(AND(D31&lt;D33,H31=H33),0,IF(AND(D31&gt;D33,H31=H33),180,IF(AND(D31=D33,H31&lt;H33),90,IF(AND(D31=D33,H31&gt;H33),270,(ATAN(I32/J32)*180/PI())))))</f>
        <v>71.699916335895438</v>
      </c>
      <c r="L32" s="472">
        <f>IF(OR(K32=0,K32=90,K32=180,K32=270),K32,IF(AND(D31&lt;D33,H31&lt;H33),K32,IF(AND(D31&lt;D33,H31&gt;H33),360-K32,IF(AND(D31&gt;D33,H31&lt;H33),180-K32,IF(AND(D31&gt;D33,H31&gt;H33),180+K32)))))</f>
        <v>251.69991633589544</v>
      </c>
      <c r="M32" s="472">
        <f>(IF(I32=0,G32,IF(G32=0,COS(D33*PI()/180)*I32,G32/COS(K32*PI()/180))))</f>
        <v>222.93430813872718</v>
      </c>
      <c r="N32" s="468">
        <f>IF(C34="","",ROUND(L32,1))</f>
        <v>251.7</v>
      </c>
      <c r="O32" s="469">
        <f>IF(C34="","",ROUND(M32,1))</f>
        <v>222.9</v>
      </c>
      <c r="P32" s="353">
        <v>16</v>
      </c>
      <c r="Q32" s="465"/>
      <c r="R32" s="465"/>
      <c r="S32" s="64" t="s">
        <v>56</v>
      </c>
      <c r="T32" s="64" t="s">
        <v>22</v>
      </c>
      <c r="U32" s="358"/>
      <c r="V32" s="470">
        <f>(O32/P32+U32/60)/24</f>
        <v>0.58046874999999998</v>
      </c>
      <c r="W32" s="466"/>
      <c r="X32" s="64" t="s">
        <v>88</v>
      </c>
      <c r="Y32" s="65" t="s">
        <v>113</v>
      </c>
      <c r="Z32" s="64" t="s">
        <v>83</v>
      </c>
      <c r="AA32" s="64">
        <v>2</v>
      </c>
      <c r="AB32" s="53">
        <v>1648</v>
      </c>
      <c r="AC32" s="56" t="s">
        <v>32</v>
      </c>
      <c r="AD32" s="505"/>
    </row>
    <row r="33" spans="1:30" ht="15" customHeight="1">
      <c r="A33" s="471">
        <f>IF(B33="","",A31+1)</f>
        <v>13</v>
      </c>
      <c r="B33" s="394" t="s">
        <v>140</v>
      </c>
      <c r="C33" s="54">
        <v>32</v>
      </c>
      <c r="D33" s="472">
        <f>TRUNC(C33)+((C33-TRUNC(C33))/0.6)</f>
        <v>32</v>
      </c>
      <c r="E33" s="472">
        <f>TRUNC(C34)+((C34-TRUNC(C34))/0.6)</f>
        <v>131.83333333333334</v>
      </c>
      <c r="F33" s="473">
        <f>ROUND(((LOG10(TAN(PI()/4+(D33/2*PI()/180)))*7915.7046)-(3437.7468*((0.0816968^2*SIN(D33*PI()/180))+(0.0816968^4/3*((SIN(D33*PI()/180))^3))+(0.0816968^6/5*((SIN(D33*PI()/180))^5))))),2)</f>
        <v>2016.22</v>
      </c>
      <c r="G33" s="464"/>
      <c r="H33" s="464">
        <f>IF(E33&lt;0,E33+360,E33)</f>
        <v>131.83333333333334</v>
      </c>
      <c r="I33" s="477"/>
      <c r="J33" s="478"/>
      <c r="K33" s="479"/>
      <c r="L33" s="472"/>
      <c r="M33" s="472"/>
      <c r="N33" s="468"/>
      <c r="O33" s="469"/>
      <c r="P33" s="353"/>
      <c r="Q33" s="465">
        <f>IF(O32="","",Q31+O32)</f>
        <v>364.5</v>
      </c>
      <c r="R33" s="465">
        <f>IF(O32="","",R31-O32)</f>
        <v>738.2000000000005</v>
      </c>
      <c r="S33" s="61"/>
      <c r="T33" s="61" t="s">
        <v>25</v>
      </c>
      <c r="U33" s="355"/>
      <c r="V33" s="470"/>
      <c r="W33" s="466">
        <f>IF(P32="","",W31+V32)</f>
        <v>43256.712395833325</v>
      </c>
      <c r="X33" s="61" t="s">
        <v>87</v>
      </c>
      <c r="Y33" s="61"/>
      <c r="Z33" s="61"/>
      <c r="AA33" s="61"/>
      <c r="AB33" s="52"/>
      <c r="AC33" s="57"/>
      <c r="AD33" s="504" t="s">
        <v>100</v>
      </c>
    </row>
    <row r="34" spans="1:30" ht="15" customHeight="1">
      <c r="A34" s="471"/>
      <c r="B34" s="395"/>
      <c r="C34" s="55">
        <v>131.5</v>
      </c>
      <c r="D34" s="472"/>
      <c r="E34" s="472"/>
      <c r="F34" s="473"/>
      <c r="G34" s="464">
        <f>ABS(D33-D35)*60</f>
        <v>40.000000000000071</v>
      </c>
      <c r="H34" s="464"/>
      <c r="I34" s="477">
        <f>ABS(H33-H35)*60</f>
        <v>15.000000000001705</v>
      </c>
      <c r="J34" s="478">
        <f>ABS(F33-F35)</f>
        <v>46.769999999999982</v>
      </c>
      <c r="K34" s="479">
        <f>IF(AND(D33&lt;D35,H33=H35),0,IF(AND(D33&gt;D35,H33=H35),180,IF(AND(D33=D35,H33&lt;H35),90,IF(AND(D33=D35,H33&gt;H35),270,(ATAN(I34/J34)*180/PI())))))</f>
        <v>17.782002203287039</v>
      </c>
      <c r="L34" s="472">
        <f>IF(OR(K34=0,K34=90,K34=180,K34=270),K34,IF(AND(D33&lt;D35,H33&lt;H35),K34,IF(AND(D33&lt;D35,H33&gt;H35),360-K34,IF(AND(D33&gt;D35,H33&lt;H35),180-K34,IF(AND(D33&gt;D35,H33&gt;H35),180+K34)))))</f>
        <v>197.78200220328705</v>
      </c>
      <c r="M34" s="472">
        <f>(IF(I34=0,G34,IF(G34=0,COS(D35*PI()/180)*I34,G34/COS(K34*PI()/180))))</f>
        <v>42.006862258889853</v>
      </c>
      <c r="N34" s="468">
        <f>IF(C36="","",ROUND(L34,1))</f>
        <v>197.8</v>
      </c>
      <c r="O34" s="469">
        <f>IF(C36="","",ROUND(M34,1))</f>
        <v>42</v>
      </c>
      <c r="P34" s="353">
        <v>16</v>
      </c>
      <c r="Q34" s="465"/>
      <c r="R34" s="465"/>
      <c r="S34" s="64" t="s">
        <v>56</v>
      </c>
      <c r="T34" s="64" t="s">
        <v>27</v>
      </c>
      <c r="U34" s="358"/>
      <c r="V34" s="470">
        <f>(O34/P34+U34/60)/24</f>
        <v>0.109375</v>
      </c>
      <c r="W34" s="466"/>
      <c r="X34" s="64" t="s">
        <v>88</v>
      </c>
      <c r="Y34" s="65" t="s">
        <v>113</v>
      </c>
      <c r="Z34" s="64" t="s">
        <v>83</v>
      </c>
      <c r="AA34" s="64">
        <v>2</v>
      </c>
      <c r="AB34" s="53">
        <v>1648</v>
      </c>
      <c r="AC34" s="56" t="s">
        <v>32</v>
      </c>
      <c r="AD34" s="505"/>
    </row>
    <row r="35" spans="1:30" ht="15" customHeight="1">
      <c r="A35" s="471">
        <f>IF(B35="","",A33+1)</f>
        <v>14</v>
      </c>
      <c r="B35" s="394" t="s">
        <v>141</v>
      </c>
      <c r="C35" s="54">
        <v>31.2</v>
      </c>
      <c r="D35" s="472">
        <f>TRUNC(C35)+((C35-TRUNC(C35))/0.6)</f>
        <v>31.333333333333332</v>
      </c>
      <c r="E35" s="472">
        <f>TRUNC(C36)+((C36-TRUNC(C36))/0.6)</f>
        <v>131.58333333333331</v>
      </c>
      <c r="F35" s="473">
        <f>ROUND(((LOG10(TAN(PI()/4+(D35/2*PI()/180)))*7915.7046)-(3437.7468*((0.0816968^2*SIN(D35*PI()/180))+(0.0816968^4/3*((SIN(D35*PI()/180))^3))+(0.0816968^6/5*((SIN(D35*PI()/180))^5))))),2)</f>
        <v>1969.45</v>
      </c>
      <c r="G35" s="464"/>
      <c r="H35" s="464">
        <f>IF(E35&lt;0,E35+360,E35)</f>
        <v>131.58333333333331</v>
      </c>
      <c r="I35" s="477"/>
      <c r="J35" s="478"/>
      <c r="K35" s="479"/>
      <c r="L35" s="472"/>
      <c r="M35" s="472"/>
      <c r="N35" s="468"/>
      <c r="O35" s="469"/>
      <c r="P35" s="353"/>
      <c r="Q35" s="465">
        <f>IF(O34="","",Q33+O34)</f>
        <v>406.5</v>
      </c>
      <c r="R35" s="465">
        <f>IF(O34="","",R33-O34)</f>
        <v>696.2000000000005</v>
      </c>
      <c r="S35" s="61"/>
      <c r="T35" s="61" t="s">
        <v>25</v>
      </c>
      <c r="U35" s="355"/>
      <c r="V35" s="470"/>
      <c r="W35" s="466">
        <f>IF(P34="","",W33+V34)</f>
        <v>43256.821770833325</v>
      </c>
      <c r="X35" s="61" t="s">
        <v>87</v>
      </c>
      <c r="Y35" s="61"/>
      <c r="Z35" s="61"/>
      <c r="AA35" s="61"/>
      <c r="AB35" s="52"/>
      <c r="AC35" s="57"/>
      <c r="AD35" s="514" t="s">
        <v>134</v>
      </c>
    </row>
    <row r="36" spans="1:30" ht="15" customHeight="1">
      <c r="A36" s="471"/>
      <c r="B36" s="395"/>
      <c r="C36" s="55">
        <v>131.35</v>
      </c>
      <c r="D36" s="472"/>
      <c r="E36" s="472"/>
      <c r="F36" s="473"/>
      <c r="G36" s="464">
        <f>ABS(D35-D37)*60</f>
        <v>28.999999999999844</v>
      </c>
      <c r="H36" s="464"/>
      <c r="I36" s="477">
        <f>ABS(H35-H37)*60</f>
        <v>45.999999999997385</v>
      </c>
      <c r="J36" s="478">
        <f>ABS(F35-F37)</f>
        <v>33.700000000000045</v>
      </c>
      <c r="K36" s="479">
        <f>IF(AND(D35&lt;D37,H35=H37),0,IF(AND(D35&gt;D37,H35=H37),180,IF(AND(D35=D37,H35&lt;H37),90,IF(AND(D35=D37,H35&gt;H37),270,(ATAN(I36/J36)*180/PI())))))</f>
        <v>53.773170735858649</v>
      </c>
      <c r="L36" s="472">
        <f>IF(OR(K36=0,K36=90,K36=180,K36=270),K36,IF(AND(D35&lt;D37,H35&lt;H37),K36,IF(AND(D35&lt;D37,H35&gt;H37),360-K36,IF(AND(D35&gt;D37,H35&lt;H37),180-K36,IF(AND(D35&gt;D37,H35&gt;H37),180+K36)))))</f>
        <v>233.77317073585866</v>
      </c>
      <c r="M36" s="472">
        <f>(IF(I36=0,G36,IF(G36=0,COS(D37*PI()/180)*I36,G36/COS(K36*PI()/180))))</f>
        <v>49.070746488530197</v>
      </c>
      <c r="N36" s="468">
        <f>IF(C38="","",ROUND(L36,1))</f>
        <v>233.8</v>
      </c>
      <c r="O36" s="469">
        <f>IF(C38="","",ROUND(M36,1))</f>
        <v>49.1</v>
      </c>
      <c r="P36" s="353">
        <v>16</v>
      </c>
      <c r="Q36" s="465"/>
      <c r="R36" s="465"/>
      <c r="S36" s="64" t="s">
        <v>56</v>
      </c>
      <c r="T36" s="64" t="s">
        <v>27</v>
      </c>
      <c r="U36" s="358"/>
      <c r="V36" s="470">
        <f>(O36/P36+U36/60)/24</f>
        <v>0.12786458333333334</v>
      </c>
      <c r="W36" s="466"/>
      <c r="X36" s="64" t="s">
        <v>88</v>
      </c>
      <c r="Y36" s="65" t="s">
        <v>113</v>
      </c>
      <c r="Z36" s="64" t="s">
        <v>83</v>
      </c>
      <c r="AA36" s="64">
        <v>2</v>
      </c>
      <c r="AB36" s="53" t="s">
        <v>145</v>
      </c>
      <c r="AC36" s="56" t="s">
        <v>73</v>
      </c>
      <c r="AD36" s="515"/>
    </row>
    <row r="37" spans="1:30" ht="15" customHeight="1">
      <c r="A37" s="471">
        <f>IF(B37="","",A35+1)</f>
        <v>15</v>
      </c>
      <c r="B37" s="394" t="s">
        <v>142</v>
      </c>
      <c r="C37" s="54">
        <v>30.51</v>
      </c>
      <c r="D37" s="472">
        <f>TRUNC(C37)+((C37-TRUNC(C37))/0.6)</f>
        <v>30.85</v>
      </c>
      <c r="E37" s="472">
        <f>TRUNC(C38)+((C38-TRUNC(C38))/0.6)</f>
        <v>130.81666666666669</v>
      </c>
      <c r="F37" s="473">
        <f>ROUND(((LOG10(TAN(PI()/4+(D37/2*PI()/180)))*7915.7046)-(3437.7468*((0.0816968^2*SIN(D37*PI()/180))+(0.0816968^4/3*((SIN(D37*PI()/180))^3))+(0.0816968^6/5*((SIN(D37*PI()/180))^5))))),2)</f>
        <v>1935.75</v>
      </c>
      <c r="G37" s="464"/>
      <c r="H37" s="464">
        <f>IF(E37&lt;0,E37+360,E37)</f>
        <v>130.81666666666669</v>
      </c>
      <c r="I37" s="477"/>
      <c r="J37" s="478"/>
      <c r="K37" s="479"/>
      <c r="L37" s="472"/>
      <c r="M37" s="472"/>
      <c r="N37" s="468"/>
      <c r="O37" s="469"/>
      <c r="P37" s="353"/>
      <c r="Q37" s="465">
        <f>IF(O36="","",Q35+O36)</f>
        <v>455.6</v>
      </c>
      <c r="R37" s="465">
        <f>IF(O36="","",R35-O36)</f>
        <v>647.10000000000048</v>
      </c>
      <c r="S37" s="61"/>
      <c r="T37" s="61" t="s">
        <v>26</v>
      </c>
      <c r="U37" s="355"/>
      <c r="V37" s="470"/>
      <c r="W37" s="466">
        <f>IF(P36="","",W35+V36)</f>
        <v>43256.949635416655</v>
      </c>
      <c r="X37" s="61" t="s">
        <v>87</v>
      </c>
      <c r="Y37" s="61"/>
      <c r="Z37" s="61"/>
      <c r="AA37" s="61"/>
      <c r="AB37" s="52" t="s">
        <v>131</v>
      </c>
      <c r="AC37" s="57"/>
      <c r="AD37" s="506" t="s">
        <v>135</v>
      </c>
    </row>
    <row r="38" spans="1:30" ht="15" customHeight="1">
      <c r="A38" s="471"/>
      <c r="B38" s="395"/>
      <c r="C38" s="55">
        <v>130.49</v>
      </c>
      <c r="D38" s="472"/>
      <c r="E38" s="472"/>
      <c r="F38" s="473"/>
      <c r="G38" s="464">
        <f>ABS(D37-D39)*60</f>
        <v>18.000000000000256</v>
      </c>
      <c r="H38" s="464"/>
      <c r="I38" s="477">
        <f>ABS(H37-H39)*60</f>
        <v>44.000000000000909</v>
      </c>
      <c r="J38" s="478">
        <f>ABS(F37-F39)</f>
        <v>20.829999999999927</v>
      </c>
      <c r="K38" s="479">
        <f>IF(AND(D37&lt;D39,H37=H39),0,IF(AND(D37&gt;D39,H37=H39),180,IF(AND(D37=D39,H37&lt;H39),90,IF(AND(D37=D39,H37&gt;H39),270,(ATAN(I38/J38)*180/PI())))))</f>
        <v>64.666699891313414</v>
      </c>
      <c r="L38" s="472">
        <f>IF(OR(K38=0,K38=90,K38=180,K38=270),K38,IF(AND(D37&lt;D39,H37&lt;H39),K38,IF(AND(D37&lt;D39,H37&gt;H39),360-K38,IF(AND(D37&gt;D39,H37&lt;H39),180-K38,IF(AND(D37&gt;D39,H37&gt;H39),180+K38)))))</f>
        <v>244.66669989131341</v>
      </c>
      <c r="M38" s="472">
        <f>(IF(I38=0,G38,IF(G38=0,COS(D39*PI()/180)*I38,G38/COS(K38*PI()/180))))</f>
        <v>42.067550870217431</v>
      </c>
      <c r="N38" s="468">
        <f>IF(C40="","",ROUND(L38,1))</f>
        <v>244.7</v>
      </c>
      <c r="O38" s="469">
        <f>IF(C40="","",ROUND(M38,1))</f>
        <v>42.1</v>
      </c>
      <c r="P38" s="353">
        <v>16</v>
      </c>
      <c r="Q38" s="465"/>
      <c r="R38" s="465"/>
      <c r="S38" s="64" t="s">
        <v>56</v>
      </c>
      <c r="T38" s="64" t="s">
        <v>29</v>
      </c>
      <c r="U38" s="358"/>
      <c r="V38" s="470">
        <f>(O38/P38+U38/60)/24</f>
        <v>0.10963541666666667</v>
      </c>
      <c r="W38" s="466"/>
      <c r="X38" s="64" t="s">
        <v>88</v>
      </c>
      <c r="Y38" s="65" t="s">
        <v>113</v>
      </c>
      <c r="Z38" s="64" t="s">
        <v>83</v>
      </c>
      <c r="AA38" s="64">
        <v>2</v>
      </c>
      <c r="AB38" s="53" t="s">
        <v>132</v>
      </c>
      <c r="AC38" s="56" t="s">
        <v>73</v>
      </c>
      <c r="AD38" s="507"/>
    </row>
    <row r="39" spans="1:30" ht="15" customHeight="1">
      <c r="A39" s="471">
        <f>IF(B39="","",A37+1)</f>
        <v>16</v>
      </c>
      <c r="B39" s="394" t="s">
        <v>124</v>
      </c>
      <c r="C39" s="54">
        <v>30.33</v>
      </c>
      <c r="D39" s="472">
        <f>TRUNC(C39)+((C39-TRUNC(C39))/0.6)</f>
        <v>30.549999999999997</v>
      </c>
      <c r="E39" s="472">
        <f>TRUNC(C40)+((C40-TRUNC(C40))/0.6)</f>
        <v>130.08333333333334</v>
      </c>
      <c r="F39" s="473">
        <f>ROUND(((LOG10(TAN(PI()/4+(D39/2*PI()/180)))*7915.7046)-(3437.7468*((0.0816968^2*SIN(D39*PI()/180))+(0.0816968^4/3*((SIN(D39*PI()/180))^3))+(0.0816968^6/5*((SIN(D39*PI()/180))^5))))),2)</f>
        <v>1914.92</v>
      </c>
      <c r="G39" s="464"/>
      <c r="H39" s="464">
        <f>IF(E39&lt;0,E39+360,E39)</f>
        <v>130.08333333333334</v>
      </c>
      <c r="I39" s="477"/>
      <c r="J39" s="478"/>
      <c r="K39" s="479"/>
      <c r="L39" s="472"/>
      <c r="M39" s="472"/>
      <c r="N39" s="468"/>
      <c r="O39" s="469"/>
      <c r="P39" s="353"/>
      <c r="Q39" s="465">
        <f>IF(O38="","",Q37+O38)</f>
        <v>497.70000000000005</v>
      </c>
      <c r="R39" s="465">
        <f>IF(O38="","",R37-O38)</f>
        <v>605.00000000000045</v>
      </c>
      <c r="S39" s="61"/>
      <c r="T39" s="61" t="s">
        <v>26</v>
      </c>
      <c r="U39" s="355"/>
      <c r="V39" s="470"/>
      <c r="W39" s="466">
        <f>IF(P38="","",W37+V38)</f>
        <v>43257.059270833321</v>
      </c>
      <c r="X39" s="61" t="s">
        <v>87</v>
      </c>
      <c r="Y39" s="61"/>
      <c r="Z39" s="61"/>
      <c r="AA39" s="61"/>
      <c r="AB39" s="52" t="s">
        <v>131</v>
      </c>
      <c r="AC39" s="57"/>
      <c r="AD39" s="506" t="s">
        <v>136</v>
      </c>
    </row>
    <row r="40" spans="1:30" ht="15" customHeight="1">
      <c r="A40" s="471"/>
      <c r="B40" s="395"/>
      <c r="C40" s="55">
        <v>130.05000000000001</v>
      </c>
      <c r="D40" s="472"/>
      <c r="E40" s="472"/>
      <c r="F40" s="473"/>
      <c r="G40" s="464">
        <f>ABS(D39-D41)*60</f>
        <v>272.99999999999983</v>
      </c>
      <c r="H40" s="464"/>
      <c r="I40" s="477">
        <f>ABS(H39-H41)*60</f>
        <v>528.00000000000068</v>
      </c>
      <c r="J40" s="478">
        <f>ABS(F39-F41)</f>
        <v>308.51</v>
      </c>
      <c r="K40" s="479">
        <f>IF(AND(D39&lt;D41,H39=H41),0,IF(AND(D39&gt;D41,H39=H41),180,IF(AND(D39=D41,H39&lt;H41),90,IF(AND(D39=D41,H39&gt;H41),270,(ATAN(I40/J40)*180/PI())))))</f>
        <v>59.702288371077096</v>
      </c>
      <c r="L40" s="472">
        <f>IF(OR(K40=0,K40=90,K40=180,K40=270),K40,IF(AND(D39&lt;D41,H39&lt;H41),K40,IF(AND(D39&lt;D41,H39&gt;H41),360-K40,IF(AND(D39&gt;D41,H39&lt;H41),180-K40,IF(AND(D39&gt;D41,H39&gt;H41),180+K40)))))</f>
        <v>239.70228837107709</v>
      </c>
      <c r="M40" s="472">
        <f>(IF(I40=0,G40,IF(G40=0,COS(D41*PI()/180)*I40,G40/COS(K40*PI()/180))))</f>
        <v>541.13718998328238</v>
      </c>
      <c r="N40" s="468">
        <f>IF(C42="","",ROUND(L40,1))</f>
        <v>239.7</v>
      </c>
      <c r="O40" s="469">
        <f>IF(C42="","",ROUND(M40,1))</f>
        <v>541.1</v>
      </c>
      <c r="P40" s="353">
        <v>16</v>
      </c>
      <c r="Q40" s="465"/>
      <c r="R40" s="465"/>
      <c r="S40" s="64" t="s">
        <v>56</v>
      </c>
      <c r="T40" s="64" t="s">
        <v>29</v>
      </c>
      <c r="U40" s="358"/>
      <c r="V40" s="470">
        <f>(O40/P40+U40/60)/24</f>
        <v>1.4091145833333334</v>
      </c>
      <c r="W40" s="466"/>
      <c r="X40" s="64" t="s">
        <v>88</v>
      </c>
      <c r="Y40" s="65" t="s">
        <v>113</v>
      </c>
      <c r="Z40" s="64" t="s">
        <v>83</v>
      </c>
      <c r="AA40" s="64">
        <v>2</v>
      </c>
      <c r="AB40" s="53" t="s">
        <v>132</v>
      </c>
      <c r="AC40" s="56" t="s">
        <v>32</v>
      </c>
      <c r="AD40" s="507"/>
    </row>
    <row r="41" spans="1:30" ht="15" customHeight="1">
      <c r="A41" s="471">
        <f>IF(B41="","",A39+1)</f>
        <v>17</v>
      </c>
      <c r="B41" s="348" t="s">
        <v>125</v>
      </c>
      <c r="C41" s="54">
        <v>26</v>
      </c>
      <c r="D41" s="472">
        <f>TRUNC(C41)+((C41-TRUNC(C41))/0.6)</f>
        <v>26</v>
      </c>
      <c r="E41" s="472">
        <f>TRUNC(C42)+((C42-TRUNC(C42))/0.6)</f>
        <v>121.28333333333333</v>
      </c>
      <c r="F41" s="473">
        <f>ROUND(((LOG10(TAN(PI()/4+(D41/2*PI()/180)))*7915.7046)-(3437.7468*((0.0816968^2*SIN(D41*PI()/180))+(0.0816968^4/3*((SIN(D41*PI()/180))^3))+(0.0816968^6/5*((SIN(D41*PI()/180))^5))))),2)</f>
        <v>1606.41</v>
      </c>
      <c r="G41" s="464"/>
      <c r="H41" s="464">
        <f>IF(E41&lt;0,E41+360,E41)</f>
        <v>121.28333333333333</v>
      </c>
      <c r="I41" s="477"/>
      <c r="J41" s="478"/>
      <c r="K41" s="479"/>
      <c r="L41" s="472"/>
      <c r="M41" s="472"/>
      <c r="N41" s="468"/>
      <c r="O41" s="469"/>
      <c r="P41" s="353"/>
      <c r="Q41" s="465">
        <f>IF(O40="","",Q39+O40)</f>
        <v>1038.8000000000002</v>
      </c>
      <c r="R41" s="465">
        <f>IF(O40="","",R39-O40)</f>
        <v>63.900000000000432</v>
      </c>
      <c r="S41" s="61"/>
      <c r="T41" s="61" t="s">
        <v>25</v>
      </c>
      <c r="U41" s="355"/>
      <c r="V41" s="470"/>
      <c r="W41" s="466">
        <f>IF(P40="","",W39+V40)</f>
        <v>43258.468385416651</v>
      </c>
      <c r="X41" s="61" t="s">
        <v>87</v>
      </c>
      <c r="Y41" s="61"/>
      <c r="Z41" s="61"/>
      <c r="AA41" s="61"/>
      <c r="AB41" s="52">
        <v>3237</v>
      </c>
      <c r="AC41" s="57"/>
      <c r="AD41" s="504" t="s">
        <v>137</v>
      </c>
    </row>
    <row r="42" spans="1:30" ht="15" customHeight="1">
      <c r="A42" s="471"/>
      <c r="B42" s="349"/>
      <c r="C42" s="55">
        <v>121.17</v>
      </c>
      <c r="D42" s="472"/>
      <c r="E42" s="472"/>
      <c r="F42" s="473"/>
      <c r="G42" s="464">
        <f>ABS(D41-D43)*60</f>
        <v>30</v>
      </c>
      <c r="H42" s="464"/>
      <c r="I42" s="477">
        <f>ABS(H41-H43)*60</f>
        <v>15.999999999999091</v>
      </c>
      <c r="J42" s="478">
        <f>ABS(F41-F43)</f>
        <v>33.130000000000109</v>
      </c>
      <c r="K42" s="479">
        <f>IF(AND(D41&lt;D43,H41=H43),0,IF(AND(D41&gt;D43,H41=H43),180,IF(AND(D41=D43,H41&lt;H43),90,IF(AND(D41=D43,H41&gt;H43),270,(ATAN(I42/J42)*180/PI())))))</f>
        <v>25.77803247020028</v>
      </c>
      <c r="L42" s="472">
        <f>IF(OR(K42=0,K42=90,K42=180,K42=270),K42,IF(AND(D41&lt;D43,H41&lt;H43),K42,IF(AND(D41&lt;D43,H41&gt;H43),360-K42,IF(AND(D41&gt;D43,H41&lt;H43),180-K42,IF(AND(D41&gt;D43,H41&gt;H43),180+K42)))))</f>
        <v>205.77803247020029</v>
      </c>
      <c r="M42" s="472">
        <f>(IF(I42=0,G42,IF(G42=0,COS(D43*PI()/180)*I42,G42/COS(K42*PI()/180))))</f>
        <v>33.315358760037618</v>
      </c>
      <c r="N42" s="468">
        <f>IF(C44="","",ROUND(L42,1))</f>
        <v>205.8</v>
      </c>
      <c r="O42" s="469">
        <f>IF(C44="","",ROUND(M42,1))</f>
        <v>33.299999999999997</v>
      </c>
      <c r="P42" s="353">
        <v>16</v>
      </c>
      <c r="Q42" s="465"/>
      <c r="R42" s="465"/>
      <c r="S42" s="64" t="s">
        <v>56</v>
      </c>
      <c r="T42" s="64" t="s">
        <v>27</v>
      </c>
      <c r="U42" s="358"/>
      <c r="V42" s="470">
        <f>(O42/P42+U42/60)/24</f>
        <v>8.6718749999999997E-2</v>
      </c>
      <c r="W42" s="466"/>
      <c r="X42" s="64" t="s">
        <v>88</v>
      </c>
      <c r="Y42" s="65" t="s">
        <v>113</v>
      </c>
      <c r="Z42" s="64" t="s">
        <v>83</v>
      </c>
      <c r="AA42" s="64">
        <v>2</v>
      </c>
      <c r="AB42" s="53">
        <v>2412</v>
      </c>
      <c r="AC42" s="56" t="s">
        <v>32</v>
      </c>
      <c r="AD42" s="505"/>
    </row>
    <row r="43" spans="1:30" ht="15" customHeight="1">
      <c r="A43" s="471">
        <f t="shared" ref="A43" si="0">IF(B43="","",A41+1)</f>
        <v>18</v>
      </c>
      <c r="B43" s="348" t="s">
        <v>126</v>
      </c>
      <c r="C43" s="54">
        <v>25.3</v>
      </c>
      <c r="D43" s="472">
        <f>TRUNC(C43)+((C43-TRUNC(C43))/0.6)</f>
        <v>25.5</v>
      </c>
      <c r="E43" s="472">
        <f>TRUNC(C44)+((C44-TRUNC(C44))/0.6)</f>
        <v>121.01666666666668</v>
      </c>
      <c r="F43" s="473">
        <f>ROUND(((LOG10(TAN(PI()/4+(D43/2*PI()/180)))*7915.7046)-(3437.7468*((0.0816968^2*SIN(D43*PI()/180))+(0.0816968^4/3*((SIN(D43*PI()/180))^3))+(0.0816968^6/5*((SIN(D43*PI()/180))^5))))),2)</f>
        <v>1573.28</v>
      </c>
      <c r="G43" s="464"/>
      <c r="H43" s="464">
        <f>IF(E43&lt;0,E43+360,E43)</f>
        <v>121.01666666666668</v>
      </c>
      <c r="I43" s="477"/>
      <c r="J43" s="478"/>
      <c r="K43" s="479"/>
      <c r="L43" s="472"/>
      <c r="M43" s="472"/>
      <c r="N43" s="468"/>
      <c r="O43" s="469"/>
      <c r="P43" s="353"/>
      <c r="Q43" s="465">
        <f>IF(O42="","",Q41+O42)</f>
        <v>1072.1000000000001</v>
      </c>
      <c r="R43" s="465">
        <f>IF(O42="","",R41-O42)</f>
        <v>30.600000000000435</v>
      </c>
      <c r="S43" s="61"/>
      <c r="T43" s="61" t="s">
        <v>25</v>
      </c>
      <c r="U43" s="355"/>
      <c r="V43" s="470"/>
      <c r="W43" s="466">
        <f>IF(P42="","",W41+V42)</f>
        <v>43258.555104166648</v>
      </c>
      <c r="X43" s="61" t="s">
        <v>87</v>
      </c>
      <c r="Y43" s="61"/>
      <c r="Z43" s="61"/>
      <c r="AA43" s="61"/>
      <c r="AB43" s="52"/>
      <c r="AC43" s="57"/>
      <c r="AD43" s="503" t="s">
        <v>144</v>
      </c>
    </row>
    <row r="44" spans="1:30" ht="15" customHeight="1">
      <c r="A44" s="471"/>
      <c r="B44" s="349"/>
      <c r="C44" s="55">
        <v>121.01</v>
      </c>
      <c r="D44" s="472"/>
      <c r="E44" s="472"/>
      <c r="F44" s="473"/>
      <c r="G44" s="464">
        <f>ABS(D43-D45)*60</f>
        <v>20.59999999999981</v>
      </c>
      <c r="H44" s="464"/>
      <c r="I44" s="477">
        <f>ABS(H43-H45)*60</f>
        <v>18.999999999999773</v>
      </c>
      <c r="J44" s="478">
        <f>ABS(F43-F45)</f>
        <v>22.660000000000082</v>
      </c>
      <c r="K44" s="479">
        <f>IF(AND(D43&lt;D45,H43=H45),0,IF(AND(D43&gt;D45,H43=H45),180,IF(AND(D43=D45,H43&lt;H45),90,IF(AND(D43=D45,H43&gt;H45),270,(ATAN(I44/J44)*180/PI())))))</f>
        <v>39.979224204722172</v>
      </c>
      <c r="L44" s="472">
        <f>IF(OR(K44=0,K44=90,K44=180,K44=270),K44,IF(AND(D43&lt;D45,H43&lt;H45),K44,IF(AND(D43&lt;D45,H43&gt;H45),360-K44,IF(AND(D43&gt;D45,H43&lt;H45),180-K44,IF(AND(D43&gt;D45,H43&gt;H45),180+K44)))))</f>
        <v>140.02077579527781</v>
      </c>
      <c r="M44" s="472">
        <f>(IF(I44=0,G44,IF(G44=0,COS(D45*PI()/180)*I44,G44/COS(K44*PI()/180))))</f>
        <v>26.883212371998887</v>
      </c>
      <c r="N44" s="468">
        <f>IF(C46="","",ROUND(L44,1))</f>
        <v>140</v>
      </c>
      <c r="O44" s="469">
        <f>IF(C46="","",ROUND(M44,1))</f>
        <v>26.9</v>
      </c>
      <c r="P44" s="353">
        <v>16</v>
      </c>
      <c r="Q44" s="465"/>
      <c r="R44" s="465"/>
      <c r="S44" s="64" t="s">
        <v>56</v>
      </c>
      <c r="T44" s="64" t="s">
        <v>22</v>
      </c>
      <c r="U44" s="358"/>
      <c r="V44" s="470">
        <f>(O44/P44+U44/60)/24</f>
        <v>7.0052083333333334E-2</v>
      </c>
      <c r="W44" s="466"/>
      <c r="X44" s="64" t="s">
        <v>88</v>
      </c>
      <c r="Y44" s="65" t="s">
        <v>89</v>
      </c>
      <c r="Z44" s="64" t="s">
        <v>32</v>
      </c>
      <c r="AA44" s="64">
        <v>3</v>
      </c>
      <c r="AB44" s="53">
        <v>1761</v>
      </c>
      <c r="AC44" s="56" t="s">
        <v>83</v>
      </c>
      <c r="AD44" s="503"/>
    </row>
    <row r="45" spans="1:30" ht="15" customHeight="1">
      <c r="A45" s="471">
        <f t="shared" ref="A45" si="1">IF(B45="","",A43+1)</f>
        <v>19</v>
      </c>
      <c r="B45" s="511" t="s">
        <v>127</v>
      </c>
      <c r="C45" s="74">
        <v>25.094000000000001</v>
      </c>
      <c r="D45" s="472">
        <f>TRUNC(C45)+((C45-TRUNC(C45))/0.6)</f>
        <v>25.15666666666667</v>
      </c>
      <c r="E45" s="472">
        <f>TRUNC(C46)+((C46-TRUNC(C46))/0.6)</f>
        <v>121.33333333333334</v>
      </c>
      <c r="F45" s="473">
        <f>ROUND(((LOG10(TAN(PI()/4+(D45/2*PI()/180)))*7915.7046)-(3437.7468*((0.0816968^2*SIN(D45*PI()/180))+(0.0816968^4/3*((SIN(D45*PI()/180))^3))+(0.0816968^6/5*((SIN(D45*PI()/180))^5))))),2)</f>
        <v>1550.62</v>
      </c>
      <c r="G45" s="464"/>
      <c r="H45" s="464">
        <f>IF(E45&lt;0,E45+360,E45)</f>
        <v>121.33333333333334</v>
      </c>
      <c r="I45" s="477"/>
      <c r="J45" s="478"/>
      <c r="K45" s="479"/>
      <c r="L45" s="472"/>
      <c r="M45" s="472"/>
      <c r="N45" s="468"/>
      <c r="O45" s="469"/>
      <c r="P45" s="353"/>
      <c r="Q45" s="513">
        <f>IF(O44="","",Q43+O44)</f>
        <v>1099.0000000000002</v>
      </c>
      <c r="R45" s="513">
        <f>IF(O44="","",R43-O44)</f>
        <v>3.7000000000004363</v>
      </c>
      <c r="S45" s="61"/>
      <c r="T45" s="61" t="s">
        <v>25</v>
      </c>
      <c r="U45" s="355"/>
      <c r="V45" s="470"/>
      <c r="W45" s="466">
        <f>IF(P44="","",W43+V44)</f>
        <v>43258.625156249982</v>
      </c>
      <c r="X45" s="61" t="s">
        <v>87</v>
      </c>
      <c r="Y45" s="61"/>
      <c r="Z45" s="61"/>
      <c r="AA45" s="61"/>
      <c r="AB45" s="52"/>
      <c r="AC45" s="68"/>
      <c r="AD45" s="474" t="s">
        <v>71</v>
      </c>
    </row>
    <row r="46" spans="1:30" ht="15" customHeight="1">
      <c r="A46" s="471"/>
      <c r="B46" s="512"/>
      <c r="C46" s="75">
        <v>121.2</v>
      </c>
      <c r="D46" s="472"/>
      <c r="E46" s="472"/>
      <c r="F46" s="473"/>
      <c r="G46" s="464">
        <f>ABS(D45-D47)*60</f>
        <v>0.25000000000019895</v>
      </c>
      <c r="H46" s="464"/>
      <c r="I46" s="477">
        <f>ABS(H45-H47)*60</f>
        <v>1.2999999999988177</v>
      </c>
      <c r="J46" s="478">
        <f>ABS(F45-F47)</f>
        <v>0.27999999999997272</v>
      </c>
      <c r="K46" s="479">
        <f>IF(AND(D45&lt;D47,H45=H47),0,IF(AND(D45&gt;D47,H45=H47),180,IF(AND(D45=D47,H45&lt;H47),90,IF(AND(D45=D47,H45&gt;H47),270,(ATAN(I46/J46)*180/PI())))))</f>
        <v>77.845058302768209</v>
      </c>
      <c r="L46" s="472">
        <f>IF(OR(K46=0,K46=90,K46=180,K46=270),K46,IF(AND(D45&lt;D47,H45&lt;H47),K46,IF(AND(D45&lt;D47,H45&gt;H47),360-K46,IF(AND(D45&gt;D47,H45&lt;H47),180-K46,IF(AND(D45&gt;D47,H45&gt;H47),180+K46)))))</f>
        <v>102.15494169723179</v>
      </c>
      <c r="M46" s="472">
        <f>(IF(I46=0,G46,IF(G46=0,COS(D47*PI()/180)*I46,G46/COS(K46*PI()/180))))</f>
        <v>1.1873321578485447</v>
      </c>
      <c r="N46" s="468">
        <f>IF(C48="","",ROUND(L46,1))</f>
        <v>102.2</v>
      </c>
      <c r="O46" s="469">
        <f>IF(C48="","",ROUND(M46,1))</f>
        <v>1.2</v>
      </c>
      <c r="P46" s="353">
        <v>12</v>
      </c>
      <c r="Q46" s="513"/>
      <c r="R46" s="513"/>
      <c r="S46" s="64">
        <v>13</v>
      </c>
      <c r="T46" s="64" t="s">
        <v>23</v>
      </c>
      <c r="U46" s="358"/>
      <c r="V46" s="470">
        <f>(O46/P46+U46/60)/24</f>
        <v>4.1666666666666666E-3</v>
      </c>
      <c r="W46" s="466"/>
      <c r="X46" s="64" t="s">
        <v>88</v>
      </c>
      <c r="Y46" s="65" t="s">
        <v>89</v>
      </c>
      <c r="Z46" s="64" t="s">
        <v>32</v>
      </c>
      <c r="AA46" s="64">
        <v>3</v>
      </c>
      <c r="AB46" s="53">
        <v>1761</v>
      </c>
      <c r="AC46" s="69" t="s">
        <v>83</v>
      </c>
      <c r="AD46" s="475"/>
    </row>
    <row r="47" spans="1:30" ht="15" customHeight="1">
      <c r="A47" s="471">
        <f t="shared" ref="A47" si="2">IF(B47="","",A45+1)</f>
        <v>20</v>
      </c>
      <c r="B47" s="348" t="s">
        <v>128</v>
      </c>
      <c r="C47" s="54">
        <v>25.0915</v>
      </c>
      <c r="D47" s="472">
        <f>TRUNC(C47)+((C47-TRUNC(C47))/0.6)</f>
        <v>25.1525</v>
      </c>
      <c r="E47" s="472">
        <f>TRUNC(C48)+((C48-TRUNC(C48))/0.6)</f>
        <v>121.35499999999999</v>
      </c>
      <c r="F47" s="473">
        <f>ROUND(((LOG10(TAN(PI()/4+(D47/2*PI()/180)))*7915.7046)-(3437.7468*((0.0816968^2*SIN(D47*PI()/180))+(0.0816968^4/3*((SIN(D47*PI()/180))^3))+(0.0816968^6/5*((SIN(D47*PI()/180))^5))))),2)</f>
        <v>1550.34</v>
      </c>
      <c r="G47" s="464"/>
      <c r="H47" s="464">
        <f>IF(E47&lt;0,E47+360,E47)</f>
        <v>121.35499999999999</v>
      </c>
      <c r="I47" s="477"/>
      <c r="J47" s="478"/>
      <c r="K47" s="479"/>
      <c r="L47" s="472"/>
      <c r="M47" s="472"/>
      <c r="N47" s="468"/>
      <c r="O47" s="469"/>
      <c r="P47" s="353"/>
      <c r="Q47" s="465">
        <f>IF(O46="","",Q45+O46)</f>
        <v>1100.2000000000003</v>
      </c>
      <c r="R47" s="465">
        <f>IF(O46="","",R45-O46)</f>
        <v>2.5000000000004361</v>
      </c>
      <c r="S47" s="61"/>
      <c r="T47" s="61"/>
      <c r="U47" s="355"/>
      <c r="V47" s="470"/>
      <c r="W47" s="466">
        <f>IF(P46="","",W45+V46)</f>
        <v>43258.629322916648</v>
      </c>
      <c r="X47" s="61" t="s">
        <v>87</v>
      </c>
      <c r="Y47" s="61"/>
      <c r="Z47" s="61"/>
      <c r="AA47" s="61"/>
      <c r="AB47" s="52"/>
      <c r="AC47" s="68"/>
      <c r="AD47" s="475"/>
    </row>
    <row r="48" spans="1:30" ht="15" customHeight="1">
      <c r="A48" s="471"/>
      <c r="B48" s="349"/>
      <c r="C48" s="55">
        <v>121.21299999999999</v>
      </c>
      <c r="D48" s="472"/>
      <c r="E48" s="472"/>
      <c r="F48" s="473"/>
      <c r="G48" s="66"/>
      <c r="H48" s="464"/>
      <c r="I48" s="66"/>
      <c r="J48" s="66"/>
      <c r="K48" s="66"/>
      <c r="L48" s="66"/>
      <c r="M48" s="66"/>
      <c r="N48" s="59"/>
      <c r="O48" s="60"/>
      <c r="P48" s="60"/>
      <c r="Q48" s="465"/>
      <c r="R48" s="465"/>
      <c r="S48" s="64">
        <v>6.4</v>
      </c>
      <c r="T48" s="64"/>
      <c r="U48" s="62"/>
      <c r="V48" s="63"/>
      <c r="W48" s="466"/>
      <c r="X48" s="64" t="s">
        <v>88</v>
      </c>
      <c r="Y48" s="65" t="s">
        <v>89</v>
      </c>
      <c r="Z48" s="64" t="s">
        <v>32</v>
      </c>
      <c r="AA48" s="64">
        <v>3</v>
      </c>
      <c r="AB48" s="53">
        <v>3658</v>
      </c>
      <c r="AC48" s="69" t="s">
        <v>83</v>
      </c>
      <c r="AD48" s="476"/>
    </row>
    <row r="49" spans="1:30" s="1" customFormat="1" ht="0.75" hidden="1" customHeight="1">
      <c r="A49" s="19" t="s">
        <v>8</v>
      </c>
      <c r="B49" s="508" t="s">
        <v>62</v>
      </c>
      <c r="C49" s="48">
        <v>35.03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1" t="s">
        <v>9</v>
      </c>
      <c r="Q49" s="22">
        <f>Q1</f>
        <v>0</v>
      </c>
      <c r="R49" s="23"/>
      <c r="S49" s="23"/>
      <c r="T49" s="21">
        <f>T1</f>
        <v>0</v>
      </c>
      <c r="U49" s="24"/>
      <c r="V49" s="20"/>
      <c r="W49" s="45"/>
      <c r="X49" s="20"/>
      <c r="Y49" s="20"/>
      <c r="Z49" s="20"/>
      <c r="AA49" s="20"/>
      <c r="AB49" s="20"/>
      <c r="AC49" s="51"/>
      <c r="AD49" s="18"/>
    </row>
    <row r="50" spans="1:30" s="1" customFormat="1" ht="13.5" hidden="1" customHeight="1">
      <c r="B50" s="509"/>
      <c r="C50" s="49">
        <v>136.51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6"/>
      <c r="P50" s="27" t="s">
        <v>10</v>
      </c>
      <c r="Q50" s="28">
        <f>Q2</f>
        <v>0</v>
      </c>
      <c r="R50" s="29"/>
      <c r="S50" s="30"/>
      <c r="T50" s="21">
        <f>T2</f>
        <v>0</v>
      </c>
      <c r="U50" s="31"/>
      <c r="V50" s="32"/>
      <c r="W50" s="46"/>
      <c r="X50" s="33"/>
      <c r="Y50" s="33"/>
      <c r="Z50" s="33"/>
      <c r="AA50" s="33"/>
      <c r="AB50" s="33"/>
      <c r="AC50" s="33"/>
      <c r="AD50" s="26"/>
    </row>
    <row r="51" spans="1:30" s="1" customFormat="1" ht="49.5" hidden="1" customHeight="1">
      <c r="A51" s="34" t="str">
        <f>A3</f>
        <v>DATE :  04-05 JUNE 2018</v>
      </c>
      <c r="B51" s="34"/>
      <c r="C51" s="3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5"/>
      <c r="O51" s="36"/>
      <c r="P51" s="36"/>
      <c r="Q51" s="37"/>
      <c r="R51" s="37"/>
      <c r="S51" s="20"/>
      <c r="T51" s="20"/>
      <c r="U51" s="24"/>
      <c r="V51" s="38"/>
      <c r="W51" s="45"/>
      <c r="X51" s="20"/>
      <c r="Y51" s="20"/>
      <c r="Z51" s="20"/>
      <c r="AA51" s="20"/>
      <c r="AB51" s="20"/>
      <c r="AC51" s="20"/>
      <c r="AD51" s="1" t="str">
        <f>AD3</f>
        <v>AVE.SPD.16.0 KTS</v>
      </c>
    </row>
    <row r="52" spans="1:30" s="1" customFormat="1" ht="48" customHeight="1">
      <c r="A52" s="510" t="s">
        <v>51</v>
      </c>
      <c r="B52" s="510"/>
      <c r="C52" s="510"/>
      <c r="D52" s="510"/>
      <c r="E52" s="510"/>
      <c r="F52" s="510"/>
      <c r="G52" s="510"/>
      <c r="H52" s="510"/>
      <c r="I52" s="510"/>
      <c r="J52" s="510"/>
      <c r="K52" s="510"/>
      <c r="L52" s="510"/>
      <c r="M52" s="510"/>
      <c r="N52" s="510"/>
      <c r="O52" s="510"/>
      <c r="P52" s="510"/>
      <c r="Q52" s="510"/>
      <c r="R52" s="510"/>
      <c r="S52" s="510"/>
      <c r="T52" s="510"/>
      <c r="U52" s="510"/>
      <c r="V52" s="510"/>
      <c r="W52" s="510"/>
      <c r="X52" s="510"/>
      <c r="Y52" s="510"/>
      <c r="Z52" s="510"/>
      <c r="AA52" s="510"/>
      <c r="AB52" s="510"/>
      <c r="AC52" s="510"/>
      <c r="AD52" s="510"/>
    </row>
    <row r="53" spans="1:30" ht="26.25" customHeight="1">
      <c r="A53" s="510"/>
      <c r="B53" s="510"/>
      <c r="C53" s="510"/>
      <c r="D53" s="510"/>
      <c r="E53" s="510"/>
      <c r="F53" s="510"/>
      <c r="G53" s="510"/>
      <c r="H53" s="510"/>
      <c r="I53" s="510"/>
      <c r="J53" s="510"/>
      <c r="K53" s="510"/>
      <c r="L53" s="510"/>
      <c r="M53" s="510"/>
      <c r="N53" s="510"/>
      <c r="O53" s="510"/>
      <c r="P53" s="510"/>
      <c r="Q53" s="510"/>
      <c r="R53" s="510"/>
      <c r="S53" s="510"/>
      <c r="T53" s="510"/>
      <c r="U53" s="510"/>
      <c r="V53" s="510"/>
      <c r="W53" s="510"/>
      <c r="X53" s="510"/>
      <c r="Y53" s="510"/>
      <c r="Z53" s="510"/>
      <c r="AA53" s="510"/>
      <c r="AB53" s="510"/>
      <c r="AC53" s="510"/>
      <c r="AD53" s="510"/>
    </row>
    <row r="54" spans="1:30" ht="14.1" customHeight="1">
      <c r="A54" s="490" t="s">
        <v>11</v>
      </c>
      <c r="B54" s="493" t="s">
        <v>12</v>
      </c>
      <c r="C54" s="49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499" t="s">
        <v>4</v>
      </c>
      <c r="O54" s="500" t="s">
        <v>5</v>
      </c>
      <c r="P54" s="500" t="s">
        <v>13</v>
      </c>
      <c r="Q54" s="484" t="s">
        <v>14</v>
      </c>
      <c r="R54" s="484" t="s">
        <v>6</v>
      </c>
      <c r="S54" s="76" t="s">
        <v>52</v>
      </c>
      <c r="T54" s="82" t="s">
        <v>33</v>
      </c>
      <c r="U54" s="485" t="s">
        <v>15</v>
      </c>
      <c r="V54" s="12"/>
      <c r="W54" s="486" t="s">
        <v>16</v>
      </c>
      <c r="X54" s="82" t="s">
        <v>34</v>
      </c>
      <c r="Y54" s="82" t="s">
        <v>33</v>
      </c>
      <c r="Z54" s="82" t="s">
        <v>35</v>
      </c>
      <c r="AA54" s="82" t="s">
        <v>36</v>
      </c>
      <c r="AB54" s="487" t="s">
        <v>37</v>
      </c>
      <c r="AC54" s="82" t="s">
        <v>58</v>
      </c>
      <c r="AD54" s="487" t="s">
        <v>38</v>
      </c>
    </row>
    <row r="55" spans="1:30" s="89" customFormat="1" ht="14.1" customHeight="1">
      <c r="A55" s="491"/>
      <c r="B55" s="495"/>
      <c r="C55" s="496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499"/>
      <c r="O55" s="500"/>
      <c r="P55" s="500"/>
      <c r="Q55" s="484"/>
      <c r="R55" s="484"/>
      <c r="S55" s="77" t="s">
        <v>53</v>
      </c>
      <c r="T55" s="83" t="s">
        <v>39</v>
      </c>
      <c r="U55" s="485"/>
      <c r="V55" s="12"/>
      <c r="W55" s="486"/>
      <c r="X55" s="83" t="s">
        <v>40</v>
      </c>
      <c r="Y55" s="83" t="s">
        <v>41</v>
      </c>
      <c r="Z55" s="83" t="s">
        <v>42</v>
      </c>
      <c r="AA55" s="83" t="s">
        <v>43</v>
      </c>
      <c r="AB55" s="488"/>
      <c r="AC55" s="83" t="s">
        <v>59</v>
      </c>
      <c r="AD55" s="488"/>
    </row>
    <row r="56" spans="1:30" ht="14.1" customHeight="1">
      <c r="A56" s="491"/>
      <c r="B56" s="495"/>
      <c r="C56" s="496"/>
      <c r="D56" s="14" t="s">
        <v>17</v>
      </c>
      <c r="E56" s="14" t="s">
        <v>18</v>
      </c>
      <c r="F56" s="15" t="s">
        <v>0</v>
      </c>
      <c r="G56" s="15" t="s">
        <v>1</v>
      </c>
      <c r="H56" s="85" t="s">
        <v>19</v>
      </c>
      <c r="I56" s="16" t="s">
        <v>2</v>
      </c>
      <c r="J56" s="15" t="s">
        <v>3</v>
      </c>
      <c r="K56" s="85"/>
      <c r="L56" s="15" t="s">
        <v>20</v>
      </c>
      <c r="M56" s="15" t="s">
        <v>21</v>
      </c>
      <c r="N56" s="499"/>
      <c r="O56" s="500"/>
      <c r="P56" s="500"/>
      <c r="Q56" s="484"/>
      <c r="R56" s="484"/>
      <c r="S56" s="77" t="s">
        <v>54</v>
      </c>
      <c r="T56" s="83" t="s">
        <v>44</v>
      </c>
      <c r="U56" s="485"/>
      <c r="V56" s="12"/>
      <c r="W56" s="486"/>
      <c r="X56" s="83" t="s">
        <v>44</v>
      </c>
      <c r="Y56" s="83" t="s">
        <v>45</v>
      </c>
      <c r="Z56" s="83" t="s">
        <v>46</v>
      </c>
      <c r="AA56" s="83" t="s">
        <v>72</v>
      </c>
      <c r="AB56" s="488"/>
      <c r="AC56" s="83"/>
      <c r="AD56" s="488"/>
    </row>
    <row r="57" spans="1:30" ht="14.1" customHeight="1">
      <c r="A57" s="492"/>
      <c r="B57" s="497"/>
      <c r="C57" s="498"/>
      <c r="D57" s="11"/>
      <c r="E57" s="11"/>
      <c r="F57" s="17"/>
      <c r="G57" s="17"/>
      <c r="H57" s="17"/>
      <c r="I57" s="86"/>
      <c r="J57" s="17"/>
      <c r="K57" s="17"/>
      <c r="L57" s="17"/>
      <c r="M57" s="17"/>
      <c r="N57" s="499"/>
      <c r="O57" s="500"/>
      <c r="P57" s="500"/>
      <c r="Q57" s="484"/>
      <c r="R57" s="484"/>
      <c r="S57" s="78" t="s">
        <v>55</v>
      </c>
      <c r="T57" s="84" t="s">
        <v>47</v>
      </c>
      <c r="U57" s="485"/>
      <c r="V57" s="12"/>
      <c r="W57" s="486"/>
      <c r="X57" s="84" t="s">
        <v>47</v>
      </c>
      <c r="Y57" s="84" t="s">
        <v>48</v>
      </c>
      <c r="Z57" s="84" t="s">
        <v>49</v>
      </c>
      <c r="AA57" s="84"/>
      <c r="AB57" s="489"/>
      <c r="AC57" s="84" t="s">
        <v>60</v>
      </c>
      <c r="AD57" s="489"/>
    </row>
    <row r="58" spans="1:30" ht="15" customHeight="1">
      <c r="A58" s="471">
        <v>20</v>
      </c>
      <c r="B58" s="348" t="s">
        <v>128</v>
      </c>
      <c r="C58" s="54">
        <v>25.0915</v>
      </c>
      <c r="D58" s="472">
        <f>TRUNC(C58)+((C58-TRUNC(C58))/0.6)</f>
        <v>25.1525</v>
      </c>
      <c r="E58" s="472">
        <f>TRUNC(C59)+((C59-TRUNC(C59))/0.6)</f>
        <v>121.35499999999999</v>
      </c>
      <c r="F58" s="473">
        <f>ROUND(((LOG10(TAN(PI()/4+(D58/2*PI()/180)))*7915.7046)-(3437.7468*((0.0816968^2*SIN(D58*PI()/180))+(0.0816968^4/3*((SIN(D58*PI()/180))^3))+(0.0816968^6/5*((SIN(D58*PI()/180))^5))))),2)</f>
        <v>1550.34</v>
      </c>
      <c r="G58" s="58"/>
      <c r="H58" s="464">
        <f>IF(E58&lt;0,E58+360,E58)</f>
        <v>121.35499999999999</v>
      </c>
      <c r="I58" s="88"/>
      <c r="J58" s="58"/>
      <c r="K58" s="58"/>
      <c r="L58" s="58"/>
      <c r="M58" s="58"/>
      <c r="N58" s="59"/>
      <c r="O58" s="60"/>
      <c r="P58" s="60"/>
      <c r="Q58" s="465">
        <v>1100.2000000000003</v>
      </c>
      <c r="R58" s="465">
        <v>2.5000000000004361</v>
      </c>
      <c r="S58" s="61"/>
      <c r="T58" s="61" t="s">
        <v>7</v>
      </c>
      <c r="U58" s="62"/>
      <c r="V58" s="63"/>
      <c r="W58" s="482">
        <v>43080.521041666667</v>
      </c>
      <c r="X58" s="61" t="s">
        <v>87</v>
      </c>
      <c r="Y58" s="61"/>
      <c r="Z58" s="61"/>
      <c r="AA58" s="61"/>
      <c r="AB58" s="52"/>
      <c r="AC58" s="68"/>
      <c r="AD58" s="514" t="s">
        <v>134</v>
      </c>
    </row>
    <row r="59" spans="1:30" ht="15" customHeight="1">
      <c r="A59" s="471"/>
      <c r="B59" s="349"/>
      <c r="C59" s="55">
        <v>121.21299999999999</v>
      </c>
      <c r="D59" s="472"/>
      <c r="E59" s="472"/>
      <c r="F59" s="473"/>
      <c r="G59" s="464">
        <f>ABS(D58-D60)*60</f>
        <v>0</v>
      </c>
      <c r="H59" s="464"/>
      <c r="I59" s="477">
        <f>ABS(H58-H60)*60</f>
        <v>0.85000000000093223</v>
      </c>
      <c r="J59" s="478">
        <f>ABS(F58-F60)</f>
        <v>0</v>
      </c>
      <c r="K59" s="479">
        <f>IF(AND(D58&lt;D60,H58=H60),0,IF(AND(D58&gt;D60,H58=H60),180,IF(AND(D58=D60,H58&lt;H60),90,IF(AND(D58=D60,H58&gt;H60),270,(ATAN(I59/J59)*180/PI())))))</f>
        <v>90</v>
      </c>
      <c r="L59" s="472">
        <f>IF(OR(K59=0,K59=90,K59=180,K59=270),K59,IF(AND(D58&lt;D60,H58&lt;H60),K59,IF(AND(D58&lt;D60,H58&gt;H60),360-K59,IF(AND(D58&gt;D60,H58&lt;H60),180-K59,IF(AND(D58&gt;D60,H58&gt;H60),180+K59)))))</f>
        <v>90</v>
      </c>
      <c r="M59" s="472">
        <f>(IF(I59=0,G59,IF(G59=0,COS(D60*PI()/180)*I59,G59/COS(K59*PI()/180))))</f>
        <v>0.7694027670029655</v>
      </c>
      <c r="N59" s="468">
        <f>IF(C61="","",ROUND(L59,1))</f>
        <v>90</v>
      </c>
      <c r="O59" s="469">
        <f>IF(C61="","",ROUND(M59,1))</f>
        <v>0.8</v>
      </c>
      <c r="P59" s="353">
        <v>12</v>
      </c>
      <c r="Q59" s="465"/>
      <c r="R59" s="465"/>
      <c r="S59" s="64">
        <v>6.4</v>
      </c>
      <c r="T59" s="64" t="s">
        <v>23</v>
      </c>
      <c r="U59" s="358"/>
      <c r="V59" s="470">
        <f>(O59/P59+U59/60)/24</f>
        <v>2.7777777777777779E-3</v>
      </c>
      <c r="W59" s="482"/>
      <c r="X59" s="64" t="s">
        <v>88</v>
      </c>
      <c r="Y59" s="65" t="s">
        <v>89</v>
      </c>
      <c r="Z59" s="64" t="s">
        <v>32</v>
      </c>
      <c r="AA59" s="64">
        <v>3</v>
      </c>
      <c r="AB59" s="53">
        <v>3658</v>
      </c>
      <c r="AC59" s="69" t="s">
        <v>83</v>
      </c>
      <c r="AD59" s="515"/>
    </row>
    <row r="60" spans="1:30" ht="15" customHeight="1">
      <c r="A60" s="471">
        <f>IF(B60="","",A58+1)</f>
        <v>21</v>
      </c>
      <c r="B60" s="394" t="s">
        <v>129</v>
      </c>
      <c r="C60" s="54">
        <v>25.0915</v>
      </c>
      <c r="D60" s="472">
        <f>TRUNC(C60)+((C60-TRUNC(C60))/0.6)</f>
        <v>25.1525</v>
      </c>
      <c r="E60" s="472">
        <f>TRUNC(C61)+((C61-TRUNC(C61))/0.6)</f>
        <v>121.36916666666667</v>
      </c>
      <c r="F60" s="473">
        <f>ROUND(((LOG10(TAN(PI()/4+(D60/2*PI()/180)))*7915.7046)-(3437.7468*((0.0816968^2*SIN(D60*PI()/180))+(0.0816968^4/3*((SIN(D60*PI()/180))^3))+(0.0816968^6/5*((SIN(D60*PI()/180))^5))))),2)</f>
        <v>1550.34</v>
      </c>
      <c r="G60" s="464"/>
      <c r="H60" s="464">
        <f>IF(E60&lt;0,E60+360,E60)</f>
        <v>121.36916666666667</v>
      </c>
      <c r="I60" s="477"/>
      <c r="J60" s="478"/>
      <c r="K60" s="479"/>
      <c r="L60" s="472"/>
      <c r="M60" s="472"/>
      <c r="N60" s="468"/>
      <c r="O60" s="469"/>
      <c r="P60" s="353"/>
      <c r="Q60" s="465">
        <f>IF(O59="","",Q58+O59)</f>
        <v>1101.0000000000002</v>
      </c>
      <c r="R60" s="465">
        <f>IF(O59="","",R58-O59)</f>
        <v>1.7000000000004361</v>
      </c>
      <c r="S60" s="61"/>
      <c r="T60" s="61" t="s">
        <v>7</v>
      </c>
      <c r="U60" s="355"/>
      <c r="V60" s="470"/>
      <c r="W60" s="466">
        <f>IF(P59="","",W58+V59)</f>
        <v>43080.523819444446</v>
      </c>
      <c r="X60" s="61" t="s">
        <v>87</v>
      </c>
      <c r="Y60" s="61"/>
      <c r="Z60" s="61"/>
      <c r="AA60" s="61"/>
      <c r="AB60" s="52"/>
      <c r="AC60" s="68"/>
      <c r="AD60" s="506" t="s">
        <v>135</v>
      </c>
    </row>
    <row r="61" spans="1:30" ht="15" customHeight="1">
      <c r="A61" s="471"/>
      <c r="B61" s="395"/>
      <c r="C61" s="55">
        <v>121.22150000000001</v>
      </c>
      <c r="D61" s="472"/>
      <c r="E61" s="472"/>
      <c r="F61" s="473"/>
      <c r="G61" s="464">
        <f>ABS(D60-D62)*60</f>
        <v>0.45000000000001705</v>
      </c>
      <c r="H61" s="464"/>
      <c r="I61" s="477">
        <f>ABS(H60-H62)*60</f>
        <v>0.99999999999909051</v>
      </c>
      <c r="J61" s="478">
        <f>ABS(F60-F62)</f>
        <v>0.5</v>
      </c>
      <c r="K61" s="479">
        <f>IF(AND(D60&lt;D62,H60=H62),0,IF(AND(D60&gt;D62,H60=H62),180,IF(AND(D60=D62,H60&lt;H62),90,IF(AND(D60=D62,H60&gt;H62),270,(ATAN(I61/J61)*180/PI())))))</f>
        <v>63.43494882290117</v>
      </c>
      <c r="L61" s="472">
        <f>IF(OR(K61=0,K61=90,K61=180,K61=270),K61,IF(AND(D60&lt;D62,H60&lt;H62),K61,IF(AND(D60&lt;D62,H60&gt;H62),360-K61,IF(AND(D60&gt;D62,H60&lt;H62),180-K61,IF(AND(D60&gt;D62,H60&gt;H62),180+K61)))))</f>
        <v>63.43494882290117</v>
      </c>
      <c r="M61" s="472">
        <f>(IF(I61=0,G61,IF(G61=0,COS(D62*PI()/180)*I61,G61/COS(K61*PI()/180))))</f>
        <v>1.0062305898742114</v>
      </c>
      <c r="N61" s="468">
        <f>IF(C63="","",ROUND(L61,1))</f>
        <v>63.4</v>
      </c>
      <c r="O61" s="469">
        <f>IF(C63="","",ROUND(M61,1))</f>
        <v>1</v>
      </c>
      <c r="P61" s="353">
        <v>5</v>
      </c>
      <c r="Q61" s="465"/>
      <c r="R61" s="465"/>
      <c r="S61" s="64">
        <v>4.9000000000000004</v>
      </c>
      <c r="T61" s="64" t="s">
        <v>23</v>
      </c>
      <c r="U61" s="358"/>
      <c r="V61" s="470">
        <f>(O61/P61+U61/60)/24</f>
        <v>8.3333333333333332E-3</v>
      </c>
      <c r="W61" s="466"/>
      <c r="X61" s="64" t="s">
        <v>88</v>
      </c>
      <c r="Y61" s="65" t="s">
        <v>89</v>
      </c>
      <c r="Z61" s="64" t="s">
        <v>32</v>
      </c>
      <c r="AA61" s="64">
        <v>3</v>
      </c>
      <c r="AB61" s="53">
        <v>3658</v>
      </c>
      <c r="AC61" s="69" t="s">
        <v>83</v>
      </c>
      <c r="AD61" s="507"/>
    </row>
    <row r="62" spans="1:30" ht="15" customHeight="1">
      <c r="A62" s="471">
        <f>IF(B62="","",A60+1)</f>
        <v>22</v>
      </c>
      <c r="B62" s="348" t="s">
        <v>57</v>
      </c>
      <c r="C62" s="54">
        <v>25.096</v>
      </c>
      <c r="D62" s="472">
        <f>TRUNC(C62)+((C62-TRUNC(C62))/0.6)</f>
        <v>25.16</v>
      </c>
      <c r="E62" s="472">
        <f>TRUNC(C63)+((C63-TRUNC(C63))/0.6)</f>
        <v>121.38583333333332</v>
      </c>
      <c r="F62" s="473">
        <f>ROUND(((LOG10(TAN(PI()/4+(D62/2*PI()/180)))*7915.7046)-(3437.7468*((0.0816968^2*SIN(D62*PI()/180))+(0.0816968^4/3*((SIN(D62*PI()/180))^3))+(0.0816968^6/5*((SIN(D62*PI()/180))^5))))),2)</f>
        <v>1550.84</v>
      </c>
      <c r="G62" s="464"/>
      <c r="H62" s="464">
        <f>IF(E62&lt;0,E62+360,E62)</f>
        <v>121.38583333333332</v>
      </c>
      <c r="I62" s="477"/>
      <c r="J62" s="478"/>
      <c r="K62" s="479"/>
      <c r="L62" s="472"/>
      <c r="M62" s="472"/>
      <c r="N62" s="468"/>
      <c r="O62" s="469"/>
      <c r="P62" s="353"/>
      <c r="Q62" s="465">
        <f>IF(O61="","",Q60+O61)</f>
        <v>1102.0000000000002</v>
      </c>
      <c r="R62" s="465">
        <f>IF(O61="","",R60-O61)</f>
        <v>0.70000000000043605</v>
      </c>
      <c r="S62" s="61"/>
      <c r="T62" s="61" t="s">
        <v>7</v>
      </c>
      <c r="U62" s="355"/>
      <c r="V62" s="470"/>
      <c r="W62" s="466">
        <f>IF(P61="","",W60+V61)</f>
        <v>43080.532152777778</v>
      </c>
      <c r="X62" s="61" t="s">
        <v>87</v>
      </c>
      <c r="Y62" s="61"/>
      <c r="Z62" s="61"/>
      <c r="AA62" s="61"/>
      <c r="AB62" s="52"/>
      <c r="AC62" s="68"/>
      <c r="AD62" s="506" t="s">
        <v>136</v>
      </c>
    </row>
    <row r="63" spans="1:30" ht="15" customHeight="1">
      <c r="A63" s="471"/>
      <c r="B63" s="349"/>
      <c r="C63" s="55">
        <v>121.2315</v>
      </c>
      <c r="D63" s="472"/>
      <c r="E63" s="472"/>
      <c r="F63" s="473"/>
      <c r="G63" s="464">
        <f>ABS(D62-D64)*60</f>
        <v>6.2000000000139721E-2</v>
      </c>
      <c r="H63" s="464"/>
      <c r="I63" s="477">
        <f>ABS(H62-H64)*60</f>
        <v>0.62900000000126965</v>
      </c>
      <c r="J63" s="478">
        <f>ABS(F62-F64)</f>
        <v>6.0000000000172804E-2</v>
      </c>
      <c r="K63" s="479">
        <f>IF(AND(D62&lt;D64,H62=H64),0,IF(AND(D62&gt;D64,H62=H64),180,IF(AND(D62=D64,H62&lt;H64),90,IF(AND(D62=D64,H62&gt;H64),270,(ATAN(I63/J63)*180/PI())))))</f>
        <v>84.551070808050056</v>
      </c>
      <c r="L63" s="472">
        <f>IF(OR(K63=0,K63=90,K63=180,K63=270),K63,IF(AND(D62&lt;D64,H62&lt;H64),K63,IF(AND(D62&lt;D64,H62&gt;H64),360-K63,IF(AND(D62&gt;D64,H62&lt;H64),180-K63,IF(AND(D62&gt;D64,H62&gt;H64),180+K63)))))</f>
        <v>84.551070808050056</v>
      </c>
      <c r="M63" s="472">
        <f>(IF(I63=0,G63,IF(G63=0,COS(D64*PI()/180)*I63,G63/COS(K63*PI()/180))))</f>
        <v>0.65291704509759163</v>
      </c>
      <c r="N63" s="468">
        <f>IF(C65="","",ROUND(L63,1))</f>
        <v>84.6</v>
      </c>
      <c r="O63" s="469">
        <f>IF(C65="","",ROUND(M63,1))</f>
        <v>0.7</v>
      </c>
      <c r="P63" s="353">
        <v>2</v>
      </c>
      <c r="Q63" s="465"/>
      <c r="R63" s="465"/>
      <c r="S63" s="64">
        <v>6</v>
      </c>
      <c r="T63" s="64" t="s">
        <v>23</v>
      </c>
      <c r="U63" s="358"/>
      <c r="V63" s="470">
        <f>(O63/P63+U63/60)/24</f>
        <v>1.4583333333333332E-2</v>
      </c>
      <c r="W63" s="466"/>
      <c r="X63" s="64" t="s">
        <v>88</v>
      </c>
      <c r="Y63" s="65" t="s">
        <v>89</v>
      </c>
      <c r="Z63" s="64" t="s">
        <v>32</v>
      </c>
      <c r="AA63" s="64">
        <v>3</v>
      </c>
      <c r="AB63" s="53">
        <v>3658</v>
      </c>
      <c r="AC63" s="69" t="s">
        <v>83</v>
      </c>
      <c r="AD63" s="507"/>
    </row>
    <row r="64" spans="1:30" ht="15" customHeight="1">
      <c r="A64" s="471">
        <f>IF(B64="","",A62+1)</f>
        <v>23</v>
      </c>
      <c r="B64" s="308" t="s">
        <v>130</v>
      </c>
      <c r="C64" s="71">
        <v>25.096620000000001</v>
      </c>
      <c r="D64" s="472">
        <f>TRUNC(C64)+((C64-TRUNC(C64))/0.6)</f>
        <v>25.161033333333336</v>
      </c>
      <c r="E64" s="472">
        <f>TRUNC(C65)+((C65-TRUNC(C65))/0.6)</f>
        <v>121.39631666666668</v>
      </c>
      <c r="F64" s="473">
        <f>ROUND(((LOG10(TAN(PI()/4+(D64/2*PI()/180)))*7915.7046)-(3437.7468*((0.0816968^2*SIN(D64*PI()/180))+(0.0816968^4/3*((SIN(D64*PI()/180))^3))+(0.0816968^6/5*((SIN(D64*PI()/180))^5))))),2)</f>
        <v>1550.9</v>
      </c>
      <c r="G64" s="464"/>
      <c r="H64" s="464">
        <f>IF(E64&lt;0,E64+360,E64)</f>
        <v>121.39631666666668</v>
      </c>
      <c r="I64" s="477"/>
      <c r="J64" s="478"/>
      <c r="K64" s="479"/>
      <c r="L64" s="472"/>
      <c r="M64" s="472"/>
      <c r="N64" s="468"/>
      <c r="O64" s="469"/>
      <c r="P64" s="353"/>
      <c r="Q64" s="501">
        <f>IF(O63="","",Q62+O63)</f>
        <v>1102.7000000000003</v>
      </c>
      <c r="R64" s="501">
        <f>IF(O63="","",R62-O63)</f>
        <v>4.3609560407276149E-13</v>
      </c>
      <c r="S64" s="61"/>
      <c r="T64" s="61" t="s">
        <v>7</v>
      </c>
      <c r="U64" s="355"/>
      <c r="V64" s="470"/>
      <c r="W64" s="466">
        <f>IF(P63="","",W62+V63)</f>
        <v>43080.546736111108</v>
      </c>
      <c r="X64" s="61" t="s">
        <v>87</v>
      </c>
      <c r="Y64" s="61"/>
      <c r="Z64" s="61"/>
      <c r="AA64" s="61"/>
      <c r="AB64" s="52"/>
      <c r="AC64" s="68"/>
      <c r="AD64" s="480" t="s">
        <v>90</v>
      </c>
    </row>
    <row r="65" spans="1:30" ht="15" customHeight="1">
      <c r="A65" s="471"/>
      <c r="B65" s="309"/>
      <c r="C65" s="72">
        <v>121.23779</v>
      </c>
      <c r="D65" s="472"/>
      <c r="E65" s="472"/>
      <c r="F65" s="473"/>
      <c r="G65" s="464">
        <f>ABS(D64-D66)*60</f>
        <v>1509.6620000000003</v>
      </c>
      <c r="H65" s="464"/>
      <c r="I65" s="477">
        <f>ABS(H64-H66)*60</f>
        <v>7283.7790000000005</v>
      </c>
      <c r="J65" s="478">
        <f>ABS(F64-F66)</f>
        <v>1550.9</v>
      </c>
      <c r="K65" s="479">
        <f>IF(AND(D64&lt;D66,H64=H66),0,IF(AND(D64&gt;D66,H64=H66),180,IF(AND(D64=D66,H64&lt;H66),90,IF(AND(D64=D66,H64&gt;H66),270,(ATAN(I65/J65)*180/PI())))))</f>
        <v>77.979793871625446</v>
      </c>
      <c r="L65" s="472">
        <f>IF(OR(K65=0,K65=90,K65=180,K65=270),K65,IF(AND(D64&lt;D66,H64&lt;H66),K65,IF(AND(D64&lt;D66,H64&gt;H66),360-K65,IF(AND(D64&gt;D66,H64&lt;H66),180-K65,IF(AND(D64&gt;D66,H64&gt;H66),180+K65)))))</f>
        <v>257.97979387162547</v>
      </c>
      <c r="M65" s="472">
        <f>(IF(I65=0,G65,IF(G65=0,COS(D66*PI()/180)*I65,G65/COS(K65*PI()/180))))</f>
        <v>7249.0463576043094</v>
      </c>
      <c r="N65" s="468" t="str">
        <f>IF(C67="","",ROUND(L65,1))</f>
        <v/>
      </c>
      <c r="O65" s="469" t="str">
        <f>IF(C67="","",ROUND(M65,1))</f>
        <v/>
      </c>
      <c r="P65" s="353"/>
      <c r="Q65" s="501"/>
      <c r="R65" s="501"/>
      <c r="S65" s="64">
        <v>1.7</v>
      </c>
      <c r="T65" s="64" t="s">
        <v>23</v>
      </c>
      <c r="U65" s="358"/>
      <c r="V65" s="470" t="e">
        <f>(O65/P65+U65/60)/24</f>
        <v>#VALUE!</v>
      </c>
      <c r="W65" s="466"/>
      <c r="X65" s="64" t="s">
        <v>88</v>
      </c>
      <c r="Y65" s="65" t="s">
        <v>89</v>
      </c>
      <c r="Z65" s="64" t="s">
        <v>32</v>
      </c>
      <c r="AA65" s="64">
        <v>3</v>
      </c>
      <c r="AB65" s="53">
        <v>3658</v>
      </c>
      <c r="AC65" s="69" t="s">
        <v>83</v>
      </c>
      <c r="AD65" s="480"/>
    </row>
    <row r="66" spans="1:30" ht="15" customHeight="1">
      <c r="A66" s="471" t="str">
        <f>IF(B66="","",A64+1)</f>
        <v/>
      </c>
      <c r="B66" s="392"/>
      <c r="C66" s="54"/>
      <c r="D66" s="472">
        <f>TRUNC(C66)+((C66-TRUNC(C66))/0.6)</f>
        <v>0</v>
      </c>
      <c r="E66" s="472">
        <f>TRUNC(C67)+((C67-TRUNC(C67))/0.6)</f>
        <v>0</v>
      </c>
      <c r="F66" s="473">
        <f>ROUND(((LOG10(TAN(PI()/4+(D66/2*PI()/180)))*7915.7046)-(3437.7468*((0.0816968^2*SIN(D66*PI()/180))+(0.0816968^4/3*((SIN(D66*PI()/180))^3))+(0.0816968^6/5*((SIN(D66*PI()/180))^5))))),2)</f>
        <v>0</v>
      </c>
      <c r="G66" s="464"/>
      <c r="H66" s="464">
        <f>IF(E66&lt;0,E66+360,E66)</f>
        <v>0</v>
      </c>
      <c r="I66" s="477"/>
      <c r="J66" s="478"/>
      <c r="K66" s="479"/>
      <c r="L66" s="472"/>
      <c r="M66" s="472"/>
      <c r="N66" s="468"/>
      <c r="O66" s="469"/>
      <c r="P66" s="353"/>
      <c r="Q66" s="465" t="str">
        <f>IF(O65="","",Q64+O65)</f>
        <v/>
      </c>
      <c r="R66" s="465" t="str">
        <f>IF(O65="","",R64-O65)</f>
        <v/>
      </c>
      <c r="S66" s="61"/>
      <c r="T66" s="61" t="s">
        <v>7</v>
      </c>
      <c r="U66" s="355"/>
      <c r="V66" s="470"/>
      <c r="W66" s="466" t="str">
        <f>IF(P65="","",W64+V65)</f>
        <v/>
      </c>
      <c r="X66" s="61"/>
      <c r="Y66" s="61"/>
      <c r="Z66" s="61"/>
      <c r="AA66" s="61"/>
      <c r="AB66" s="52"/>
      <c r="AC66" s="68"/>
      <c r="AD66" s="503"/>
    </row>
    <row r="67" spans="1:30" ht="15" customHeight="1">
      <c r="A67" s="471"/>
      <c r="B67" s="392"/>
      <c r="C67" s="55"/>
      <c r="D67" s="472"/>
      <c r="E67" s="472"/>
      <c r="F67" s="473"/>
      <c r="G67" s="464">
        <f>ABS(D66-D68)*60</f>
        <v>0</v>
      </c>
      <c r="H67" s="464"/>
      <c r="I67" s="477">
        <f>ABS(H66-H68)*60</f>
        <v>0</v>
      </c>
      <c r="J67" s="478">
        <f>ABS(F66-F68)</f>
        <v>0</v>
      </c>
      <c r="K67" s="479" t="e">
        <f>IF(AND(D66&lt;D68,H66=H68),0,IF(AND(D66&gt;D68,H66=H68),180,IF(AND(D66=D68,H66&lt;H68),90,IF(AND(D66=D68,H66&gt;H68),270,(ATAN(I67/J67)*180/PI())))))</f>
        <v>#DIV/0!</v>
      </c>
      <c r="L67" s="472" t="e">
        <f>IF(OR(K67=0,K67=90,K67=180,K67=270),K67,IF(AND(D66&lt;D68,H66&lt;H68),K67,IF(AND(D66&lt;D68,H66&gt;H68),360-K67,IF(AND(D66&gt;D68,H66&lt;H68),180-K67,IF(AND(D66&gt;D68,H66&gt;H68),180+K67)))))</f>
        <v>#DIV/0!</v>
      </c>
      <c r="M67" s="472">
        <f>(IF(I67=0,G67,IF(G67=0,COS(D68*PI()/180)*I67,G67/COS(K67*PI()/180))))</f>
        <v>0</v>
      </c>
      <c r="N67" s="468" t="str">
        <f>IF(C69="","",ROUND(L67,1))</f>
        <v/>
      </c>
      <c r="O67" s="469" t="str">
        <f>IF(C69="","",ROUND(M67,1))</f>
        <v/>
      </c>
      <c r="P67" s="353"/>
      <c r="Q67" s="465"/>
      <c r="R67" s="465"/>
      <c r="S67" s="64"/>
      <c r="T67" s="64" t="s">
        <v>24</v>
      </c>
      <c r="U67" s="358"/>
      <c r="V67" s="470" t="e">
        <f>(O67/P67+U67/60)/24</f>
        <v>#VALUE!</v>
      </c>
      <c r="W67" s="466"/>
      <c r="X67" s="64"/>
      <c r="Y67" s="65"/>
      <c r="Z67" s="64"/>
      <c r="AA67" s="64"/>
      <c r="AB67" s="53"/>
      <c r="AC67" s="69"/>
      <c r="AD67" s="503"/>
    </row>
    <row r="68" spans="1:30" ht="15" customHeight="1">
      <c r="A68" s="502" t="str">
        <f>IF(B68="","",A66+1)</f>
        <v/>
      </c>
      <c r="B68" s="393"/>
      <c r="C68" s="71"/>
      <c r="D68" s="472">
        <f>TRUNC(C68)+((C68-TRUNC(C68))/0.6)</f>
        <v>0</v>
      </c>
      <c r="E68" s="472">
        <f>TRUNC(C69)+((C69-TRUNC(C69))/0.6)</f>
        <v>0</v>
      </c>
      <c r="F68" s="473">
        <f>ROUND(((LOG10(TAN(PI()/4+(D68/2*PI()/180)))*7915.7046)-(3437.7468*((0.0816968^2*SIN(D68*PI()/180))+(0.0816968^4/3*((SIN(D68*PI()/180))^3))+(0.0816968^6/5*((SIN(D68*PI()/180))^5))))),2)</f>
        <v>0</v>
      </c>
      <c r="G68" s="464"/>
      <c r="H68" s="464">
        <f>IF(E68&lt;0,E68+360,E68)</f>
        <v>0</v>
      </c>
      <c r="I68" s="477"/>
      <c r="J68" s="478"/>
      <c r="K68" s="479"/>
      <c r="L68" s="472"/>
      <c r="M68" s="472"/>
      <c r="N68" s="468"/>
      <c r="O68" s="469"/>
      <c r="P68" s="353"/>
      <c r="Q68" s="501" t="str">
        <f>IF(O67="","",Q66+O67)</f>
        <v/>
      </c>
      <c r="R68" s="501" t="str">
        <f>IF(O67="","",R66-O67)</f>
        <v/>
      </c>
      <c r="S68" s="61"/>
      <c r="T68" s="61" t="s">
        <v>7</v>
      </c>
      <c r="U68" s="355"/>
      <c r="V68" s="470"/>
      <c r="W68" s="466" t="str">
        <f>IF(P67="","",W66+V67)</f>
        <v/>
      </c>
      <c r="X68" s="61"/>
      <c r="Y68" s="61"/>
      <c r="Z68" s="61"/>
      <c r="AA68" s="61"/>
      <c r="AB68" s="52"/>
      <c r="AC68" s="68"/>
      <c r="AD68" s="480"/>
    </row>
    <row r="69" spans="1:30" ht="15" customHeight="1">
      <c r="A69" s="502"/>
      <c r="B69" s="393"/>
      <c r="C69" s="72"/>
      <c r="D69" s="472"/>
      <c r="E69" s="472"/>
      <c r="F69" s="473"/>
      <c r="G69" s="464">
        <f>ABS(D68-D70)*60</f>
        <v>0</v>
      </c>
      <c r="H69" s="464"/>
      <c r="I69" s="477">
        <f>ABS(H68-H70)*60</f>
        <v>0</v>
      </c>
      <c r="J69" s="478">
        <f>ABS(F68-F70)</f>
        <v>0</v>
      </c>
      <c r="K69" s="479" t="e">
        <f>IF(AND(D68&lt;D70,H68=H70),0,IF(AND(D68&gt;D70,H68=H70),180,IF(AND(D68=D70,H68&lt;H70),90,IF(AND(D68=D70,H68&gt;H70),270,(ATAN(I69/J69)*180/PI())))))</f>
        <v>#DIV/0!</v>
      </c>
      <c r="L69" s="472" t="e">
        <f>IF(OR(K69=0,K69=90,K69=180,K69=270),K69,IF(AND(D68&lt;D70,H68&lt;H70),K69,IF(AND(D68&lt;D70,H68&gt;H70),360-K69,IF(AND(D68&gt;D70,H68&lt;H70),180-K69,IF(AND(D68&gt;D70,H68&gt;H70),180+K69)))))</f>
        <v>#DIV/0!</v>
      </c>
      <c r="M69" s="472">
        <f>(IF(I69=0,G69,IF(G69=0,COS(D70*PI()/180)*I69,G69/COS(K69*PI()/180))))</f>
        <v>0</v>
      </c>
      <c r="N69" s="468" t="str">
        <f>IF(C71="","",ROUND(L69,1))</f>
        <v/>
      </c>
      <c r="O69" s="469" t="str">
        <f>IF(C71="","",ROUND(M69,1))</f>
        <v/>
      </c>
      <c r="P69" s="353"/>
      <c r="Q69" s="501"/>
      <c r="R69" s="501"/>
      <c r="S69" s="64"/>
      <c r="T69" s="64" t="s">
        <v>23</v>
      </c>
      <c r="U69" s="358"/>
      <c r="V69" s="470" t="e">
        <f>(O69/P69+U69/60)/24</f>
        <v>#VALUE!</v>
      </c>
      <c r="W69" s="466"/>
      <c r="X69" s="64"/>
      <c r="Y69" s="65"/>
      <c r="Z69" s="64"/>
      <c r="AA69" s="64"/>
      <c r="AB69" s="53"/>
      <c r="AC69" s="69"/>
      <c r="AD69" s="480"/>
    </row>
    <row r="70" spans="1:30" ht="15" customHeight="1">
      <c r="A70" s="471" t="str">
        <f>IF(B70="","",A68+1)</f>
        <v/>
      </c>
      <c r="B70" s="392"/>
      <c r="C70" s="54"/>
      <c r="D70" s="472">
        <f>TRUNC(C70)+((C70-TRUNC(C70))/0.6)</f>
        <v>0</v>
      </c>
      <c r="E70" s="472">
        <f>TRUNC(C71)+((C71-TRUNC(C71))/0.6)</f>
        <v>0</v>
      </c>
      <c r="F70" s="473">
        <f>ROUND(((LOG10(TAN(PI()/4+(D70/2*PI()/180)))*7915.7046)-(3437.7468*((0.0816968^2*SIN(D70*PI()/180))+(0.0816968^4/3*((SIN(D70*PI()/180))^3))+(0.0816968^6/5*((SIN(D70*PI()/180))^5))))),2)</f>
        <v>0</v>
      </c>
      <c r="G70" s="464"/>
      <c r="H70" s="464">
        <f>IF(E70&lt;0,E70+360,E70)</f>
        <v>0</v>
      </c>
      <c r="I70" s="477"/>
      <c r="J70" s="478"/>
      <c r="K70" s="479"/>
      <c r="L70" s="472"/>
      <c r="M70" s="472"/>
      <c r="N70" s="468"/>
      <c r="O70" s="469"/>
      <c r="P70" s="353"/>
      <c r="Q70" s="465" t="str">
        <f>IF(O69="","",Q68+O69)</f>
        <v/>
      </c>
      <c r="R70" s="465" t="str">
        <f>IF(O69="","",R68-O69)</f>
        <v/>
      </c>
      <c r="S70" s="61"/>
      <c r="T70" s="61" t="s">
        <v>25</v>
      </c>
      <c r="U70" s="355"/>
      <c r="V70" s="470"/>
      <c r="W70" s="466" t="str">
        <f>IF(P69="","",W68+V69)</f>
        <v/>
      </c>
      <c r="X70" s="61"/>
      <c r="Y70" s="61"/>
      <c r="Z70" s="61"/>
      <c r="AA70" s="61"/>
      <c r="AB70" s="52"/>
      <c r="AC70" s="68"/>
      <c r="AD70" s="480"/>
    </row>
    <row r="71" spans="1:30" ht="15" customHeight="1">
      <c r="A71" s="471"/>
      <c r="B71" s="392"/>
      <c r="C71" s="55"/>
      <c r="D71" s="472"/>
      <c r="E71" s="472"/>
      <c r="F71" s="473"/>
      <c r="G71" s="464">
        <f>ABS(D70-D72)*60</f>
        <v>0</v>
      </c>
      <c r="H71" s="464"/>
      <c r="I71" s="477">
        <f>ABS(H70-H72)*60</f>
        <v>0</v>
      </c>
      <c r="J71" s="478">
        <f>ABS(F70-F72)</f>
        <v>0</v>
      </c>
      <c r="K71" s="479" t="e">
        <f>IF(AND(D70&lt;D72,H70=H72),0,IF(AND(D70&gt;D72,H70=H72),180,IF(AND(D70=D72,H70&lt;H72),90,IF(AND(D70=D72,H70&gt;H72),270,(ATAN(I71/J71)*180/PI())))))</f>
        <v>#DIV/0!</v>
      </c>
      <c r="L71" s="472" t="e">
        <f>IF(OR(K71=0,K71=90,K71=180,K71=270),K71,IF(AND(D70&lt;D72,H70&lt;H72),K71,IF(AND(D70&lt;D72,H70&gt;H72),360-K71,IF(AND(D70&gt;D72,H70&lt;H72),180-K71,IF(AND(D70&gt;D72,H70&gt;H72),180+K71)))))</f>
        <v>#DIV/0!</v>
      </c>
      <c r="M71" s="472">
        <f>(IF(I71=0,G71,IF(G71=0,COS(D72*PI()/180)*I71,G71/COS(K71*PI()/180))))</f>
        <v>0</v>
      </c>
      <c r="N71" s="468" t="str">
        <f>IF(C73="","",ROUND(L71,1))</f>
        <v/>
      </c>
      <c r="O71" s="469" t="str">
        <f>IF(C73="","",ROUND(M71,1))</f>
        <v/>
      </c>
      <c r="P71" s="353"/>
      <c r="Q71" s="465"/>
      <c r="R71" s="465"/>
      <c r="S71" s="64"/>
      <c r="T71" s="64" t="s">
        <v>24</v>
      </c>
      <c r="U71" s="358"/>
      <c r="V71" s="470" t="e">
        <f>(O71/P71+U71/60)/24</f>
        <v>#VALUE!</v>
      </c>
      <c r="W71" s="466"/>
      <c r="X71" s="64"/>
      <c r="Y71" s="65"/>
      <c r="Z71" s="64"/>
      <c r="AA71" s="64"/>
      <c r="AB71" s="53"/>
      <c r="AC71" s="69"/>
      <c r="AD71" s="480"/>
    </row>
    <row r="72" spans="1:30" ht="15" customHeight="1">
      <c r="A72" s="471" t="str">
        <f>IF(B72="","",A70+1)</f>
        <v/>
      </c>
      <c r="B72" s="392"/>
      <c r="C72" s="54"/>
      <c r="D72" s="472">
        <f>TRUNC(C72)+((C72-TRUNC(C72))/0.6)</f>
        <v>0</v>
      </c>
      <c r="E72" s="472">
        <f>TRUNC(C73)+((C73-TRUNC(C73))/0.6)</f>
        <v>0</v>
      </c>
      <c r="F72" s="473">
        <f>ROUND(((LOG10(TAN(PI()/4+(D72/2*PI()/180)))*7915.7046)-(3437.7468*((0.0816968^2*SIN(D72*PI()/180))+(0.0816968^4/3*((SIN(D72*PI()/180))^3))+(0.0816968^6/5*((SIN(D72*PI()/180))^5))))),2)</f>
        <v>0</v>
      </c>
      <c r="G72" s="464"/>
      <c r="H72" s="464">
        <f>IF(E72&lt;0,E72+360,E72)</f>
        <v>0</v>
      </c>
      <c r="I72" s="477"/>
      <c r="J72" s="478"/>
      <c r="K72" s="479"/>
      <c r="L72" s="472"/>
      <c r="M72" s="472"/>
      <c r="N72" s="468"/>
      <c r="O72" s="469"/>
      <c r="P72" s="353"/>
      <c r="Q72" s="465" t="str">
        <f>IF(O71="","",Q70+O71)</f>
        <v/>
      </c>
      <c r="R72" s="465" t="str">
        <f>IF(O71="","",R70-O71)</f>
        <v/>
      </c>
      <c r="S72" s="61"/>
      <c r="T72" s="61" t="s">
        <v>25</v>
      </c>
      <c r="U72" s="355"/>
      <c r="V72" s="470"/>
      <c r="W72" s="466" t="str">
        <f>IF(P71="","",W70+V71)</f>
        <v/>
      </c>
      <c r="X72" s="61"/>
      <c r="Y72" s="61"/>
      <c r="Z72" s="61"/>
      <c r="AA72" s="61"/>
      <c r="AB72" s="52"/>
      <c r="AC72" s="68"/>
      <c r="AD72" s="480"/>
    </row>
    <row r="73" spans="1:30" ht="15" customHeight="1">
      <c r="A73" s="471"/>
      <c r="B73" s="392"/>
      <c r="C73" s="55"/>
      <c r="D73" s="472"/>
      <c r="E73" s="472"/>
      <c r="F73" s="473"/>
      <c r="G73" s="464">
        <f>ABS(D72-D74)*60</f>
        <v>0</v>
      </c>
      <c r="H73" s="464"/>
      <c r="I73" s="477">
        <f>ABS(H72-H74)*60</f>
        <v>0</v>
      </c>
      <c r="J73" s="478">
        <f>ABS(F72-F74)</f>
        <v>0</v>
      </c>
      <c r="K73" s="479" t="e">
        <f>IF(AND(D72&lt;D74,H72=H74),0,IF(AND(D72&gt;D74,H72=H74),180,IF(AND(D72=D74,H72&lt;H74),90,IF(AND(D72=D74,H72&gt;H74),270,(ATAN(I73/J73)*180/PI())))))</f>
        <v>#DIV/0!</v>
      </c>
      <c r="L73" s="472" t="e">
        <f>IF(OR(K73=0,K73=90,K73=180,K73=270),K73,IF(AND(D72&lt;D74,H72&lt;H74),K73,IF(AND(D72&lt;D74,H72&gt;H74),360-K73,IF(AND(D72&gt;D74,H72&lt;H74),180-K73,IF(AND(D72&gt;D74,H72&gt;H74),180+K73)))))</f>
        <v>#DIV/0!</v>
      </c>
      <c r="M73" s="472">
        <f>(IF(I73=0,G73,IF(G73=0,COS(D74*PI()/180)*I73,G73/COS(K73*PI()/180))))</f>
        <v>0</v>
      </c>
      <c r="N73" s="468" t="str">
        <f>IF(C75="","",ROUND(L73,1))</f>
        <v/>
      </c>
      <c r="O73" s="469" t="str">
        <f>IF(C75="","",ROUND(M73,1))</f>
        <v/>
      </c>
      <c r="P73" s="353"/>
      <c r="Q73" s="465"/>
      <c r="R73" s="465"/>
      <c r="S73" s="64"/>
      <c r="T73" s="64" t="s">
        <v>24</v>
      </c>
      <c r="U73" s="358"/>
      <c r="V73" s="470" t="e">
        <f>(O73/P73+U73/60)/24</f>
        <v>#VALUE!</v>
      </c>
      <c r="W73" s="466"/>
      <c r="X73" s="64"/>
      <c r="Y73" s="65"/>
      <c r="Z73" s="64"/>
      <c r="AA73" s="64"/>
      <c r="AB73" s="53"/>
      <c r="AC73" s="69"/>
      <c r="AD73" s="480"/>
    </row>
    <row r="74" spans="1:30" ht="15" customHeight="1">
      <c r="A74" s="471" t="str">
        <f>IF(B74="","",A72+1)</f>
        <v/>
      </c>
      <c r="B74" s="392"/>
      <c r="C74" s="54"/>
      <c r="D74" s="472">
        <f>TRUNC(C74)+((C74-TRUNC(C74))/0.6)</f>
        <v>0</v>
      </c>
      <c r="E74" s="472">
        <f>TRUNC(C75)+((C75-TRUNC(C75))/0.6)</f>
        <v>0</v>
      </c>
      <c r="F74" s="473">
        <f>ROUND(((LOG10(TAN(PI()/4+(D74/2*PI()/180)))*7915.7046)-(3437.7468*((0.0816968^2*SIN(D74*PI()/180))+(0.0816968^4/3*((SIN(D74*PI()/180))^3))+(0.0816968^6/5*((SIN(D74*PI()/180))^5))))),2)</f>
        <v>0</v>
      </c>
      <c r="G74" s="464"/>
      <c r="H74" s="464">
        <f>IF(E74&lt;0,E74+360,E74)</f>
        <v>0</v>
      </c>
      <c r="I74" s="477"/>
      <c r="J74" s="478"/>
      <c r="K74" s="479"/>
      <c r="L74" s="472"/>
      <c r="M74" s="472"/>
      <c r="N74" s="468"/>
      <c r="O74" s="469"/>
      <c r="P74" s="353"/>
      <c r="Q74" s="465" t="str">
        <f>IF(O73="","",Q72+O73)</f>
        <v/>
      </c>
      <c r="R74" s="465" t="str">
        <f>IF(O73="","",R72-O73)</f>
        <v/>
      </c>
      <c r="S74" s="61"/>
      <c r="T74" s="61" t="s">
        <v>30</v>
      </c>
      <c r="U74" s="355"/>
      <c r="V74" s="470"/>
      <c r="W74" s="466" t="str">
        <f>IF(P73="","",W72+V73)</f>
        <v/>
      </c>
      <c r="X74" s="61"/>
      <c r="Y74" s="61"/>
      <c r="Z74" s="61"/>
      <c r="AA74" s="61"/>
      <c r="AB74" s="52"/>
      <c r="AC74" s="68"/>
      <c r="AD74" s="480"/>
    </row>
    <row r="75" spans="1:30" ht="15" customHeight="1">
      <c r="A75" s="471"/>
      <c r="B75" s="392"/>
      <c r="C75" s="55"/>
      <c r="D75" s="472"/>
      <c r="E75" s="472"/>
      <c r="F75" s="473"/>
      <c r="G75" s="464">
        <f>ABS(D74-D76)*60</f>
        <v>0</v>
      </c>
      <c r="H75" s="464"/>
      <c r="I75" s="477">
        <f>ABS(H74-H76)*60</f>
        <v>0</v>
      </c>
      <c r="J75" s="478">
        <f>ABS(F74-F76)</f>
        <v>0</v>
      </c>
      <c r="K75" s="479" t="e">
        <f>IF(AND(D74&lt;D76,H74=H76),0,IF(AND(D74&gt;D76,H74=H76),180,IF(AND(D74=D76,H74&lt;H76),90,IF(AND(D74=D76,H74&gt;H76),270,(ATAN(I75/J75)*180/PI())))))</f>
        <v>#DIV/0!</v>
      </c>
      <c r="L75" s="472" t="e">
        <f>IF(OR(K75=0,K75=90,K75=180,K75=270),K75,IF(AND(D74&lt;D76,H74&lt;H76),K75,IF(AND(D74&lt;D76,H74&gt;H76),360-K75,IF(AND(D74&gt;D76,H74&lt;H76),180-K75,IF(AND(D74&gt;D76,H74&gt;H76),180+K75)))))</f>
        <v>#DIV/0!</v>
      </c>
      <c r="M75" s="472">
        <f>(IF(I75=0,G75,IF(G75=0,COS(D76*PI()/180)*I75,G75/COS(K75*PI()/180))))</f>
        <v>0</v>
      </c>
      <c r="N75" s="468" t="str">
        <f>IF(C77="","",ROUND(L75,1))</f>
        <v/>
      </c>
      <c r="O75" s="469" t="str">
        <f>IF(C77="","",ROUND(M75,1))</f>
        <v/>
      </c>
      <c r="P75" s="353"/>
      <c r="Q75" s="465"/>
      <c r="R75" s="465"/>
      <c r="S75" s="64"/>
      <c r="T75" s="64" t="s">
        <v>24</v>
      </c>
      <c r="U75" s="358"/>
      <c r="V75" s="470" t="e">
        <f>(O75/P75+U75/60)/24</f>
        <v>#VALUE!</v>
      </c>
      <c r="W75" s="466"/>
      <c r="X75" s="64"/>
      <c r="Y75" s="65"/>
      <c r="Z75" s="64"/>
      <c r="AA75" s="64"/>
      <c r="AB75" s="53"/>
      <c r="AC75" s="69"/>
      <c r="AD75" s="480"/>
    </row>
    <row r="76" spans="1:30" ht="15" customHeight="1">
      <c r="A76" s="471" t="str">
        <f>IF(B76="","",A74+1)</f>
        <v/>
      </c>
      <c r="B76" s="392"/>
      <c r="C76" s="54"/>
      <c r="D76" s="472">
        <f>TRUNC(C76)+((C76-TRUNC(C76))/0.6)</f>
        <v>0</v>
      </c>
      <c r="E76" s="472">
        <f>TRUNC(C77)+((C77-TRUNC(C77))/0.6)</f>
        <v>0</v>
      </c>
      <c r="F76" s="473">
        <f>ROUND(((LOG10(TAN(PI()/4+(D76/2*PI()/180)))*7915.7046)-(3437.7468*((0.0816968^2*SIN(D76*PI()/180))+(0.0816968^4/3*((SIN(D76*PI()/180))^3))+(0.0816968^6/5*((SIN(D76*PI()/180))^5))))),2)</f>
        <v>0</v>
      </c>
      <c r="G76" s="464"/>
      <c r="H76" s="464">
        <f>IF(E76&lt;0,E76+360,E76)</f>
        <v>0</v>
      </c>
      <c r="I76" s="477"/>
      <c r="J76" s="478"/>
      <c r="K76" s="479"/>
      <c r="L76" s="472"/>
      <c r="M76" s="472"/>
      <c r="N76" s="468"/>
      <c r="O76" s="469"/>
      <c r="P76" s="353"/>
      <c r="Q76" s="465" t="str">
        <f>IF(O75="","",Q74+O75)</f>
        <v/>
      </c>
      <c r="R76" s="465" t="str">
        <f>IF(O75="","",R74-O75)</f>
        <v/>
      </c>
      <c r="S76" s="61"/>
      <c r="T76" s="61" t="s">
        <v>25</v>
      </c>
      <c r="U76" s="355"/>
      <c r="V76" s="470"/>
      <c r="W76" s="466" t="str">
        <f>IF(P75="","",W74+V75)</f>
        <v/>
      </c>
      <c r="X76" s="61"/>
      <c r="Y76" s="61"/>
      <c r="Z76" s="61"/>
      <c r="AA76" s="61"/>
      <c r="AB76" s="52"/>
      <c r="AC76" s="68"/>
      <c r="AD76" s="480"/>
    </row>
    <row r="77" spans="1:30" ht="15" customHeight="1">
      <c r="A77" s="471"/>
      <c r="B77" s="392"/>
      <c r="C77" s="55"/>
      <c r="D77" s="472"/>
      <c r="E77" s="472"/>
      <c r="F77" s="473"/>
      <c r="G77" s="464">
        <f>ABS(D76-D78)*60</f>
        <v>0</v>
      </c>
      <c r="H77" s="464"/>
      <c r="I77" s="477">
        <f>ABS(H76-H78)*60</f>
        <v>0</v>
      </c>
      <c r="J77" s="478">
        <f>ABS(F76-F78)</f>
        <v>0</v>
      </c>
      <c r="K77" s="479" t="e">
        <f>IF(AND(D76&lt;D78,H76=H78),0,IF(AND(D76&gt;D78,H76=H78),180,IF(AND(D76=D78,H76&lt;H78),90,IF(AND(D76=D78,H76&gt;H78),270,(ATAN(I77/J77)*180/PI())))))</f>
        <v>#DIV/0!</v>
      </c>
      <c r="L77" s="472" t="e">
        <f>IF(OR(K77=0,K77=90,K77=180,K77=270),K77,IF(AND(D76&lt;D78,H76&lt;H78),K77,IF(AND(D76&lt;D78,H76&gt;H78),360-K77,IF(AND(D76&gt;D78,H76&lt;H78),180-K77,IF(AND(D76&gt;D78,H76&gt;H78),180+K77)))))</f>
        <v>#DIV/0!</v>
      </c>
      <c r="M77" s="472">
        <f>(IF(I77=0,G77,IF(G77=0,COS(D78*PI()/180)*I77,G77/COS(K77*PI()/180))))</f>
        <v>0</v>
      </c>
      <c r="N77" s="468" t="str">
        <f>IF(C79="","",ROUND(L77,1))</f>
        <v/>
      </c>
      <c r="O77" s="469" t="str">
        <f>IF(C79="","",ROUND(M77,1))</f>
        <v/>
      </c>
      <c r="P77" s="353"/>
      <c r="Q77" s="465"/>
      <c r="R77" s="465"/>
      <c r="S77" s="64"/>
      <c r="T77" s="64" t="s">
        <v>23</v>
      </c>
      <c r="U77" s="358"/>
      <c r="V77" s="470" t="e">
        <f>(O77/P77+U77/60)/24</f>
        <v>#VALUE!</v>
      </c>
      <c r="W77" s="466"/>
      <c r="X77" s="64"/>
      <c r="Y77" s="65"/>
      <c r="Z77" s="64"/>
      <c r="AA77" s="64"/>
      <c r="AB77" s="53"/>
      <c r="AC77" s="69"/>
      <c r="AD77" s="480"/>
    </row>
    <row r="78" spans="1:30" ht="15" customHeight="1">
      <c r="A78" s="471" t="str">
        <f>IF(B78="","",A76+1)</f>
        <v/>
      </c>
      <c r="B78" s="392"/>
      <c r="C78" s="54"/>
      <c r="D78" s="472">
        <f>TRUNC(C78)+((C78-TRUNC(C78))/0.6)</f>
        <v>0</v>
      </c>
      <c r="E78" s="472">
        <f>TRUNC(C79)+((C79-TRUNC(C79))/0.6)</f>
        <v>0</v>
      </c>
      <c r="F78" s="473">
        <f>ROUND(((LOG10(TAN(PI()/4+(D78/2*PI()/180)))*7915.7046)-(3437.7468*((0.0816968^2*SIN(D78*PI()/180))+(0.0816968^4/3*((SIN(D78*PI()/180))^3))+(0.0816968^6/5*((SIN(D78*PI()/180))^5))))),2)</f>
        <v>0</v>
      </c>
      <c r="G78" s="464"/>
      <c r="H78" s="464">
        <f>IF(E78&lt;0,E78+360,E78)</f>
        <v>0</v>
      </c>
      <c r="I78" s="477"/>
      <c r="J78" s="478"/>
      <c r="K78" s="479"/>
      <c r="L78" s="472"/>
      <c r="M78" s="472"/>
      <c r="N78" s="468"/>
      <c r="O78" s="469"/>
      <c r="P78" s="353"/>
      <c r="Q78" s="465" t="str">
        <f>IF(O77="","",Q76+O77)</f>
        <v/>
      </c>
      <c r="R78" s="465" t="str">
        <f>IF(O77="","",R76-O77)</f>
        <v/>
      </c>
      <c r="S78" s="61"/>
      <c r="T78" s="61" t="s">
        <v>25</v>
      </c>
      <c r="U78" s="355"/>
      <c r="V78" s="470"/>
      <c r="W78" s="466" t="str">
        <f>IF(P77="","",W76+V77)</f>
        <v/>
      </c>
      <c r="X78" s="61"/>
      <c r="Y78" s="61"/>
      <c r="Z78" s="61"/>
      <c r="AA78" s="61"/>
      <c r="AB78" s="52"/>
      <c r="AC78" s="68"/>
      <c r="AD78" s="480"/>
    </row>
    <row r="79" spans="1:30" ht="15" customHeight="1">
      <c r="A79" s="471"/>
      <c r="B79" s="392"/>
      <c r="C79" s="55"/>
      <c r="D79" s="472"/>
      <c r="E79" s="472"/>
      <c r="F79" s="473"/>
      <c r="G79" s="464">
        <f>ABS(D78-D80)*60</f>
        <v>0</v>
      </c>
      <c r="H79" s="464"/>
      <c r="I79" s="477">
        <f>ABS(H78-H80)*60</f>
        <v>0</v>
      </c>
      <c r="J79" s="478">
        <f>ABS(F78-F80)</f>
        <v>0</v>
      </c>
      <c r="K79" s="479" t="e">
        <f>IF(AND(D78&lt;D80,H78=H80),0,IF(AND(D78&gt;D80,H78=H80),180,IF(AND(D78=D80,H78&lt;H80),90,IF(AND(D78=D80,H78&gt;H80),270,(ATAN(I79/J79)*180/PI())))))</f>
        <v>#DIV/0!</v>
      </c>
      <c r="L79" s="472" t="e">
        <f>IF(OR(K79=0,K79=90,K79=180,K79=270),K79,IF(AND(D78&lt;D80,H78&lt;H80),K79,IF(AND(D78&lt;D80,H78&gt;H80),360-K79,IF(AND(D78&gt;D80,H78&lt;H80),180-K79,IF(AND(D78&gt;D80,H78&gt;H80),180+K79)))))</f>
        <v>#DIV/0!</v>
      </c>
      <c r="M79" s="472">
        <f>(IF(I79=0,G79,IF(G79=0,COS(D80*PI()/180)*I79,G79/COS(K79*PI()/180))))</f>
        <v>0</v>
      </c>
      <c r="N79" s="468" t="str">
        <f>IF(C81="","",ROUND(L79,1))</f>
        <v/>
      </c>
      <c r="O79" s="469" t="str">
        <f>IF(C81="","",ROUND(M79,1))</f>
        <v/>
      </c>
      <c r="P79" s="353"/>
      <c r="Q79" s="465"/>
      <c r="R79" s="465"/>
      <c r="S79" s="64"/>
      <c r="T79" s="64" t="s">
        <v>22</v>
      </c>
      <c r="U79" s="358"/>
      <c r="V79" s="470" t="e">
        <f>(O79/P79+U79/60)/24</f>
        <v>#VALUE!</v>
      </c>
      <c r="W79" s="466"/>
      <c r="X79" s="64"/>
      <c r="Y79" s="65"/>
      <c r="Z79" s="64"/>
      <c r="AA79" s="64"/>
      <c r="AB79" s="53"/>
      <c r="AC79" s="69"/>
      <c r="AD79" s="480"/>
    </row>
    <row r="80" spans="1:30" ht="15" customHeight="1">
      <c r="A80" s="471" t="str">
        <f>IF(B80="","",A78+1)</f>
        <v/>
      </c>
      <c r="B80" s="392"/>
      <c r="C80" s="54"/>
      <c r="D80" s="472">
        <f>TRUNC(C80)+((C80-TRUNC(C80))/0.6)</f>
        <v>0</v>
      </c>
      <c r="E80" s="472">
        <f>TRUNC(C81)+((C81-TRUNC(C81))/0.6)</f>
        <v>0</v>
      </c>
      <c r="F80" s="473">
        <f>ROUND(((LOG10(TAN(PI()/4+(D80/2*PI()/180)))*7915.7046)-(3437.7468*((0.0816968^2*SIN(D80*PI()/180))+(0.0816968^4/3*((SIN(D80*PI()/180))^3))+(0.0816968^6/5*((SIN(D80*PI()/180))^5))))),2)</f>
        <v>0</v>
      </c>
      <c r="G80" s="464"/>
      <c r="H80" s="464">
        <f>IF(E80&lt;0,E80+360,E80)</f>
        <v>0</v>
      </c>
      <c r="I80" s="477"/>
      <c r="J80" s="478"/>
      <c r="K80" s="479"/>
      <c r="L80" s="472"/>
      <c r="M80" s="472"/>
      <c r="N80" s="468"/>
      <c r="O80" s="469"/>
      <c r="P80" s="353"/>
      <c r="Q80" s="465" t="str">
        <f>IF(O79="","",Q78+O79)</f>
        <v/>
      </c>
      <c r="R80" s="465" t="str">
        <f>IF(O79="","",R78-O79)</f>
        <v/>
      </c>
      <c r="S80" s="61"/>
      <c r="T80" s="61" t="s">
        <v>25</v>
      </c>
      <c r="U80" s="355"/>
      <c r="V80" s="470"/>
      <c r="W80" s="466" t="str">
        <f>IF(P79="","",W78+V79)</f>
        <v/>
      </c>
      <c r="X80" s="61"/>
      <c r="Y80" s="61"/>
      <c r="Z80" s="61"/>
      <c r="AA80" s="61"/>
      <c r="AB80" s="52"/>
      <c r="AC80" s="68"/>
      <c r="AD80" s="480"/>
    </row>
    <row r="81" spans="1:30" ht="15" customHeight="1">
      <c r="A81" s="471"/>
      <c r="B81" s="392"/>
      <c r="C81" s="55"/>
      <c r="D81" s="472"/>
      <c r="E81" s="472"/>
      <c r="F81" s="473"/>
      <c r="G81" s="464">
        <f>ABS(D80-D82)*60</f>
        <v>0</v>
      </c>
      <c r="H81" s="464"/>
      <c r="I81" s="477">
        <f>ABS(H80-H82)*60</f>
        <v>0</v>
      </c>
      <c r="J81" s="478">
        <f>ABS(F80-F82)</f>
        <v>0</v>
      </c>
      <c r="K81" s="479" t="e">
        <f>IF(AND(D80&lt;D82,H80=H82),0,IF(AND(D80&gt;D82,H80=H82),180,IF(AND(D80=D82,H80&lt;H82),90,IF(AND(D80=D82,H80&gt;H82),270,(ATAN(I81/J81)*180/PI())))))</f>
        <v>#DIV/0!</v>
      </c>
      <c r="L81" s="472" t="e">
        <f>IF(OR(K81=0,K81=90,K81=180,K81=270),K81,IF(AND(D80&lt;D82,H80&lt;H82),K81,IF(AND(D80&lt;D82,H80&gt;H82),360-K81,IF(AND(D80&gt;D82,H80&lt;H82),180-K81,IF(AND(D80&gt;D82,H80&gt;H82),180+K81)))))</f>
        <v>#DIV/0!</v>
      </c>
      <c r="M81" s="472">
        <f>(IF(I81=0,G81,IF(G81=0,COS(D82*PI()/180)*I81,G81/COS(K81*PI()/180))))</f>
        <v>0</v>
      </c>
      <c r="N81" s="468" t="str">
        <f>IF(C83="","",ROUND(L81,1))</f>
        <v/>
      </c>
      <c r="O81" s="469" t="str">
        <f>IF(C83="","",ROUND(M81,1))</f>
        <v/>
      </c>
      <c r="P81" s="353"/>
      <c r="Q81" s="465"/>
      <c r="R81" s="465"/>
      <c r="S81" s="64"/>
      <c r="T81" s="64" t="s">
        <v>22</v>
      </c>
      <c r="U81" s="358"/>
      <c r="V81" s="470" t="e">
        <f>(O81/P81+U81/60)/24</f>
        <v>#VALUE!</v>
      </c>
      <c r="W81" s="466"/>
      <c r="X81" s="64"/>
      <c r="Y81" s="65"/>
      <c r="Z81" s="64"/>
      <c r="AA81" s="64"/>
      <c r="AB81" s="53"/>
      <c r="AC81" s="69"/>
      <c r="AD81" s="480"/>
    </row>
    <row r="82" spans="1:30" ht="15" customHeight="1">
      <c r="A82" s="471" t="str">
        <f>IF(B82="","",A80+1)</f>
        <v/>
      </c>
      <c r="B82" s="392"/>
      <c r="C82" s="54"/>
      <c r="D82" s="472">
        <f>TRUNC(C82)+((C82-TRUNC(C82))/0.6)</f>
        <v>0</v>
      </c>
      <c r="E82" s="472">
        <f>TRUNC(C83)+((C83-TRUNC(C83))/0.6)</f>
        <v>0</v>
      </c>
      <c r="F82" s="473">
        <f>ROUND(((LOG10(TAN(PI()/4+(D82/2*PI()/180)))*7915.7046)-(3437.7468*((0.0816968^2*SIN(D82*PI()/180))+(0.0816968^4/3*((SIN(D82*PI()/180))^3))+(0.0816968^6/5*((SIN(D82*PI()/180))^5))))),2)</f>
        <v>0</v>
      </c>
      <c r="G82" s="464"/>
      <c r="H82" s="464">
        <f>IF(E82&lt;0,E82+360,E82)</f>
        <v>0</v>
      </c>
      <c r="I82" s="477"/>
      <c r="J82" s="478"/>
      <c r="K82" s="479"/>
      <c r="L82" s="472"/>
      <c r="M82" s="472"/>
      <c r="N82" s="468"/>
      <c r="O82" s="469"/>
      <c r="P82" s="353"/>
      <c r="Q82" s="465" t="str">
        <f>IF(O81="","",Q80+O81)</f>
        <v/>
      </c>
      <c r="R82" s="465" t="str">
        <f>IF(O81="","",R80-O81)</f>
        <v/>
      </c>
      <c r="S82" s="61"/>
      <c r="T82" s="61" t="s">
        <v>25</v>
      </c>
      <c r="U82" s="355"/>
      <c r="V82" s="470"/>
      <c r="W82" s="466" t="str">
        <f>IF(P81="","",W80+V81)</f>
        <v/>
      </c>
      <c r="X82" s="61"/>
      <c r="Y82" s="61"/>
      <c r="Z82" s="61"/>
      <c r="AA82" s="61"/>
      <c r="AB82" s="52"/>
      <c r="AC82" s="68"/>
      <c r="AD82" s="480"/>
    </row>
    <row r="83" spans="1:30" ht="15" customHeight="1">
      <c r="A83" s="471"/>
      <c r="B83" s="392"/>
      <c r="C83" s="55"/>
      <c r="D83" s="472"/>
      <c r="E83" s="472"/>
      <c r="F83" s="473"/>
      <c r="G83" s="464">
        <f>ABS(D82-D84)*60</f>
        <v>0</v>
      </c>
      <c r="H83" s="464"/>
      <c r="I83" s="477">
        <f>ABS(H82-H84)*60</f>
        <v>0</v>
      </c>
      <c r="J83" s="478">
        <f>ABS(F82-F84)</f>
        <v>0</v>
      </c>
      <c r="K83" s="479" t="e">
        <f>IF(AND(D82&lt;D84,H82=H84),0,IF(AND(D82&gt;D84,H82=H84),180,IF(AND(D82=D84,H82&lt;H84),90,IF(AND(D82=D84,H82&gt;H84),270,(ATAN(I83/J83)*180/PI())))))</f>
        <v>#DIV/0!</v>
      </c>
      <c r="L83" s="472" t="e">
        <f>IF(OR(K83=0,K83=90,K83=180,K83=270),K83,IF(AND(D82&lt;D84,H82&lt;H84),K83,IF(AND(D82&lt;D84,H82&gt;H84),360-K83,IF(AND(D82&gt;D84,H82&lt;H84),180-K83,IF(AND(D82&gt;D84,H82&gt;H84),180+K83)))))</f>
        <v>#DIV/0!</v>
      </c>
      <c r="M83" s="472">
        <f>(IF(I83=0,G83,IF(G83=0,COS(D84*PI()/180)*I83,G83/COS(K83*PI()/180))))</f>
        <v>0</v>
      </c>
      <c r="N83" s="468" t="str">
        <f>IF(C85="","",ROUND(L83,1))</f>
        <v/>
      </c>
      <c r="O83" s="469" t="str">
        <f>IF(C85="","",ROUND(M83,1))</f>
        <v/>
      </c>
      <c r="P83" s="353"/>
      <c r="Q83" s="465"/>
      <c r="R83" s="465"/>
      <c r="S83" s="64"/>
      <c r="T83" s="64" t="s">
        <v>27</v>
      </c>
      <c r="U83" s="358"/>
      <c r="V83" s="470" t="e">
        <f>(O83/P83+U83/60)/24</f>
        <v>#VALUE!</v>
      </c>
      <c r="W83" s="466"/>
      <c r="X83" s="64"/>
      <c r="Y83" s="65"/>
      <c r="Z83" s="64"/>
      <c r="AA83" s="64"/>
      <c r="AB83" s="53"/>
      <c r="AC83" s="69"/>
      <c r="AD83" s="480"/>
    </row>
    <row r="84" spans="1:30" ht="15" customHeight="1">
      <c r="A84" s="471" t="str">
        <f>IF(B84="","",A82+1)</f>
        <v/>
      </c>
      <c r="B84" s="392"/>
      <c r="C84" s="54"/>
      <c r="D84" s="472">
        <f>TRUNC(C84)+((C84-TRUNC(C84))/0.6)</f>
        <v>0</v>
      </c>
      <c r="E84" s="472">
        <f>TRUNC(C85)+((C85-TRUNC(C85))/0.6)</f>
        <v>0</v>
      </c>
      <c r="F84" s="473">
        <f>ROUND(((LOG10(TAN(PI()/4+(D84/2*PI()/180)))*7915.7046)-(3437.7468*((0.0816968^2*SIN(D84*PI()/180))+(0.0816968^4/3*((SIN(D84*PI()/180))^3))+(0.0816968^6/5*((SIN(D84*PI()/180))^5))))),2)</f>
        <v>0</v>
      </c>
      <c r="G84" s="464"/>
      <c r="H84" s="464">
        <f>IF(E84&lt;0,E84+360,E84)</f>
        <v>0</v>
      </c>
      <c r="I84" s="477"/>
      <c r="J84" s="478"/>
      <c r="K84" s="479"/>
      <c r="L84" s="472"/>
      <c r="M84" s="472"/>
      <c r="N84" s="468"/>
      <c r="O84" s="469"/>
      <c r="P84" s="353"/>
      <c r="Q84" s="465" t="str">
        <f>IF(O83="","",Q82+O83)</f>
        <v/>
      </c>
      <c r="R84" s="465" t="str">
        <f>IF(O83="","",R82-O83)</f>
        <v/>
      </c>
      <c r="S84" s="61"/>
      <c r="T84" s="61" t="s">
        <v>25</v>
      </c>
      <c r="U84" s="355"/>
      <c r="V84" s="470"/>
      <c r="W84" s="466" t="str">
        <f>IF(P83="","",W82+V83)</f>
        <v/>
      </c>
      <c r="X84" s="61"/>
      <c r="Y84" s="61"/>
      <c r="Z84" s="61"/>
      <c r="AA84" s="61"/>
      <c r="AB84" s="52"/>
      <c r="AC84" s="68"/>
      <c r="AD84" s="481"/>
    </row>
    <row r="85" spans="1:30" ht="15" customHeight="1">
      <c r="A85" s="471"/>
      <c r="B85" s="392"/>
      <c r="C85" s="55"/>
      <c r="D85" s="472"/>
      <c r="E85" s="472"/>
      <c r="F85" s="473"/>
      <c r="G85" s="464">
        <f>ABS(D84-D86)*60</f>
        <v>0</v>
      </c>
      <c r="H85" s="464"/>
      <c r="I85" s="477">
        <f>ABS(H84-H86)*60</f>
        <v>0</v>
      </c>
      <c r="J85" s="478">
        <f>ABS(F84-F86)</f>
        <v>0</v>
      </c>
      <c r="K85" s="479" t="e">
        <f>IF(AND(D84&lt;D86,H84=H86),0,IF(AND(D84&gt;D86,H84=H86),180,IF(AND(D84=D86,H84&lt;H86),90,IF(AND(D84=D86,H84&gt;H86),270,(ATAN(I85/J85)*180/PI())))))</f>
        <v>#DIV/0!</v>
      </c>
      <c r="L85" s="472" t="e">
        <f>IF(OR(K85=0,K85=90,K85=180,K85=270),K85,IF(AND(D84&lt;D86,H84&lt;H86),K85,IF(AND(D84&lt;D86,H84&gt;H86),360-K85,IF(AND(D84&gt;D86,H84&lt;H86),180-K85,IF(AND(D84&gt;D86,H84&gt;H86),180+K85)))))</f>
        <v>#DIV/0!</v>
      </c>
      <c r="M85" s="472">
        <f>(IF(I85=0,G85,IF(G85=0,COS(D86*PI()/180)*I85,G85/COS(K85*PI()/180))))</f>
        <v>0</v>
      </c>
      <c r="N85" s="468" t="str">
        <f>IF(C87="","",ROUND(L85,1))</f>
        <v/>
      </c>
      <c r="O85" s="469" t="str">
        <f>IF(C87="","",ROUND(M85,1))</f>
        <v/>
      </c>
      <c r="P85" s="353"/>
      <c r="Q85" s="465"/>
      <c r="R85" s="465"/>
      <c r="S85" s="64"/>
      <c r="T85" s="64" t="s">
        <v>27</v>
      </c>
      <c r="U85" s="358"/>
      <c r="V85" s="470" t="e">
        <f>(O85/P85+U85/60)/24</f>
        <v>#VALUE!</v>
      </c>
      <c r="W85" s="466"/>
      <c r="X85" s="64"/>
      <c r="Y85" s="65"/>
      <c r="Z85" s="64"/>
      <c r="AA85" s="64"/>
      <c r="AB85" s="53"/>
      <c r="AC85" s="69"/>
      <c r="AD85" s="481"/>
    </row>
    <row r="86" spans="1:30" ht="15" customHeight="1">
      <c r="A86" s="471" t="str">
        <f>IF(B86="","",A84+1)</f>
        <v/>
      </c>
      <c r="B86" s="392"/>
      <c r="C86" s="54"/>
      <c r="D86" s="472">
        <f>TRUNC(C86)+((C86-TRUNC(C86))/0.6)</f>
        <v>0</v>
      </c>
      <c r="E86" s="472">
        <f>TRUNC(C87)+((C87-TRUNC(C87))/0.6)</f>
        <v>0</v>
      </c>
      <c r="F86" s="473">
        <f>ROUND(((LOG10(TAN(PI()/4+(D86/2*PI()/180)))*7915.7046)-(3437.7468*((0.0816968^2*SIN(D86*PI()/180))+(0.0816968^4/3*((SIN(D86*PI()/180))^3))+(0.0816968^6/5*((SIN(D86*PI()/180))^5))))),2)</f>
        <v>0</v>
      </c>
      <c r="G86" s="464"/>
      <c r="H86" s="464">
        <f>IF(E86&lt;0,E86+360,E86)</f>
        <v>0</v>
      </c>
      <c r="I86" s="477"/>
      <c r="J86" s="478"/>
      <c r="K86" s="479"/>
      <c r="L86" s="472"/>
      <c r="M86" s="472"/>
      <c r="N86" s="468"/>
      <c r="O86" s="469"/>
      <c r="P86" s="353"/>
      <c r="Q86" s="465" t="str">
        <f>IF(O85="","",Q84+O85)</f>
        <v/>
      </c>
      <c r="R86" s="465" t="str">
        <f>IF(O85="","",R84-O85)</f>
        <v/>
      </c>
      <c r="S86" s="61"/>
      <c r="T86" s="61" t="s">
        <v>26</v>
      </c>
      <c r="U86" s="355"/>
      <c r="V86" s="470"/>
      <c r="W86" s="466" t="str">
        <f>IF(P85="","",W84+V85)</f>
        <v/>
      </c>
      <c r="X86" s="61"/>
      <c r="Y86" s="61"/>
      <c r="Z86" s="61"/>
      <c r="AA86" s="61"/>
      <c r="AB86" s="52"/>
      <c r="AC86" s="68"/>
      <c r="AD86" s="480"/>
    </row>
    <row r="87" spans="1:30" ht="15" customHeight="1">
      <c r="A87" s="471"/>
      <c r="B87" s="392"/>
      <c r="C87" s="55"/>
      <c r="D87" s="472"/>
      <c r="E87" s="472"/>
      <c r="F87" s="473"/>
      <c r="G87" s="464">
        <f>ABS(D86-D88)*60</f>
        <v>0</v>
      </c>
      <c r="H87" s="464"/>
      <c r="I87" s="477">
        <f>ABS(H86-H88)*60</f>
        <v>0</v>
      </c>
      <c r="J87" s="478">
        <f>ABS(F86-F88)</f>
        <v>0</v>
      </c>
      <c r="K87" s="479" t="e">
        <f>IF(AND(D86&lt;D88,H86=H88),0,IF(AND(D86&gt;D88,H86=H88),180,IF(AND(D86=D88,H86&lt;H88),90,IF(AND(D86=D88,H86&gt;H88),270,(ATAN(I87/J87)*180/PI())))))</f>
        <v>#DIV/0!</v>
      </c>
      <c r="L87" s="472" t="e">
        <f>IF(OR(K87=0,K87=90,K87=180,K87=270),K87,IF(AND(D86&lt;D88,H86&lt;H88),K87,IF(AND(D86&lt;D88,H86&gt;H88),360-K87,IF(AND(D86&gt;D88,H86&lt;H88),180-K87,IF(AND(D86&gt;D88,H86&gt;H88),180+K87)))))</f>
        <v>#DIV/0!</v>
      </c>
      <c r="M87" s="472">
        <f>(IF(I87=0,G87,IF(G87=0,COS(D88*PI()/180)*I87,G87/COS(K87*PI()/180))))</f>
        <v>0</v>
      </c>
      <c r="N87" s="468" t="str">
        <f>IF(C89="","",ROUND(L87,1))</f>
        <v/>
      </c>
      <c r="O87" s="469" t="str">
        <f>IF(C89="","",ROUND(M87,1))</f>
        <v/>
      </c>
      <c r="P87" s="353"/>
      <c r="Q87" s="465"/>
      <c r="R87" s="465"/>
      <c r="S87" s="64"/>
      <c r="T87" s="64" t="s">
        <v>29</v>
      </c>
      <c r="U87" s="358"/>
      <c r="V87" s="470" t="e">
        <f>(O87/P87+U87/60)/24</f>
        <v>#VALUE!</v>
      </c>
      <c r="W87" s="466"/>
      <c r="X87" s="64"/>
      <c r="Y87" s="65"/>
      <c r="Z87" s="64"/>
      <c r="AA87" s="64"/>
      <c r="AB87" s="53"/>
      <c r="AC87" s="69"/>
      <c r="AD87" s="480"/>
    </row>
    <row r="88" spans="1:30" ht="15" customHeight="1">
      <c r="A88" s="471" t="str">
        <f>IF(B88="","",A86+1)</f>
        <v/>
      </c>
      <c r="B88" s="394"/>
      <c r="C88" s="54"/>
      <c r="D88" s="472">
        <f>TRUNC(C88)+((C88-TRUNC(C88))/0.6)</f>
        <v>0</v>
      </c>
      <c r="E88" s="472">
        <f>TRUNC(C89)+((C89-TRUNC(C89))/0.6)</f>
        <v>0</v>
      </c>
      <c r="F88" s="473">
        <f>ROUND(((LOG10(TAN(PI()/4+(D88/2*PI()/180)))*7915.7046)-(3437.7468*((0.0816968^2*SIN(D88*PI()/180))+(0.0816968^4/3*((SIN(D88*PI()/180))^3))+(0.0816968^6/5*((SIN(D88*PI()/180))^5))))),2)</f>
        <v>0</v>
      </c>
      <c r="G88" s="464"/>
      <c r="H88" s="464">
        <f>IF(E88&lt;0,E88+360,E88)</f>
        <v>0</v>
      </c>
      <c r="I88" s="477"/>
      <c r="J88" s="478"/>
      <c r="K88" s="479"/>
      <c r="L88" s="472"/>
      <c r="M88" s="472"/>
      <c r="N88" s="468"/>
      <c r="O88" s="469"/>
      <c r="P88" s="353"/>
      <c r="Q88" s="465" t="str">
        <f>IF(O87="","",Q86+O87)</f>
        <v/>
      </c>
      <c r="R88" s="465" t="str">
        <f>IF(O87="","",R86-O87)</f>
        <v/>
      </c>
      <c r="S88" s="61"/>
      <c r="T88" s="61" t="s">
        <v>26</v>
      </c>
      <c r="U88" s="355"/>
      <c r="V88" s="470"/>
      <c r="W88" s="466" t="str">
        <f>IF(P87="","",W86+V87)</f>
        <v/>
      </c>
      <c r="X88" s="61"/>
      <c r="Y88" s="61"/>
      <c r="Z88" s="61"/>
      <c r="AA88" s="61"/>
      <c r="AB88" s="52"/>
      <c r="AC88" s="68"/>
      <c r="AD88" s="481" t="s">
        <v>28</v>
      </c>
    </row>
    <row r="89" spans="1:30" ht="15" customHeight="1">
      <c r="A89" s="471"/>
      <c r="B89" s="395"/>
      <c r="C89" s="55"/>
      <c r="D89" s="472"/>
      <c r="E89" s="472"/>
      <c r="F89" s="473"/>
      <c r="G89" s="464">
        <f>ABS(D88-D90)*60</f>
        <v>0</v>
      </c>
      <c r="H89" s="464"/>
      <c r="I89" s="477">
        <f>ABS(H88-H90)*60</f>
        <v>0</v>
      </c>
      <c r="J89" s="478">
        <f>ABS(F88-F90)</f>
        <v>0</v>
      </c>
      <c r="K89" s="479" t="e">
        <f>IF(AND(D88&lt;D90,H88=H90),0,IF(AND(D88&gt;D90,H88=H90),180,IF(AND(D88=D90,H88&lt;H90),90,IF(AND(D88=D90,H88&gt;H90),270,(ATAN(I89/J89)*180/PI())))))</f>
        <v>#DIV/0!</v>
      </c>
      <c r="L89" s="472" t="e">
        <f>IF(OR(K89=0,K89=90,K89=180,K89=270),K89,IF(AND(D88&lt;D90,H88&lt;H90),K89,IF(AND(D88&lt;D90,H88&gt;H90),360-K89,IF(AND(D88&gt;D90,H88&lt;H90),180-K89,IF(AND(D88&gt;D90,H88&gt;H90),180+K89)))))</f>
        <v>#DIV/0!</v>
      </c>
      <c r="M89" s="472">
        <f>(IF(I89=0,G89,IF(G89=0,COS(D90*PI()/180)*I89,G89/COS(K89*PI()/180))))</f>
        <v>0</v>
      </c>
      <c r="N89" s="468" t="str">
        <f>IF(C91="","",ROUND(L89,1))</f>
        <v/>
      </c>
      <c r="O89" s="469" t="str">
        <f>IF(C91="","",ROUND(M89,1))</f>
        <v/>
      </c>
      <c r="P89" s="353"/>
      <c r="Q89" s="465"/>
      <c r="R89" s="465"/>
      <c r="S89" s="64"/>
      <c r="T89" s="64" t="s">
        <v>29</v>
      </c>
      <c r="U89" s="358"/>
      <c r="V89" s="470" t="e">
        <f>(O89/P89+U89/60)/24</f>
        <v>#VALUE!</v>
      </c>
      <c r="W89" s="466"/>
      <c r="X89" s="64"/>
      <c r="Y89" s="65"/>
      <c r="Z89" s="64"/>
      <c r="AA89" s="64"/>
      <c r="AB89" s="53"/>
      <c r="AC89" s="69"/>
      <c r="AD89" s="481"/>
    </row>
    <row r="90" spans="1:30" ht="15" customHeight="1">
      <c r="A90" s="471" t="str">
        <f>IF(B90="","",A88+1)</f>
        <v/>
      </c>
      <c r="B90" s="394"/>
      <c r="C90" s="54"/>
      <c r="D90" s="472">
        <f>TRUNC(C90)+((C90-TRUNC(C90))/0.6)</f>
        <v>0</v>
      </c>
      <c r="E90" s="472">
        <f>TRUNC(C91)+((C91-TRUNC(C91))/0.6)</f>
        <v>0</v>
      </c>
      <c r="F90" s="473">
        <f>ROUND(((LOG10(TAN(PI()/4+(D90/2*PI()/180)))*7915.7046)-(3437.7468*((0.0816968^2*SIN(D90*PI()/180))+(0.0816968^4/3*((SIN(D90*PI()/180))^3))+(0.0816968^6/5*((SIN(D90*PI()/180))^5))))),2)</f>
        <v>0</v>
      </c>
      <c r="G90" s="464"/>
      <c r="H90" s="464">
        <f>IF(E90&lt;0,E90+360,E90)</f>
        <v>0</v>
      </c>
      <c r="I90" s="477"/>
      <c r="J90" s="478"/>
      <c r="K90" s="479"/>
      <c r="L90" s="472"/>
      <c r="M90" s="472"/>
      <c r="N90" s="468"/>
      <c r="O90" s="469"/>
      <c r="P90" s="353"/>
      <c r="Q90" s="465" t="str">
        <f>IF(O89="","",Q88+O89)</f>
        <v/>
      </c>
      <c r="R90" s="465" t="str">
        <f>IF(O89="","",R88-O89)</f>
        <v/>
      </c>
      <c r="S90" s="61"/>
      <c r="T90" s="61" t="s">
        <v>25</v>
      </c>
      <c r="U90" s="355"/>
      <c r="V90" s="470"/>
      <c r="W90" s="466" t="str">
        <f>IF(P89="","",W88+V89)</f>
        <v/>
      </c>
      <c r="X90" s="61"/>
      <c r="Y90" s="61"/>
      <c r="Z90" s="61"/>
      <c r="AA90" s="61"/>
      <c r="AB90" s="52"/>
      <c r="AC90" s="68"/>
      <c r="AD90" s="480" t="s">
        <v>28</v>
      </c>
    </row>
    <row r="91" spans="1:30" ht="15" customHeight="1">
      <c r="A91" s="471"/>
      <c r="B91" s="395"/>
      <c r="C91" s="55"/>
      <c r="D91" s="472"/>
      <c r="E91" s="472"/>
      <c r="F91" s="473"/>
      <c r="G91" s="464">
        <f>ABS(D90-D92)*60</f>
        <v>0</v>
      </c>
      <c r="H91" s="464"/>
      <c r="I91" s="477">
        <f>ABS(H90-H92)*60</f>
        <v>0</v>
      </c>
      <c r="J91" s="478">
        <f>ABS(F90-F92)</f>
        <v>0</v>
      </c>
      <c r="K91" s="479" t="e">
        <f>IF(AND(D90&lt;D92,H90=H92),0,IF(AND(D90&gt;D92,H90=H92),180,IF(AND(D90=D92,H90&lt;H92),90,IF(AND(D90=D92,H90&gt;H92),270,(ATAN(I91/J91)*180/PI())))))</f>
        <v>#DIV/0!</v>
      </c>
      <c r="L91" s="472" t="e">
        <f>IF(OR(K91=0,K91=90,K91=180,K91=270),K91,IF(AND(D90&lt;D92,H90&lt;H92),K91,IF(AND(D90&lt;D92,H90&gt;H92),360-K91,IF(AND(D90&gt;D92,H90&lt;H92),180-K91,IF(AND(D90&gt;D92,H90&gt;H92),180+K91)))))</f>
        <v>#DIV/0!</v>
      </c>
      <c r="M91" s="472">
        <f>(IF(I91=0,G91,IF(G91=0,COS(D92*PI()/180)*I91,G91/COS(K91*PI()/180))))</f>
        <v>0</v>
      </c>
      <c r="N91" s="468" t="str">
        <f>IF(C93="","",ROUND(L91,1))</f>
        <v/>
      </c>
      <c r="O91" s="469" t="str">
        <f>IF(C93="","",ROUND(M91,1))</f>
        <v/>
      </c>
      <c r="P91" s="353"/>
      <c r="Q91" s="465"/>
      <c r="R91" s="465"/>
      <c r="S91" s="64"/>
      <c r="T91" s="64" t="s">
        <v>27</v>
      </c>
      <c r="U91" s="358"/>
      <c r="V91" s="470" t="e">
        <f>(O91/P91+U91/60)/24</f>
        <v>#VALUE!</v>
      </c>
      <c r="W91" s="466"/>
      <c r="X91" s="64"/>
      <c r="Y91" s="65"/>
      <c r="Z91" s="64"/>
      <c r="AA91" s="64"/>
      <c r="AB91" s="53"/>
      <c r="AC91" s="69"/>
      <c r="AD91" s="480"/>
    </row>
    <row r="92" spans="1:30" ht="15" customHeight="1">
      <c r="A92" s="471" t="str">
        <f t="shared" ref="A92" si="3">IF(B92="","",A90+1)</f>
        <v/>
      </c>
      <c r="B92" s="394"/>
      <c r="C92" s="54"/>
      <c r="D92" s="472">
        <f>TRUNC(C92)+((C92-TRUNC(C92))/0.6)</f>
        <v>0</v>
      </c>
      <c r="E92" s="472">
        <f>TRUNC(C93)+((C93-TRUNC(C93))/0.6)</f>
        <v>0</v>
      </c>
      <c r="F92" s="473">
        <f>ROUND(((LOG10(TAN(PI()/4+(D92/2*PI()/180)))*7915.7046)-(3437.7468*((0.0816968^2*SIN(D92*PI()/180))+(0.0816968^4/3*((SIN(D92*PI()/180))^3))+(0.0816968^6/5*((SIN(D92*PI()/180))^5))))),2)</f>
        <v>0</v>
      </c>
      <c r="G92" s="464"/>
      <c r="H92" s="464">
        <f>IF(E92&lt;0,E92+360,E92)</f>
        <v>0</v>
      </c>
      <c r="I92" s="477"/>
      <c r="J92" s="478"/>
      <c r="K92" s="479"/>
      <c r="L92" s="472"/>
      <c r="M92" s="472"/>
      <c r="N92" s="468"/>
      <c r="O92" s="469"/>
      <c r="P92" s="353"/>
      <c r="Q92" s="465" t="str">
        <f>IF(O91="","",Q90+O91)</f>
        <v/>
      </c>
      <c r="R92" s="465" t="str">
        <f>IF(O91="","",R90-O91)</f>
        <v/>
      </c>
      <c r="S92" s="61"/>
      <c r="T92" s="61" t="s">
        <v>25</v>
      </c>
      <c r="U92" s="355"/>
      <c r="V92" s="470"/>
      <c r="W92" s="466" t="str">
        <f>IF(P91="","",W90+V91)</f>
        <v/>
      </c>
      <c r="X92" s="61"/>
      <c r="Y92" s="61"/>
      <c r="Z92" s="61"/>
      <c r="AA92" s="61"/>
      <c r="AB92" s="52"/>
      <c r="AC92" s="68"/>
      <c r="AD92" s="480"/>
    </row>
    <row r="93" spans="1:30" ht="15" customHeight="1">
      <c r="A93" s="471"/>
      <c r="B93" s="395"/>
      <c r="C93" s="55"/>
      <c r="D93" s="472"/>
      <c r="E93" s="472"/>
      <c r="F93" s="473"/>
      <c r="G93" s="464">
        <f>ABS(D92-D94)*60</f>
        <v>0</v>
      </c>
      <c r="H93" s="464"/>
      <c r="I93" s="477">
        <f>ABS(H92-H94)*60</f>
        <v>0</v>
      </c>
      <c r="J93" s="478">
        <f>ABS(F92-F94)</f>
        <v>0</v>
      </c>
      <c r="K93" s="479" t="e">
        <f>IF(AND(D92&lt;D94,H92=H94),0,IF(AND(D92&gt;D94,H92=H94),180,IF(AND(D92=D94,H92&lt;H94),90,IF(AND(D92=D94,H92&gt;H94),270,(ATAN(I93/J93)*180/PI())))))</f>
        <v>#DIV/0!</v>
      </c>
      <c r="L93" s="472" t="e">
        <f>IF(OR(K93=0,K93=90,K93=180,K93=270),K93,IF(AND(D92&lt;D94,H92&lt;H94),K93,IF(AND(D92&lt;D94,H92&gt;H94),360-K93,IF(AND(D92&gt;D94,H92&lt;H94),180-K93,IF(AND(D92&gt;D94,H92&gt;H94),180+K93)))))</f>
        <v>#DIV/0!</v>
      </c>
      <c r="M93" s="472">
        <f>(IF(I93=0,G93,IF(G93=0,COS(D94*PI()/180)*I93,G93/COS(K93*PI()/180))))</f>
        <v>0</v>
      </c>
      <c r="N93" s="468" t="str">
        <f>IF(C95="","",ROUND(L93,1))</f>
        <v/>
      </c>
      <c r="O93" s="469" t="str">
        <f>IF(C95="","",ROUND(M93,1))</f>
        <v/>
      </c>
      <c r="P93" s="353"/>
      <c r="Q93" s="465"/>
      <c r="R93" s="465"/>
      <c r="S93" s="64"/>
      <c r="T93" s="64" t="s">
        <v>22</v>
      </c>
      <c r="U93" s="358"/>
      <c r="V93" s="470" t="e">
        <f>(O93/P93+U93/60)/24</f>
        <v>#VALUE!</v>
      </c>
      <c r="W93" s="466"/>
      <c r="X93" s="64"/>
      <c r="Y93" s="65"/>
      <c r="Z93" s="64"/>
      <c r="AA93" s="64"/>
      <c r="AB93" s="53"/>
      <c r="AC93" s="69"/>
      <c r="AD93" s="480"/>
    </row>
    <row r="94" spans="1:30" ht="15" customHeight="1">
      <c r="A94" s="471" t="str">
        <f t="shared" ref="A94" si="4">IF(B94="","",A92+1)</f>
        <v/>
      </c>
      <c r="B94" s="348"/>
      <c r="C94" s="54"/>
      <c r="D94" s="472">
        <f>TRUNC(C94)+((C94-TRUNC(C94))/0.6)</f>
        <v>0</v>
      </c>
      <c r="E94" s="472">
        <f>TRUNC(C95)+((C95-TRUNC(C95))/0.6)</f>
        <v>0</v>
      </c>
      <c r="F94" s="473">
        <f>ROUND(((LOG10(TAN(PI()/4+(D94/2*PI()/180)))*7915.7046)-(3437.7468*((0.0816968^2*SIN(D94*PI()/180))+(0.0816968^4/3*((SIN(D94*PI()/180))^3))+(0.0816968^6/5*((SIN(D94*PI()/180))^5))))),2)</f>
        <v>0</v>
      </c>
      <c r="G94" s="464"/>
      <c r="H94" s="464">
        <f>IF(E94&lt;0,E94+360,E94)</f>
        <v>0</v>
      </c>
      <c r="I94" s="477"/>
      <c r="J94" s="478"/>
      <c r="K94" s="479"/>
      <c r="L94" s="472"/>
      <c r="M94" s="472"/>
      <c r="N94" s="468"/>
      <c r="O94" s="469"/>
      <c r="P94" s="353"/>
      <c r="Q94" s="465" t="str">
        <f>IF(O93="","",Q92+O93)</f>
        <v/>
      </c>
      <c r="R94" s="465" t="str">
        <f>IF(O93="","",R92-O93)</f>
        <v/>
      </c>
      <c r="S94" s="61"/>
      <c r="T94" s="61" t="s">
        <v>25</v>
      </c>
      <c r="U94" s="355"/>
      <c r="V94" s="470"/>
      <c r="W94" s="466" t="str">
        <f>IF(P93="","",W92+V93)</f>
        <v/>
      </c>
      <c r="X94" s="61"/>
      <c r="Y94" s="61"/>
      <c r="Z94" s="61"/>
      <c r="AA94" s="61"/>
      <c r="AB94" s="52"/>
      <c r="AC94" s="68"/>
      <c r="AD94" s="474" t="s">
        <v>71</v>
      </c>
    </row>
    <row r="95" spans="1:30" ht="15" customHeight="1">
      <c r="A95" s="471"/>
      <c r="B95" s="349"/>
      <c r="C95" s="55"/>
      <c r="D95" s="472"/>
      <c r="E95" s="472"/>
      <c r="F95" s="473"/>
      <c r="G95" s="464">
        <f>ABS(D94-D96)*60</f>
        <v>0</v>
      </c>
      <c r="H95" s="464"/>
      <c r="I95" s="477">
        <f>ABS(H94-H96)*60</f>
        <v>0</v>
      </c>
      <c r="J95" s="478">
        <f>ABS(F94-F96)</f>
        <v>0</v>
      </c>
      <c r="K95" s="479" t="e">
        <f>IF(AND(D94&lt;D96,H94=H96),0,IF(AND(D94&gt;D96,H94=H96),180,IF(AND(D94=D96,H94&lt;H96),90,IF(AND(D94=D96,H94&gt;H96),270,(ATAN(I95/J95)*180/PI())))))</f>
        <v>#DIV/0!</v>
      </c>
      <c r="L95" s="472" t="e">
        <f>IF(OR(K95=0,K95=90,K95=180,K95=270),K95,IF(AND(D94&lt;D96,H94&lt;H96),K95,IF(AND(D94&lt;D96,H94&gt;H96),360-K95,IF(AND(D94&gt;D96,H94&lt;H96),180-K95,IF(AND(D94&gt;D96,H94&gt;H96),180+K95)))))</f>
        <v>#DIV/0!</v>
      </c>
      <c r="M95" s="472">
        <f>(IF(I95=0,G95,IF(G95=0,COS(D96*PI()/180)*I95,G95/COS(K95*PI()/180))))</f>
        <v>0</v>
      </c>
      <c r="N95" s="468" t="str">
        <f>IF(C97="","",ROUND(L95,1))</f>
        <v/>
      </c>
      <c r="O95" s="469" t="str">
        <f>IF(C97="","",ROUND(M95,1))</f>
        <v/>
      </c>
      <c r="P95" s="353"/>
      <c r="Q95" s="465"/>
      <c r="R95" s="465"/>
      <c r="S95" s="64"/>
      <c r="T95" s="64" t="s">
        <v>23</v>
      </c>
      <c r="U95" s="358"/>
      <c r="V95" s="470" t="e">
        <f>(O95/P95+U95/60)/24</f>
        <v>#VALUE!</v>
      </c>
      <c r="W95" s="466"/>
      <c r="X95" s="64"/>
      <c r="Y95" s="65"/>
      <c r="Z95" s="64"/>
      <c r="AA95" s="64"/>
      <c r="AB95" s="53"/>
      <c r="AC95" s="69"/>
      <c r="AD95" s="475"/>
    </row>
    <row r="96" spans="1:30" ht="15" customHeight="1">
      <c r="A96" s="471" t="str">
        <f t="shared" ref="A96" si="5">IF(B96="","",A94+1)</f>
        <v/>
      </c>
      <c r="B96" s="392"/>
      <c r="C96" s="54"/>
      <c r="D96" s="472">
        <f>TRUNC(C96)+((C96-TRUNC(C96))/0.6)</f>
        <v>0</v>
      </c>
      <c r="E96" s="472">
        <f>TRUNC(C97)+((C97-TRUNC(C97))/0.6)</f>
        <v>0</v>
      </c>
      <c r="F96" s="473">
        <f>ROUND(((LOG10(TAN(PI()/4+(D96/2*PI()/180)))*7915.7046)-(3437.7468*((0.0816968^2*SIN(D96*PI()/180))+(0.0816968^4/3*((SIN(D96*PI()/180))^3))+(0.0816968^6/5*((SIN(D96*PI()/180))^5))))),2)</f>
        <v>0</v>
      </c>
      <c r="G96" s="464"/>
      <c r="H96" s="464">
        <f>IF(E96&lt;0,E96+360,E96)</f>
        <v>0</v>
      </c>
      <c r="I96" s="477"/>
      <c r="J96" s="478"/>
      <c r="K96" s="479"/>
      <c r="L96" s="472"/>
      <c r="M96" s="472"/>
      <c r="N96" s="468"/>
      <c r="O96" s="469"/>
      <c r="P96" s="353"/>
      <c r="Q96" s="465" t="str">
        <f>IF(O95="","",Q94+O95)</f>
        <v/>
      </c>
      <c r="R96" s="465" t="str">
        <f>IF(O95="","",R94-O95)</f>
        <v/>
      </c>
      <c r="S96" s="61"/>
      <c r="T96" s="61"/>
      <c r="U96" s="355"/>
      <c r="V96" s="470"/>
      <c r="W96" s="466" t="str">
        <f>IF(P95="","",W94+V95)</f>
        <v/>
      </c>
      <c r="X96" s="61"/>
      <c r="Y96" s="61"/>
      <c r="Z96" s="61"/>
      <c r="AA96" s="61"/>
      <c r="AB96" s="52"/>
      <c r="AC96" s="68"/>
      <c r="AD96" s="475"/>
    </row>
    <row r="97" spans="1:30" s="1" customFormat="1" ht="15" customHeight="1">
      <c r="A97" s="471"/>
      <c r="B97" s="392"/>
      <c r="C97" s="55"/>
      <c r="D97" s="472"/>
      <c r="E97" s="472"/>
      <c r="F97" s="473"/>
      <c r="G97" s="66"/>
      <c r="H97" s="464"/>
      <c r="I97" s="66"/>
      <c r="J97" s="66"/>
      <c r="K97" s="66"/>
      <c r="L97" s="66"/>
      <c r="M97" s="66"/>
      <c r="N97" s="59"/>
      <c r="O97" s="60"/>
      <c r="P97" s="60"/>
      <c r="Q97" s="465"/>
      <c r="R97" s="465"/>
      <c r="S97" s="64"/>
      <c r="T97" s="64"/>
      <c r="U97" s="62"/>
      <c r="V97" s="63"/>
      <c r="W97" s="466"/>
      <c r="X97" s="64"/>
      <c r="Y97" s="65"/>
      <c r="Z97" s="64"/>
      <c r="AA97" s="64"/>
      <c r="AB97" s="53"/>
      <c r="AC97" s="69"/>
      <c r="AD97" s="476"/>
    </row>
    <row r="98" spans="1:30" ht="13.5" customHeight="1">
      <c r="A98" s="467"/>
      <c r="B98" s="467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  <c r="AA98" s="467"/>
      <c r="AB98" s="467"/>
      <c r="AC98" s="467"/>
      <c r="AD98" s="467"/>
    </row>
    <row r="99" spans="1:30" s="89" customFormat="1" ht="13.5" customHeight="1">
      <c r="A99" s="467"/>
      <c r="B99" s="467"/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  <c r="AA99" s="467"/>
      <c r="AB99" s="467"/>
      <c r="AC99" s="467"/>
      <c r="AD99" s="467"/>
    </row>
    <row r="100" spans="1:30" s="89" customFormat="1" ht="13.5" customHeight="1">
      <c r="A100" s="467"/>
      <c r="B100" s="467"/>
      <c r="C100" s="467"/>
      <c r="D100" s="467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  <c r="AA100" s="467"/>
      <c r="AB100" s="467"/>
      <c r="AC100" s="467"/>
      <c r="AD100" s="467"/>
    </row>
    <row r="101" spans="1:30" ht="14.1" customHeight="1">
      <c r="A101" s="490" t="s">
        <v>11</v>
      </c>
      <c r="B101" s="493" t="s">
        <v>12</v>
      </c>
      <c r="C101" s="494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499" t="s">
        <v>4</v>
      </c>
      <c r="O101" s="500" t="s">
        <v>5</v>
      </c>
      <c r="P101" s="500" t="s">
        <v>13</v>
      </c>
      <c r="Q101" s="484" t="s">
        <v>14</v>
      </c>
      <c r="R101" s="484" t="s">
        <v>6</v>
      </c>
      <c r="S101" s="76" t="s">
        <v>52</v>
      </c>
      <c r="T101" s="82" t="s">
        <v>33</v>
      </c>
      <c r="U101" s="485" t="s">
        <v>15</v>
      </c>
      <c r="V101" s="12"/>
      <c r="W101" s="486" t="s">
        <v>16</v>
      </c>
      <c r="X101" s="82" t="s">
        <v>34</v>
      </c>
      <c r="Y101" s="82" t="s">
        <v>33</v>
      </c>
      <c r="Z101" s="82" t="s">
        <v>35</v>
      </c>
      <c r="AA101" s="82" t="s">
        <v>36</v>
      </c>
      <c r="AB101" s="487" t="s">
        <v>37</v>
      </c>
      <c r="AC101" s="82" t="s">
        <v>58</v>
      </c>
      <c r="AD101" s="487" t="s">
        <v>38</v>
      </c>
    </row>
    <row r="102" spans="1:30" ht="14.1" customHeight="1">
      <c r="A102" s="491"/>
      <c r="B102" s="495"/>
      <c r="C102" s="496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499"/>
      <c r="O102" s="500"/>
      <c r="P102" s="500"/>
      <c r="Q102" s="484"/>
      <c r="R102" s="484"/>
      <c r="S102" s="77" t="s">
        <v>53</v>
      </c>
      <c r="T102" s="83" t="s">
        <v>39</v>
      </c>
      <c r="U102" s="485"/>
      <c r="V102" s="12"/>
      <c r="W102" s="486"/>
      <c r="X102" s="83" t="s">
        <v>40</v>
      </c>
      <c r="Y102" s="83" t="s">
        <v>41</v>
      </c>
      <c r="Z102" s="83" t="s">
        <v>42</v>
      </c>
      <c r="AA102" s="83" t="s">
        <v>43</v>
      </c>
      <c r="AB102" s="488"/>
      <c r="AC102" s="83" t="s">
        <v>59</v>
      </c>
      <c r="AD102" s="488"/>
    </row>
    <row r="103" spans="1:30" ht="14.1" customHeight="1">
      <c r="A103" s="491"/>
      <c r="B103" s="495"/>
      <c r="C103" s="496"/>
      <c r="D103" s="14" t="s">
        <v>17</v>
      </c>
      <c r="E103" s="14" t="s">
        <v>18</v>
      </c>
      <c r="F103" s="15" t="s">
        <v>0</v>
      </c>
      <c r="G103" s="15" t="s">
        <v>1</v>
      </c>
      <c r="H103" s="85" t="s">
        <v>19</v>
      </c>
      <c r="I103" s="16" t="s">
        <v>2</v>
      </c>
      <c r="J103" s="15" t="s">
        <v>3</v>
      </c>
      <c r="K103" s="85"/>
      <c r="L103" s="15" t="s">
        <v>20</v>
      </c>
      <c r="M103" s="15" t="s">
        <v>21</v>
      </c>
      <c r="N103" s="499"/>
      <c r="O103" s="500"/>
      <c r="P103" s="500"/>
      <c r="Q103" s="484"/>
      <c r="R103" s="484"/>
      <c r="S103" s="77" t="s">
        <v>54</v>
      </c>
      <c r="T103" s="83" t="s">
        <v>44</v>
      </c>
      <c r="U103" s="485"/>
      <c r="V103" s="12"/>
      <c r="W103" s="486"/>
      <c r="X103" s="83" t="s">
        <v>44</v>
      </c>
      <c r="Y103" s="83" t="s">
        <v>45</v>
      </c>
      <c r="Z103" s="83" t="s">
        <v>46</v>
      </c>
      <c r="AA103" s="83" t="s">
        <v>72</v>
      </c>
      <c r="AB103" s="488"/>
      <c r="AC103" s="83"/>
      <c r="AD103" s="488"/>
    </row>
    <row r="104" spans="1:30" ht="14.1" customHeight="1">
      <c r="A104" s="492"/>
      <c r="B104" s="497"/>
      <c r="C104" s="498"/>
      <c r="D104" s="11"/>
      <c r="E104" s="11"/>
      <c r="F104" s="17"/>
      <c r="G104" s="17"/>
      <c r="H104" s="17"/>
      <c r="I104" s="86"/>
      <c r="J104" s="17"/>
      <c r="K104" s="17"/>
      <c r="L104" s="17"/>
      <c r="M104" s="17"/>
      <c r="N104" s="499"/>
      <c r="O104" s="500"/>
      <c r="P104" s="500"/>
      <c r="Q104" s="484"/>
      <c r="R104" s="484"/>
      <c r="S104" s="78" t="s">
        <v>55</v>
      </c>
      <c r="T104" s="84" t="s">
        <v>47</v>
      </c>
      <c r="U104" s="485"/>
      <c r="V104" s="12"/>
      <c r="W104" s="486"/>
      <c r="X104" s="84" t="s">
        <v>47</v>
      </c>
      <c r="Y104" s="84" t="s">
        <v>48</v>
      </c>
      <c r="Z104" s="84" t="s">
        <v>49</v>
      </c>
      <c r="AA104" s="84"/>
      <c r="AB104" s="489"/>
      <c r="AC104" s="84" t="s">
        <v>60</v>
      </c>
      <c r="AD104" s="489"/>
    </row>
    <row r="105" spans="1:30" ht="14.1" customHeight="1">
      <c r="A105" s="471" t="str">
        <f>IF(B105="","",1)</f>
        <v/>
      </c>
      <c r="B105" s="348"/>
      <c r="C105" s="54"/>
      <c r="D105" s="472">
        <f>TRUNC(C105)+((C105-TRUNC(C105))/0.6)</f>
        <v>0</v>
      </c>
      <c r="E105" s="472">
        <f>TRUNC(C106)+((C106-TRUNC(C106))/0.6)</f>
        <v>0</v>
      </c>
      <c r="F105" s="473">
        <f>ROUND(((LOG10(TAN(PI()/4+(D105/2*PI()/180)))*7915.7046)-(3437.7468*((0.0816968^2*SIN(D105*PI()/180))+(0.0816968^4/3*((SIN(D105*PI()/180))^3))+(0.0816968^6/5*((SIN(D105*PI()/180))^5))))),2)</f>
        <v>0</v>
      </c>
      <c r="G105" s="58"/>
      <c r="H105" s="464">
        <f>IF(E105&lt;0,E105+360,E105)</f>
        <v>0</v>
      </c>
      <c r="I105" s="88"/>
      <c r="J105" s="58"/>
      <c r="K105" s="58"/>
      <c r="L105" s="58"/>
      <c r="M105" s="58"/>
      <c r="N105" s="59"/>
      <c r="O105" s="60"/>
      <c r="P105" s="60"/>
      <c r="Q105" s="465" t="str">
        <f>IF(O106="","",0)</f>
        <v/>
      </c>
      <c r="R105" s="465" t="str">
        <f>IF(O104="","",R103-O104)</f>
        <v/>
      </c>
      <c r="S105" s="61"/>
      <c r="T105" s="61" t="s">
        <v>7</v>
      </c>
      <c r="U105" s="62"/>
      <c r="V105" s="63"/>
      <c r="W105" s="482"/>
      <c r="X105" s="61"/>
      <c r="Y105" s="61"/>
      <c r="Z105" s="61"/>
      <c r="AA105" s="61"/>
      <c r="AB105" s="52"/>
      <c r="AC105" s="68"/>
      <c r="AD105" s="483"/>
    </row>
    <row r="106" spans="1:30" ht="14.1" customHeight="1">
      <c r="A106" s="471"/>
      <c r="B106" s="349"/>
      <c r="C106" s="55"/>
      <c r="D106" s="472"/>
      <c r="E106" s="472"/>
      <c r="F106" s="473"/>
      <c r="G106" s="464">
        <f>ABS(D105-D107)*60</f>
        <v>0</v>
      </c>
      <c r="H106" s="464"/>
      <c r="I106" s="477">
        <f>ABS(H105-H107)*60</f>
        <v>0</v>
      </c>
      <c r="J106" s="478">
        <f>ABS(F105-F107)</f>
        <v>0</v>
      </c>
      <c r="K106" s="479" t="e">
        <f>IF(AND(D105&lt;D107,H105=H107),0,IF(AND(D105&gt;D107,H105=H107),180,IF(AND(D105=D107,H105&lt;H107),90,IF(AND(D105=D107,H105&gt;H107),270,(ATAN(I106/J106)*180/PI())))))</f>
        <v>#DIV/0!</v>
      </c>
      <c r="L106" s="472" t="e">
        <f>IF(OR(K106=0,K106=90,K106=180,K106=270),K106,IF(AND(D105&lt;D107,H105&lt;H107),K106,IF(AND(D105&lt;D107,H105&gt;H107),360-K106,IF(AND(D105&gt;D107,H105&lt;H107),180-K106,IF(AND(D105&gt;D107,H105&gt;H107),180+K106)))))</f>
        <v>#DIV/0!</v>
      </c>
      <c r="M106" s="472">
        <f>(IF(I106=0,G106,IF(G106=0,COS(D107*PI()/180)*I106,G106/COS(K106*PI()/180))))</f>
        <v>0</v>
      </c>
      <c r="N106" s="468" t="str">
        <f>IF(C108="","",ROUND(L106,1))</f>
        <v/>
      </c>
      <c r="O106" s="469" t="str">
        <f>IF(C108="","",ROUND(M106,1))</f>
        <v/>
      </c>
      <c r="P106" s="353"/>
      <c r="Q106" s="465"/>
      <c r="R106" s="465"/>
      <c r="S106" s="64"/>
      <c r="T106" s="64" t="s">
        <v>23</v>
      </c>
      <c r="U106" s="358"/>
      <c r="V106" s="470" t="e">
        <f>(O106/P106+U106/60)/24</f>
        <v>#VALUE!</v>
      </c>
      <c r="W106" s="482"/>
      <c r="X106" s="64"/>
      <c r="Y106" s="65"/>
      <c r="Z106" s="64"/>
      <c r="AA106" s="64"/>
      <c r="AB106" s="53"/>
      <c r="AC106" s="69"/>
      <c r="AD106" s="480"/>
    </row>
    <row r="107" spans="1:30" ht="14.1" customHeight="1">
      <c r="A107" s="471" t="str">
        <f>IF(B107="","",A105+1)</f>
        <v/>
      </c>
      <c r="B107" s="394"/>
      <c r="C107" s="54"/>
      <c r="D107" s="472">
        <f>TRUNC(C107)+((C107-TRUNC(C107))/0.6)</f>
        <v>0</v>
      </c>
      <c r="E107" s="472">
        <f>TRUNC(C108)+((C108-TRUNC(C108))/0.6)</f>
        <v>0</v>
      </c>
      <c r="F107" s="473">
        <f>ROUND(((LOG10(TAN(PI()/4+(D107/2*PI()/180)))*7915.7046)-(3437.7468*((0.0816968^2*SIN(D107*PI()/180))+(0.0816968^4/3*((SIN(D107*PI()/180))^3))+(0.0816968^6/5*((SIN(D107*PI()/180))^5))))),2)</f>
        <v>0</v>
      </c>
      <c r="G107" s="464"/>
      <c r="H107" s="464">
        <f>IF(E107&lt;0,E107+360,E107)</f>
        <v>0</v>
      </c>
      <c r="I107" s="477"/>
      <c r="J107" s="478"/>
      <c r="K107" s="479"/>
      <c r="L107" s="472"/>
      <c r="M107" s="472"/>
      <c r="N107" s="468"/>
      <c r="O107" s="469"/>
      <c r="P107" s="353"/>
      <c r="Q107" s="465" t="str">
        <f>IF(O106="","",Q105+O106)</f>
        <v/>
      </c>
      <c r="R107" s="465" t="str">
        <f>IF(O106="","",R105-O106)</f>
        <v/>
      </c>
      <c r="S107" s="61"/>
      <c r="T107" s="61" t="s">
        <v>7</v>
      </c>
      <c r="U107" s="355"/>
      <c r="V107" s="470"/>
      <c r="W107" s="466" t="str">
        <f>IF(P106="","",W105+V106)</f>
        <v/>
      </c>
      <c r="X107" s="61"/>
      <c r="Y107" s="61"/>
      <c r="Z107" s="61"/>
      <c r="AA107" s="61"/>
      <c r="AB107" s="52"/>
      <c r="AC107" s="68"/>
      <c r="AD107" s="480"/>
    </row>
    <row r="108" spans="1:30" ht="14.1" customHeight="1">
      <c r="A108" s="471"/>
      <c r="B108" s="395"/>
      <c r="C108" s="55"/>
      <c r="D108" s="472"/>
      <c r="E108" s="472"/>
      <c r="F108" s="473"/>
      <c r="G108" s="464">
        <f>ABS(D107-D109)*60</f>
        <v>0</v>
      </c>
      <c r="H108" s="464"/>
      <c r="I108" s="477">
        <f>ABS(H107-H109)*60</f>
        <v>0</v>
      </c>
      <c r="J108" s="478">
        <f>ABS(F107-F109)</f>
        <v>0</v>
      </c>
      <c r="K108" s="479" t="e">
        <f>IF(AND(D107&lt;D109,H107=H109),0,IF(AND(D107&gt;D109,H107=H109),180,IF(AND(D107=D109,H107&lt;H109),90,IF(AND(D107=D109,H107&gt;H109),270,(ATAN(I108/J108)*180/PI())))))</f>
        <v>#DIV/0!</v>
      </c>
      <c r="L108" s="472" t="e">
        <f>IF(OR(K108=0,K108=90,K108=180,K108=270),K108,IF(AND(D107&lt;D109,H107&lt;H109),K108,IF(AND(D107&lt;D109,H107&gt;H109),360-K108,IF(AND(D107&gt;D109,H107&lt;H109),180-K108,IF(AND(D107&gt;D109,H107&gt;H109),180+K108)))))</f>
        <v>#DIV/0!</v>
      </c>
      <c r="M108" s="472">
        <f>(IF(I108=0,G108,IF(G108=0,COS(D109*PI()/180)*I108,G108/COS(K108*PI()/180))))</f>
        <v>0</v>
      </c>
      <c r="N108" s="468" t="str">
        <f>IF(C110="","",ROUND(L108,1))</f>
        <v/>
      </c>
      <c r="O108" s="469" t="str">
        <f>IF(C110="","",ROUND(M108,1))</f>
        <v/>
      </c>
      <c r="P108" s="353"/>
      <c r="Q108" s="465"/>
      <c r="R108" s="465"/>
      <c r="S108" s="64"/>
      <c r="T108" s="64" t="s">
        <v>23</v>
      </c>
      <c r="U108" s="358"/>
      <c r="V108" s="470" t="e">
        <f>(O108/P108+U108/60)/24</f>
        <v>#VALUE!</v>
      </c>
      <c r="W108" s="466"/>
      <c r="X108" s="64"/>
      <c r="Y108" s="65"/>
      <c r="Z108" s="64"/>
      <c r="AA108" s="64"/>
      <c r="AB108" s="53"/>
      <c r="AC108" s="69"/>
      <c r="AD108" s="480"/>
    </row>
    <row r="109" spans="1:30" ht="14.1" customHeight="1">
      <c r="A109" s="471" t="str">
        <f>IF(B109="","",A107+1)</f>
        <v/>
      </c>
      <c r="B109" s="392"/>
      <c r="C109" s="54"/>
      <c r="D109" s="472">
        <f>TRUNC(C109)+((C109-TRUNC(C109))/0.6)</f>
        <v>0</v>
      </c>
      <c r="E109" s="472">
        <f>TRUNC(C110)+((C110-TRUNC(C110))/0.6)</f>
        <v>0</v>
      </c>
      <c r="F109" s="473">
        <f>ROUND(((LOG10(TAN(PI()/4+(D109/2*PI()/180)))*7915.7046)-(3437.7468*((0.0816968^2*SIN(D109*PI()/180))+(0.0816968^4/3*((SIN(D109*PI()/180))^3))+(0.0816968^6/5*((SIN(D109*PI()/180))^5))))),2)</f>
        <v>0</v>
      </c>
      <c r="G109" s="464"/>
      <c r="H109" s="464">
        <f>IF(E109&lt;0,E109+360,E109)</f>
        <v>0</v>
      </c>
      <c r="I109" s="477"/>
      <c r="J109" s="478"/>
      <c r="K109" s="479"/>
      <c r="L109" s="472"/>
      <c r="M109" s="472"/>
      <c r="N109" s="468"/>
      <c r="O109" s="469"/>
      <c r="P109" s="353"/>
      <c r="Q109" s="465" t="str">
        <f>IF(O108="","",Q107+O108)</f>
        <v/>
      </c>
      <c r="R109" s="465" t="str">
        <f>IF(O108="","",R107-O108)</f>
        <v/>
      </c>
      <c r="S109" s="61"/>
      <c r="T109" s="61" t="s">
        <v>7</v>
      </c>
      <c r="U109" s="355"/>
      <c r="V109" s="470"/>
      <c r="W109" s="466" t="str">
        <f>IF(P108="","",W107+V108)</f>
        <v/>
      </c>
      <c r="X109" s="61"/>
      <c r="Y109" s="61"/>
      <c r="Z109" s="61"/>
      <c r="AA109" s="61"/>
      <c r="AB109" s="52"/>
      <c r="AC109" s="68"/>
      <c r="AD109" s="480"/>
    </row>
    <row r="110" spans="1:30" ht="14.1" customHeight="1">
      <c r="A110" s="471"/>
      <c r="B110" s="392"/>
      <c r="C110" s="55"/>
      <c r="D110" s="472"/>
      <c r="E110" s="472"/>
      <c r="F110" s="473"/>
      <c r="G110" s="464">
        <f>ABS(D109-D111)*60</f>
        <v>0</v>
      </c>
      <c r="H110" s="464"/>
      <c r="I110" s="477">
        <f>ABS(H109-H111)*60</f>
        <v>0</v>
      </c>
      <c r="J110" s="478">
        <f>ABS(F109-F111)</f>
        <v>0</v>
      </c>
      <c r="K110" s="479" t="e">
        <f>IF(AND(D109&lt;D111,H109=H111),0,IF(AND(D109&gt;D111,H109=H111),180,IF(AND(D109=D111,H109&lt;H111),90,IF(AND(D109=D111,H109&gt;H111),270,(ATAN(I110/J110)*180/PI())))))</f>
        <v>#DIV/0!</v>
      </c>
      <c r="L110" s="472" t="e">
        <f>IF(OR(K110=0,K110=90,K110=180,K110=270),K110,IF(AND(D109&lt;D111,H109&lt;H111),K110,IF(AND(D109&lt;D111,H109&gt;H111),360-K110,IF(AND(D109&gt;D111,H109&lt;H111),180-K110,IF(AND(D109&gt;D111,H109&gt;H111),180+K110)))))</f>
        <v>#DIV/0!</v>
      </c>
      <c r="M110" s="472">
        <f>(IF(I110=0,G110,IF(G110=0,COS(D111*PI()/180)*I110,G110/COS(K110*PI()/180))))</f>
        <v>0</v>
      </c>
      <c r="N110" s="468" t="str">
        <f>IF(C112="","",ROUND(L110,1))</f>
        <v/>
      </c>
      <c r="O110" s="469" t="str">
        <f>IF(C112="","",ROUND(M110,1))</f>
        <v/>
      </c>
      <c r="P110" s="353"/>
      <c r="Q110" s="465"/>
      <c r="R110" s="465"/>
      <c r="S110" s="64"/>
      <c r="T110" s="64" t="s">
        <v>23</v>
      </c>
      <c r="U110" s="358"/>
      <c r="V110" s="470" t="e">
        <f>(O110/P110+U110/60)/24</f>
        <v>#VALUE!</v>
      </c>
      <c r="W110" s="466"/>
      <c r="X110" s="64"/>
      <c r="Y110" s="65"/>
      <c r="Z110" s="64"/>
      <c r="AA110" s="64"/>
      <c r="AB110" s="53"/>
      <c r="AC110" s="69"/>
      <c r="AD110" s="480"/>
    </row>
    <row r="111" spans="1:30" ht="14.1" customHeight="1">
      <c r="A111" s="471" t="str">
        <f>IF(B111="","",A109+1)</f>
        <v/>
      </c>
      <c r="B111" s="392"/>
      <c r="C111" s="54"/>
      <c r="D111" s="472">
        <f>TRUNC(C111)+((C111-TRUNC(C111))/0.6)</f>
        <v>0</v>
      </c>
      <c r="E111" s="472">
        <f>TRUNC(C112)+((C112-TRUNC(C112))/0.6)</f>
        <v>0</v>
      </c>
      <c r="F111" s="473">
        <f>ROUND(((LOG10(TAN(PI()/4+(D111/2*PI()/180)))*7915.7046)-(3437.7468*((0.0816968^2*SIN(D111*PI()/180))+(0.0816968^4/3*((SIN(D111*PI()/180))^3))+(0.0816968^6/5*((SIN(D111*PI()/180))^5))))),2)</f>
        <v>0</v>
      </c>
      <c r="G111" s="464"/>
      <c r="H111" s="464">
        <f>IF(E111&lt;0,E111+360,E111)</f>
        <v>0</v>
      </c>
      <c r="I111" s="477"/>
      <c r="J111" s="478"/>
      <c r="K111" s="479"/>
      <c r="L111" s="472"/>
      <c r="M111" s="472"/>
      <c r="N111" s="468"/>
      <c r="O111" s="469"/>
      <c r="P111" s="353"/>
      <c r="Q111" s="465" t="str">
        <f>IF(O110="","",Q109+O110)</f>
        <v/>
      </c>
      <c r="R111" s="465" t="str">
        <f>IF(O110="","",R109-O110)</f>
        <v/>
      </c>
      <c r="S111" s="61"/>
      <c r="T111" s="61" t="s">
        <v>7</v>
      </c>
      <c r="U111" s="355"/>
      <c r="V111" s="470"/>
      <c r="W111" s="466" t="str">
        <f>IF(P110="","",W109+V110)</f>
        <v/>
      </c>
      <c r="X111" s="61"/>
      <c r="Y111" s="61"/>
      <c r="Z111" s="61"/>
      <c r="AA111" s="61"/>
      <c r="AB111" s="52"/>
      <c r="AC111" s="68"/>
      <c r="AD111" s="480"/>
    </row>
    <row r="112" spans="1:30" ht="14.1" customHeight="1">
      <c r="A112" s="471"/>
      <c r="B112" s="392"/>
      <c r="C112" s="55"/>
      <c r="D112" s="472"/>
      <c r="E112" s="472"/>
      <c r="F112" s="473"/>
      <c r="G112" s="464">
        <f>ABS(D111-D113)*60</f>
        <v>0</v>
      </c>
      <c r="H112" s="464"/>
      <c r="I112" s="477">
        <f>ABS(H111-H113)*60</f>
        <v>0</v>
      </c>
      <c r="J112" s="478">
        <f>ABS(F111-F113)</f>
        <v>0</v>
      </c>
      <c r="K112" s="479" t="e">
        <f>IF(AND(D111&lt;D113,H111=H113),0,IF(AND(D111&gt;D113,H111=H113),180,IF(AND(D111=D113,H111&lt;H113),90,IF(AND(D111=D113,H111&gt;H113),270,(ATAN(I112/J112)*180/PI())))))</f>
        <v>#DIV/0!</v>
      </c>
      <c r="L112" s="472" t="e">
        <f>IF(OR(K112=0,K112=90,K112=180,K112=270),K112,IF(AND(D111&lt;D113,H111&lt;H113),K112,IF(AND(D111&lt;D113,H111&gt;H113),360-K112,IF(AND(D111&gt;D113,H111&lt;H113),180-K112,IF(AND(D111&gt;D113,H111&gt;H113),180+K112)))))</f>
        <v>#DIV/0!</v>
      </c>
      <c r="M112" s="472">
        <f>(IF(I112=0,G112,IF(G112=0,COS(D113*PI()/180)*I112,G112/COS(K112*PI()/180))))</f>
        <v>0</v>
      </c>
      <c r="N112" s="468" t="str">
        <f>IF(C114="","",ROUND(L112,1))</f>
        <v/>
      </c>
      <c r="O112" s="469" t="str">
        <f>IF(C114="","",ROUND(M112,1))</f>
        <v/>
      </c>
      <c r="P112" s="353"/>
      <c r="Q112" s="465"/>
      <c r="R112" s="465"/>
      <c r="S112" s="64"/>
      <c r="T112" s="64" t="s">
        <v>23</v>
      </c>
      <c r="U112" s="358"/>
      <c r="V112" s="470" t="e">
        <f>(O112/P112+U112/60)/24</f>
        <v>#VALUE!</v>
      </c>
      <c r="W112" s="466"/>
      <c r="X112" s="64"/>
      <c r="Y112" s="65"/>
      <c r="Z112" s="64"/>
      <c r="AA112" s="64"/>
      <c r="AB112" s="53"/>
      <c r="AC112" s="69"/>
      <c r="AD112" s="480"/>
    </row>
    <row r="113" spans="1:30" ht="14.1" customHeight="1">
      <c r="A113" s="471" t="str">
        <f>IF(B113="","",A111+1)</f>
        <v/>
      </c>
      <c r="B113" s="392"/>
      <c r="C113" s="54"/>
      <c r="D113" s="472">
        <f>TRUNC(C113)+((C113-TRUNC(C113))/0.6)</f>
        <v>0</v>
      </c>
      <c r="E113" s="472">
        <f>TRUNC(C114)+((C114-TRUNC(C114))/0.6)</f>
        <v>0</v>
      </c>
      <c r="F113" s="473">
        <f>ROUND(((LOG10(TAN(PI()/4+(D113/2*PI()/180)))*7915.7046)-(3437.7468*((0.0816968^2*SIN(D113*PI()/180))+(0.0816968^4/3*((SIN(D113*PI()/180))^3))+(0.0816968^6/5*((SIN(D113*PI()/180))^5))))),2)</f>
        <v>0</v>
      </c>
      <c r="G113" s="464"/>
      <c r="H113" s="464">
        <f>IF(E113&lt;0,E113+360,E113)</f>
        <v>0</v>
      </c>
      <c r="I113" s="477"/>
      <c r="J113" s="478"/>
      <c r="K113" s="479"/>
      <c r="L113" s="472"/>
      <c r="M113" s="472"/>
      <c r="N113" s="468"/>
      <c r="O113" s="469"/>
      <c r="P113" s="353"/>
      <c r="Q113" s="465" t="str">
        <f>IF(O112="","",Q111+O112)</f>
        <v/>
      </c>
      <c r="R113" s="465" t="str">
        <f>IF(O112="","",R111-O112)</f>
        <v/>
      </c>
      <c r="S113" s="61"/>
      <c r="T113" s="61" t="s">
        <v>7</v>
      </c>
      <c r="U113" s="355"/>
      <c r="V113" s="470"/>
      <c r="W113" s="466" t="str">
        <f>IF(P112="","",W111+V112)</f>
        <v/>
      </c>
      <c r="X113" s="61"/>
      <c r="Y113" s="61"/>
      <c r="Z113" s="61"/>
      <c r="AA113" s="61"/>
      <c r="AB113" s="52"/>
      <c r="AC113" s="68"/>
      <c r="AD113" s="480"/>
    </row>
    <row r="114" spans="1:30" ht="14.1" customHeight="1">
      <c r="A114" s="471"/>
      <c r="B114" s="392"/>
      <c r="C114" s="55"/>
      <c r="D114" s="472"/>
      <c r="E114" s="472"/>
      <c r="F114" s="473"/>
      <c r="G114" s="464">
        <f>ABS(D113-D115)*60</f>
        <v>0</v>
      </c>
      <c r="H114" s="464"/>
      <c r="I114" s="477">
        <f>ABS(H113-H115)*60</f>
        <v>0</v>
      </c>
      <c r="J114" s="478">
        <f>ABS(F113-F115)</f>
        <v>0</v>
      </c>
      <c r="K114" s="479" t="e">
        <f>IF(AND(D113&lt;D115,H113=H115),0,IF(AND(D113&gt;D115,H113=H115),180,IF(AND(D113=D115,H113&lt;H115),90,IF(AND(D113=D115,H113&gt;H115),270,(ATAN(I114/J114)*180/PI())))))</f>
        <v>#DIV/0!</v>
      </c>
      <c r="L114" s="472" t="e">
        <f>IF(OR(K114=0,K114=90,K114=180,K114=270),K114,IF(AND(D113&lt;D115,H113&lt;H115),K114,IF(AND(D113&lt;D115,H113&gt;H115),360-K114,IF(AND(D113&gt;D115,H113&lt;H115),180-K114,IF(AND(D113&gt;D115,H113&gt;H115),180+K114)))))</f>
        <v>#DIV/0!</v>
      </c>
      <c r="M114" s="472">
        <f>(IF(I114=0,G114,IF(G114=0,COS(D115*PI()/180)*I114,G114/COS(K114*PI()/180))))</f>
        <v>0</v>
      </c>
      <c r="N114" s="468" t="str">
        <f>IF(C116="","",ROUND(L114,1))</f>
        <v/>
      </c>
      <c r="O114" s="469" t="str">
        <f>IF(C116="","",ROUND(M114,1))</f>
        <v/>
      </c>
      <c r="P114" s="353"/>
      <c r="Q114" s="465"/>
      <c r="R114" s="465"/>
      <c r="S114" s="64"/>
      <c r="T114" s="64" t="s">
        <v>24</v>
      </c>
      <c r="U114" s="358"/>
      <c r="V114" s="470" t="e">
        <f>(O114/P114+U114/60)/24</f>
        <v>#VALUE!</v>
      </c>
      <c r="W114" s="466"/>
      <c r="X114" s="64"/>
      <c r="Y114" s="65"/>
      <c r="Z114" s="64"/>
      <c r="AA114" s="64"/>
      <c r="AB114" s="53"/>
      <c r="AC114" s="69"/>
      <c r="AD114" s="480"/>
    </row>
    <row r="115" spans="1:30" ht="14.1" customHeight="1">
      <c r="A115" s="471" t="str">
        <f>IF(B115="","",A113+1)</f>
        <v/>
      </c>
      <c r="B115" s="392"/>
      <c r="C115" s="54"/>
      <c r="D115" s="472">
        <f>TRUNC(C115)+((C115-TRUNC(C115))/0.6)</f>
        <v>0</v>
      </c>
      <c r="E115" s="472">
        <f>TRUNC(C116)+((C116-TRUNC(C116))/0.6)</f>
        <v>0</v>
      </c>
      <c r="F115" s="473">
        <f>ROUND(((LOG10(TAN(PI()/4+(D115/2*PI()/180)))*7915.7046)-(3437.7468*((0.0816968^2*SIN(D115*PI()/180))+(0.0816968^4/3*((SIN(D115*PI()/180))^3))+(0.0816968^6/5*((SIN(D115*PI()/180))^5))))),2)</f>
        <v>0</v>
      </c>
      <c r="G115" s="464"/>
      <c r="H115" s="464">
        <f>IF(E115&lt;0,E115+360,E115)</f>
        <v>0</v>
      </c>
      <c r="I115" s="477"/>
      <c r="J115" s="478"/>
      <c r="K115" s="479"/>
      <c r="L115" s="472"/>
      <c r="M115" s="472"/>
      <c r="N115" s="468"/>
      <c r="O115" s="469"/>
      <c r="P115" s="353"/>
      <c r="Q115" s="465" t="str">
        <f>IF(O114="","",Q113+O114)</f>
        <v/>
      </c>
      <c r="R115" s="465" t="str">
        <f>IF(O114="","",R113-O114)</f>
        <v/>
      </c>
      <c r="S115" s="61"/>
      <c r="T115" s="61" t="s">
        <v>7</v>
      </c>
      <c r="U115" s="355"/>
      <c r="V115" s="470"/>
      <c r="W115" s="466" t="str">
        <f>IF(P114="","",W113+V114)</f>
        <v/>
      </c>
      <c r="X115" s="61"/>
      <c r="Y115" s="61"/>
      <c r="Z115" s="61"/>
      <c r="AA115" s="61"/>
      <c r="AB115" s="52"/>
      <c r="AC115" s="68"/>
      <c r="AD115" s="480"/>
    </row>
    <row r="116" spans="1:30" ht="14.1" customHeight="1">
      <c r="A116" s="471"/>
      <c r="B116" s="392"/>
      <c r="C116" s="55"/>
      <c r="D116" s="472"/>
      <c r="E116" s="472"/>
      <c r="F116" s="473"/>
      <c r="G116" s="464">
        <f>ABS(D115-D117)*60</f>
        <v>0</v>
      </c>
      <c r="H116" s="464"/>
      <c r="I116" s="477">
        <f>ABS(H115-H117)*60</f>
        <v>0</v>
      </c>
      <c r="J116" s="478">
        <f>ABS(F115-F117)</f>
        <v>0</v>
      </c>
      <c r="K116" s="479" t="e">
        <f>IF(AND(D115&lt;D117,H115=H117),0,IF(AND(D115&gt;D117,H115=H117),180,IF(AND(D115=D117,H115&lt;H117),90,IF(AND(D115=D117,H115&gt;H117),270,(ATAN(I116/J116)*180/PI())))))</f>
        <v>#DIV/0!</v>
      </c>
      <c r="L116" s="472" t="e">
        <f>IF(OR(K116=0,K116=90,K116=180,K116=270),K116,IF(AND(D115&lt;D117,H115&lt;H117),K116,IF(AND(D115&lt;D117,H115&gt;H117),360-K116,IF(AND(D115&gt;D117,H115&lt;H117),180-K116,IF(AND(D115&gt;D117,H115&gt;H117),180+K116)))))</f>
        <v>#DIV/0!</v>
      </c>
      <c r="M116" s="472">
        <f>(IF(I116=0,G116,IF(G116=0,COS(D117*PI()/180)*I116,G116/COS(K116*PI()/180))))</f>
        <v>0</v>
      </c>
      <c r="N116" s="468" t="str">
        <f>IF(C118="","",ROUND(L116,1))</f>
        <v/>
      </c>
      <c r="O116" s="469" t="str">
        <f>IF(C118="","",ROUND(M116,1))</f>
        <v/>
      </c>
      <c r="P116" s="353"/>
      <c r="Q116" s="465"/>
      <c r="R116" s="465"/>
      <c r="S116" s="64"/>
      <c r="T116" s="64" t="s">
        <v>23</v>
      </c>
      <c r="U116" s="358"/>
      <c r="V116" s="470" t="e">
        <f>(O116/P116+U116/60)/24</f>
        <v>#VALUE!</v>
      </c>
      <c r="W116" s="466"/>
      <c r="X116" s="64"/>
      <c r="Y116" s="65"/>
      <c r="Z116" s="64"/>
      <c r="AA116" s="64"/>
      <c r="AB116" s="53"/>
      <c r="AC116" s="69"/>
      <c r="AD116" s="480"/>
    </row>
    <row r="117" spans="1:30" ht="14.1" customHeight="1">
      <c r="A117" s="471" t="str">
        <f>IF(B117="","",A115+1)</f>
        <v/>
      </c>
      <c r="B117" s="392"/>
      <c r="C117" s="54"/>
      <c r="D117" s="472">
        <f>TRUNC(C117)+((C117-TRUNC(C117))/0.6)</f>
        <v>0</v>
      </c>
      <c r="E117" s="472">
        <f>TRUNC(C118)+((C118-TRUNC(C118))/0.6)</f>
        <v>0</v>
      </c>
      <c r="F117" s="473">
        <f>ROUND(((LOG10(TAN(PI()/4+(D117/2*PI()/180)))*7915.7046)-(3437.7468*((0.0816968^2*SIN(D117*PI()/180))+(0.0816968^4/3*((SIN(D117*PI()/180))^3))+(0.0816968^6/5*((SIN(D117*PI()/180))^5))))),2)</f>
        <v>0</v>
      </c>
      <c r="G117" s="464"/>
      <c r="H117" s="464">
        <f>IF(E117&lt;0,E117+360,E117)</f>
        <v>0</v>
      </c>
      <c r="I117" s="477"/>
      <c r="J117" s="478"/>
      <c r="K117" s="479"/>
      <c r="L117" s="472"/>
      <c r="M117" s="472"/>
      <c r="N117" s="468"/>
      <c r="O117" s="469"/>
      <c r="P117" s="353"/>
      <c r="Q117" s="465" t="str">
        <f>IF(O116="","",Q115+O116)</f>
        <v/>
      </c>
      <c r="R117" s="465" t="str">
        <f>IF(O116="","",R115-O116)</f>
        <v/>
      </c>
      <c r="S117" s="61"/>
      <c r="T117" s="61" t="s">
        <v>25</v>
      </c>
      <c r="U117" s="355"/>
      <c r="V117" s="470"/>
      <c r="W117" s="466" t="str">
        <f>IF(P116="","",W115+V116)</f>
        <v/>
      </c>
      <c r="X117" s="61"/>
      <c r="Y117" s="61"/>
      <c r="Z117" s="61"/>
      <c r="AA117" s="61"/>
      <c r="AB117" s="52"/>
      <c r="AC117" s="68"/>
      <c r="AD117" s="480"/>
    </row>
    <row r="118" spans="1:30" ht="14.1" customHeight="1">
      <c r="A118" s="471"/>
      <c r="B118" s="392"/>
      <c r="C118" s="55"/>
      <c r="D118" s="472"/>
      <c r="E118" s="472"/>
      <c r="F118" s="473"/>
      <c r="G118" s="464">
        <f>ABS(D117-D119)*60</f>
        <v>0</v>
      </c>
      <c r="H118" s="464"/>
      <c r="I118" s="477">
        <f>ABS(H117-H119)*60</f>
        <v>0</v>
      </c>
      <c r="J118" s="478">
        <f>ABS(F117-F119)</f>
        <v>0</v>
      </c>
      <c r="K118" s="479" t="e">
        <f>IF(AND(D117&lt;D119,H117=H119),0,IF(AND(D117&gt;D119,H117=H119),180,IF(AND(D117=D119,H117&lt;H119),90,IF(AND(D117=D119,H117&gt;H119),270,(ATAN(I118/J118)*180/PI())))))</f>
        <v>#DIV/0!</v>
      </c>
      <c r="L118" s="472" t="e">
        <f>IF(OR(K118=0,K118=90,K118=180,K118=270),K118,IF(AND(D117&lt;D119,H117&lt;H119),K118,IF(AND(D117&lt;D119,H117&gt;H119),360-K118,IF(AND(D117&gt;D119,H117&lt;H119),180-K118,IF(AND(D117&gt;D119,H117&gt;H119),180+K118)))))</f>
        <v>#DIV/0!</v>
      </c>
      <c r="M118" s="472">
        <f>(IF(I118=0,G118,IF(G118=0,COS(D119*PI()/180)*I118,G118/COS(K118*PI()/180))))</f>
        <v>0</v>
      </c>
      <c r="N118" s="468" t="str">
        <f>IF(C120="","",ROUND(L118,1))</f>
        <v/>
      </c>
      <c r="O118" s="469" t="str">
        <f>IF(C120="","",ROUND(M118,1))</f>
        <v/>
      </c>
      <c r="P118" s="353"/>
      <c r="Q118" s="465"/>
      <c r="R118" s="465"/>
      <c r="S118" s="64"/>
      <c r="T118" s="64" t="s">
        <v>24</v>
      </c>
      <c r="U118" s="358"/>
      <c r="V118" s="470" t="e">
        <f>(O118/P118+U118/60)/24</f>
        <v>#VALUE!</v>
      </c>
      <c r="W118" s="466"/>
      <c r="X118" s="64"/>
      <c r="Y118" s="65"/>
      <c r="Z118" s="64"/>
      <c r="AA118" s="64"/>
      <c r="AB118" s="53"/>
      <c r="AC118" s="69"/>
      <c r="AD118" s="480"/>
    </row>
    <row r="119" spans="1:30" ht="14.1" customHeight="1">
      <c r="A119" s="471" t="str">
        <f>IF(B119="","",A117+1)</f>
        <v/>
      </c>
      <c r="B119" s="392"/>
      <c r="C119" s="54"/>
      <c r="D119" s="472">
        <f>TRUNC(C119)+((C119-TRUNC(C119))/0.6)</f>
        <v>0</v>
      </c>
      <c r="E119" s="472">
        <f>TRUNC(C120)+((C120-TRUNC(C120))/0.6)</f>
        <v>0</v>
      </c>
      <c r="F119" s="473">
        <f>ROUND(((LOG10(TAN(PI()/4+(D119/2*PI()/180)))*7915.7046)-(3437.7468*((0.0816968^2*SIN(D119*PI()/180))+(0.0816968^4/3*((SIN(D119*PI()/180))^3))+(0.0816968^6/5*((SIN(D119*PI()/180))^5))))),2)</f>
        <v>0</v>
      </c>
      <c r="G119" s="464"/>
      <c r="H119" s="464">
        <f>IF(E119&lt;0,E119+360,E119)</f>
        <v>0</v>
      </c>
      <c r="I119" s="477"/>
      <c r="J119" s="478"/>
      <c r="K119" s="479"/>
      <c r="L119" s="472"/>
      <c r="M119" s="472"/>
      <c r="N119" s="468"/>
      <c r="O119" s="469"/>
      <c r="P119" s="353"/>
      <c r="Q119" s="465" t="str">
        <f>IF(O118="","",Q117+O118)</f>
        <v/>
      </c>
      <c r="R119" s="465" t="str">
        <f>IF(O118="","",R117-O118)</f>
        <v/>
      </c>
      <c r="S119" s="61"/>
      <c r="T119" s="61" t="s">
        <v>25</v>
      </c>
      <c r="U119" s="355"/>
      <c r="V119" s="470"/>
      <c r="W119" s="466" t="str">
        <f>IF(P118="","",W117+V118)</f>
        <v/>
      </c>
      <c r="X119" s="61"/>
      <c r="Y119" s="61"/>
      <c r="Z119" s="61"/>
      <c r="AA119" s="61"/>
      <c r="AB119" s="52"/>
      <c r="AC119" s="68"/>
      <c r="AD119" s="480"/>
    </row>
    <row r="120" spans="1:30" ht="14.1" customHeight="1">
      <c r="A120" s="471"/>
      <c r="B120" s="392"/>
      <c r="C120" s="55"/>
      <c r="D120" s="472"/>
      <c r="E120" s="472"/>
      <c r="F120" s="473"/>
      <c r="G120" s="464">
        <f>ABS(D119-D121)*60</f>
        <v>0</v>
      </c>
      <c r="H120" s="464"/>
      <c r="I120" s="477">
        <f>ABS(H119-H121)*60</f>
        <v>0</v>
      </c>
      <c r="J120" s="478">
        <f>ABS(F119-F121)</f>
        <v>0</v>
      </c>
      <c r="K120" s="479" t="e">
        <f>IF(AND(D119&lt;D121,H119=H121),0,IF(AND(D119&gt;D121,H119=H121),180,IF(AND(D119=D121,H119&lt;H121),90,IF(AND(D119=D121,H119&gt;H121),270,(ATAN(I120/J120)*180/PI())))))</f>
        <v>#DIV/0!</v>
      </c>
      <c r="L120" s="472" t="e">
        <f>IF(OR(K120=0,K120=90,K120=180,K120=270),K120,IF(AND(D119&lt;D121,H119&lt;H121),K120,IF(AND(D119&lt;D121,H119&gt;H121),360-K120,IF(AND(D119&gt;D121,H119&lt;H121),180-K120,IF(AND(D119&gt;D121,H119&gt;H121),180+K120)))))</f>
        <v>#DIV/0!</v>
      </c>
      <c r="M120" s="472">
        <f>(IF(I120=0,G120,IF(G120=0,COS(D121*PI()/180)*I120,G120/COS(K120*PI()/180))))</f>
        <v>0</v>
      </c>
      <c r="N120" s="468" t="str">
        <f>IF(C122="","",ROUND(L120,1))</f>
        <v/>
      </c>
      <c r="O120" s="469" t="str">
        <f>IF(C122="","",ROUND(M120,1))</f>
        <v/>
      </c>
      <c r="P120" s="353"/>
      <c r="Q120" s="465"/>
      <c r="R120" s="465"/>
      <c r="S120" s="64"/>
      <c r="T120" s="64" t="s">
        <v>24</v>
      </c>
      <c r="U120" s="358"/>
      <c r="V120" s="470" t="e">
        <f>(O120/P120+U120/60)/24</f>
        <v>#VALUE!</v>
      </c>
      <c r="W120" s="466"/>
      <c r="X120" s="64"/>
      <c r="Y120" s="65"/>
      <c r="Z120" s="64"/>
      <c r="AA120" s="64"/>
      <c r="AB120" s="53"/>
      <c r="AC120" s="69"/>
      <c r="AD120" s="480"/>
    </row>
    <row r="121" spans="1:30" ht="14.1" customHeight="1">
      <c r="A121" s="471" t="str">
        <f>IF(B121="","",A119+1)</f>
        <v/>
      </c>
      <c r="B121" s="392"/>
      <c r="C121" s="54"/>
      <c r="D121" s="472">
        <f>TRUNC(C121)+((C121-TRUNC(C121))/0.6)</f>
        <v>0</v>
      </c>
      <c r="E121" s="472">
        <f>TRUNC(C122)+((C122-TRUNC(C122))/0.6)</f>
        <v>0</v>
      </c>
      <c r="F121" s="473">
        <f>ROUND(((LOG10(TAN(PI()/4+(D121/2*PI()/180)))*7915.7046)-(3437.7468*((0.0816968^2*SIN(D121*PI()/180))+(0.0816968^4/3*((SIN(D121*PI()/180))^3))+(0.0816968^6/5*((SIN(D121*PI()/180))^5))))),2)</f>
        <v>0</v>
      </c>
      <c r="G121" s="464"/>
      <c r="H121" s="464">
        <f>IF(E121&lt;0,E121+360,E121)</f>
        <v>0</v>
      </c>
      <c r="I121" s="477"/>
      <c r="J121" s="478"/>
      <c r="K121" s="479"/>
      <c r="L121" s="472"/>
      <c r="M121" s="472"/>
      <c r="N121" s="468"/>
      <c r="O121" s="469"/>
      <c r="P121" s="353"/>
      <c r="Q121" s="465" t="str">
        <f>IF(O120="","",Q119+O120)</f>
        <v/>
      </c>
      <c r="R121" s="465" t="str">
        <f>IF(O120="","",R119-O120)</f>
        <v/>
      </c>
      <c r="S121" s="61"/>
      <c r="T121" s="61" t="s">
        <v>30</v>
      </c>
      <c r="U121" s="355"/>
      <c r="V121" s="470"/>
      <c r="W121" s="466" t="str">
        <f>IF(P120="","",W119+V120)</f>
        <v/>
      </c>
      <c r="X121" s="61"/>
      <c r="Y121" s="61"/>
      <c r="Z121" s="61"/>
      <c r="AA121" s="61"/>
      <c r="AB121" s="52"/>
      <c r="AC121" s="68"/>
      <c r="AD121" s="480"/>
    </row>
    <row r="122" spans="1:30" ht="14.1" customHeight="1">
      <c r="A122" s="471"/>
      <c r="B122" s="392"/>
      <c r="C122" s="55"/>
      <c r="D122" s="472"/>
      <c r="E122" s="472"/>
      <c r="F122" s="473"/>
      <c r="G122" s="464">
        <f>ABS(D121-D123)*60</f>
        <v>0</v>
      </c>
      <c r="H122" s="464"/>
      <c r="I122" s="477">
        <f>ABS(H121-H123)*60</f>
        <v>0</v>
      </c>
      <c r="J122" s="478">
        <f>ABS(F121-F123)</f>
        <v>0</v>
      </c>
      <c r="K122" s="479" t="e">
        <f>IF(AND(D121&lt;D123,H121=H123),0,IF(AND(D121&gt;D123,H121=H123),180,IF(AND(D121=D123,H121&lt;H123),90,IF(AND(D121=D123,H121&gt;H123),270,(ATAN(I122/J122)*180/PI())))))</f>
        <v>#DIV/0!</v>
      </c>
      <c r="L122" s="472" t="e">
        <f>IF(OR(K122=0,K122=90,K122=180,K122=270),K122,IF(AND(D121&lt;D123,H121&lt;H123),K122,IF(AND(D121&lt;D123,H121&gt;H123),360-K122,IF(AND(D121&gt;D123,H121&lt;H123),180-K122,IF(AND(D121&gt;D123,H121&gt;H123),180+K122)))))</f>
        <v>#DIV/0!</v>
      </c>
      <c r="M122" s="472">
        <f>(IF(I122=0,G122,IF(G122=0,COS(D123*PI()/180)*I122,G122/COS(K122*PI()/180))))</f>
        <v>0</v>
      </c>
      <c r="N122" s="468" t="str">
        <f>IF(C124="","",ROUND(L122,1))</f>
        <v/>
      </c>
      <c r="O122" s="469" t="str">
        <f>IF(C124="","",ROUND(M122,1))</f>
        <v/>
      </c>
      <c r="P122" s="353"/>
      <c r="Q122" s="465"/>
      <c r="R122" s="465"/>
      <c r="S122" s="64"/>
      <c r="T122" s="64" t="s">
        <v>24</v>
      </c>
      <c r="U122" s="358"/>
      <c r="V122" s="470" t="e">
        <f>(O122/P122+U122/60)/24</f>
        <v>#VALUE!</v>
      </c>
      <c r="W122" s="466"/>
      <c r="X122" s="64"/>
      <c r="Y122" s="65"/>
      <c r="Z122" s="64"/>
      <c r="AA122" s="64"/>
      <c r="AB122" s="53"/>
      <c r="AC122" s="69"/>
      <c r="AD122" s="480"/>
    </row>
    <row r="123" spans="1:30" ht="14.1" customHeight="1">
      <c r="A123" s="471" t="str">
        <f>IF(B123="","",A121+1)</f>
        <v/>
      </c>
      <c r="B123" s="392"/>
      <c r="C123" s="54"/>
      <c r="D123" s="472">
        <f>TRUNC(C123)+((C123-TRUNC(C123))/0.6)</f>
        <v>0</v>
      </c>
      <c r="E123" s="472">
        <f>TRUNC(C124)+((C124-TRUNC(C124))/0.6)</f>
        <v>0</v>
      </c>
      <c r="F123" s="473">
        <f>ROUND(((LOG10(TAN(PI()/4+(D123/2*PI()/180)))*7915.7046)-(3437.7468*((0.0816968^2*SIN(D123*PI()/180))+(0.0816968^4/3*((SIN(D123*PI()/180))^3))+(0.0816968^6/5*((SIN(D123*PI()/180))^5))))),2)</f>
        <v>0</v>
      </c>
      <c r="G123" s="464"/>
      <c r="H123" s="464">
        <f>IF(E123&lt;0,E123+360,E123)</f>
        <v>0</v>
      </c>
      <c r="I123" s="477"/>
      <c r="J123" s="478"/>
      <c r="K123" s="479"/>
      <c r="L123" s="472"/>
      <c r="M123" s="472"/>
      <c r="N123" s="468"/>
      <c r="O123" s="469"/>
      <c r="P123" s="353"/>
      <c r="Q123" s="465" t="str">
        <f>IF(O122="","",Q121+O122)</f>
        <v/>
      </c>
      <c r="R123" s="465" t="str">
        <f>IF(O122="","",R121-O122)</f>
        <v/>
      </c>
      <c r="S123" s="61"/>
      <c r="T123" s="61" t="s">
        <v>25</v>
      </c>
      <c r="U123" s="355"/>
      <c r="V123" s="470"/>
      <c r="W123" s="466" t="str">
        <f>IF(P122="","",W121+V122)</f>
        <v/>
      </c>
      <c r="X123" s="61"/>
      <c r="Y123" s="61"/>
      <c r="Z123" s="61"/>
      <c r="AA123" s="61"/>
      <c r="AB123" s="52"/>
      <c r="AC123" s="68"/>
      <c r="AD123" s="480"/>
    </row>
    <row r="124" spans="1:30" ht="14.1" customHeight="1">
      <c r="A124" s="471"/>
      <c r="B124" s="392"/>
      <c r="C124" s="55"/>
      <c r="D124" s="472"/>
      <c r="E124" s="472"/>
      <c r="F124" s="473"/>
      <c r="G124" s="464">
        <f>ABS(D123-D125)*60</f>
        <v>0</v>
      </c>
      <c r="H124" s="464"/>
      <c r="I124" s="477">
        <f>ABS(H123-H125)*60</f>
        <v>0</v>
      </c>
      <c r="J124" s="478">
        <f>ABS(F123-F125)</f>
        <v>0</v>
      </c>
      <c r="K124" s="479" t="e">
        <f>IF(AND(D123&lt;D125,H123=H125),0,IF(AND(D123&gt;D125,H123=H125),180,IF(AND(D123=D125,H123&lt;H125),90,IF(AND(D123=D125,H123&gt;H125),270,(ATAN(I124/J124)*180/PI())))))</f>
        <v>#DIV/0!</v>
      </c>
      <c r="L124" s="472" t="e">
        <f>IF(OR(K124=0,K124=90,K124=180,K124=270),K124,IF(AND(D123&lt;D125,H123&lt;H125),K124,IF(AND(D123&lt;D125,H123&gt;H125),360-K124,IF(AND(D123&gt;D125,H123&lt;H125),180-K124,IF(AND(D123&gt;D125,H123&gt;H125),180+K124)))))</f>
        <v>#DIV/0!</v>
      </c>
      <c r="M124" s="472">
        <f>(IF(I124=0,G124,IF(G124=0,COS(D125*PI()/180)*I124,G124/COS(K124*PI()/180))))</f>
        <v>0</v>
      </c>
      <c r="N124" s="468" t="str">
        <f>IF(C126="","",ROUND(L124,1))</f>
        <v/>
      </c>
      <c r="O124" s="469" t="str">
        <f>IF(C126="","",ROUND(M124,1))</f>
        <v/>
      </c>
      <c r="P124" s="353"/>
      <c r="Q124" s="465"/>
      <c r="R124" s="465"/>
      <c r="S124" s="64"/>
      <c r="T124" s="64" t="s">
        <v>23</v>
      </c>
      <c r="U124" s="358"/>
      <c r="V124" s="470" t="e">
        <f>(O124/P124+U124/60)/24</f>
        <v>#VALUE!</v>
      </c>
      <c r="W124" s="466"/>
      <c r="X124" s="64"/>
      <c r="Y124" s="65"/>
      <c r="Z124" s="64"/>
      <c r="AA124" s="64"/>
      <c r="AB124" s="53"/>
      <c r="AC124" s="69"/>
      <c r="AD124" s="480"/>
    </row>
    <row r="125" spans="1:30" ht="14.1" customHeight="1">
      <c r="A125" s="471" t="str">
        <f>IF(B125="","",A123+1)</f>
        <v/>
      </c>
      <c r="B125" s="392"/>
      <c r="C125" s="54"/>
      <c r="D125" s="472">
        <f>TRUNC(C125)+((C125-TRUNC(C125))/0.6)</f>
        <v>0</v>
      </c>
      <c r="E125" s="472">
        <f>TRUNC(C126)+((C126-TRUNC(C126))/0.6)</f>
        <v>0</v>
      </c>
      <c r="F125" s="473">
        <f>ROUND(((LOG10(TAN(PI()/4+(D125/2*PI()/180)))*7915.7046)-(3437.7468*((0.0816968^2*SIN(D125*PI()/180))+(0.0816968^4/3*((SIN(D125*PI()/180))^3))+(0.0816968^6/5*((SIN(D125*PI()/180))^5))))),2)</f>
        <v>0</v>
      </c>
      <c r="G125" s="464"/>
      <c r="H125" s="464">
        <f>IF(E125&lt;0,E125+360,E125)</f>
        <v>0</v>
      </c>
      <c r="I125" s="477"/>
      <c r="J125" s="478"/>
      <c r="K125" s="479"/>
      <c r="L125" s="472"/>
      <c r="M125" s="472"/>
      <c r="N125" s="468"/>
      <c r="O125" s="469"/>
      <c r="P125" s="353"/>
      <c r="Q125" s="465" t="str">
        <f>IF(O124="","",Q123+O124)</f>
        <v/>
      </c>
      <c r="R125" s="465" t="str">
        <f>IF(O124="","",R123-O124)</f>
        <v/>
      </c>
      <c r="S125" s="61"/>
      <c r="T125" s="61" t="s">
        <v>25</v>
      </c>
      <c r="U125" s="355"/>
      <c r="V125" s="470"/>
      <c r="W125" s="466" t="str">
        <f>IF(P124="","",W123+V124)</f>
        <v/>
      </c>
      <c r="X125" s="61"/>
      <c r="Y125" s="61"/>
      <c r="Z125" s="61"/>
      <c r="AA125" s="61"/>
      <c r="AB125" s="52"/>
      <c r="AC125" s="68"/>
      <c r="AD125" s="480"/>
    </row>
    <row r="126" spans="1:30" ht="14.1" customHeight="1">
      <c r="A126" s="471"/>
      <c r="B126" s="392"/>
      <c r="C126" s="55"/>
      <c r="D126" s="472"/>
      <c r="E126" s="472"/>
      <c r="F126" s="473"/>
      <c r="G126" s="464">
        <f>ABS(D125-D127)*60</f>
        <v>0</v>
      </c>
      <c r="H126" s="464"/>
      <c r="I126" s="477">
        <f>ABS(H125-H127)*60</f>
        <v>0</v>
      </c>
      <c r="J126" s="478">
        <f>ABS(F125-F127)</f>
        <v>0</v>
      </c>
      <c r="K126" s="479" t="e">
        <f>IF(AND(D125&lt;D127,H125=H127),0,IF(AND(D125&gt;D127,H125=H127),180,IF(AND(D125=D127,H125&lt;H127),90,IF(AND(D125=D127,H125&gt;H127),270,(ATAN(I126/J126)*180/PI())))))</f>
        <v>#DIV/0!</v>
      </c>
      <c r="L126" s="472" t="e">
        <f>IF(OR(K126=0,K126=90,K126=180,K126=270),K126,IF(AND(D125&lt;D127,H125&lt;H127),K126,IF(AND(D125&lt;D127,H125&gt;H127),360-K126,IF(AND(D125&gt;D127,H125&lt;H127),180-K126,IF(AND(D125&gt;D127,H125&gt;H127),180+K126)))))</f>
        <v>#DIV/0!</v>
      </c>
      <c r="M126" s="472">
        <f>(IF(I126=0,G126,IF(G126=0,COS(D127*PI()/180)*I126,G126/COS(K126*PI()/180))))</f>
        <v>0</v>
      </c>
      <c r="N126" s="468" t="str">
        <f>IF(C128="","",ROUND(L126,1))</f>
        <v/>
      </c>
      <c r="O126" s="469" t="str">
        <f>IF(C128="","",ROUND(M126,1))</f>
        <v/>
      </c>
      <c r="P126" s="353"/>
      <c r="Q126" s="465"/>
      <c r="R126" s="465"/>
      <c r="S126" s="64"/>
      <c r="T126" s="64" t="s">
        <v>22</v>
      </c>
      <c r="U126" s="358"/>
      <c r="V126" s="470" t="e">
        <f>(O126/P126+U126/60)/24</f>
        <v>#VALUE!</v>
      </c>
      <c r="W126" s="466"/>
      <c r="X126" s="64"/>
      <c r="Y126" s="65"/>
      <c r="Z126" s="64"/>
      <c r="AA126" s="64"/>
      <c r="AB126" s="53"/>
      <c r="AC126" s="69"/>
      <c r="AD126" s="480"/>
    </row>
    <row r="127" spans="1:30" ht="14.1" customHeight="1">
      <c r="A127" s="471" t="str">
        <f>IF(B127="","",A125+1)</f>
        <v/>
      </c>
      <c r="B127" s="392"/>
      <c r="C127" s="54"/>
      <c r="D127" s="472">
        <f>TRUNC(C127)+((C127-TRUNC(C127))/0.6)</f>
        <v>0</v>
      </c>
      <c r="E127" s="472">
        <f>TRUNC(C128)+((C128-TRUNC(C128))/0.6)</f>
        <v>0</v>
      </c>
      <c r="F127" s="473">
        <f>ROUND(((LOG10(TAN(PI()/4+(D127/2*PI()/180)))*7915.7046)-(3437.7468*((0.0816968^2*SIN(D127*PI()/180))+(0.0816968^4/3*((SIN(D127*PI()/180))^3))+(0.0816968^6/5*((SIN(D127*PI()/180))^5))))),2)</f>
        <v>0</v>
      </c>
      <c r="G127" s="464"/>
      <c r="H127" s="464">
        <f>IF(E127&lt;0,E127+360,E127)</f>
        <v>0</v>
      </c>
      <c r="I127" s="477"/>
      <c r="J127" s="478"/>
      <c r="K127" s="479"/>
      <c r="L127" s="472"/>
      <c r="M127" s="472"/>
      <c r="N127" s="468"/>
      <c r="O127" s="469"/>
      <c r="P127" s="353"/>
      <c r="Q127" s="465" t="str">
        <f>IF(O126="","",Q125+O126)</f>
        <v/>
      </c>
      <c r="R127" s="465" t="str">
        <f>IF(O126="","",R125-O126)</f>
        <v/>
      </c>
      <c r="S127" s="61"/>
      <c r="T127" s="61" t="s">
        <v>25</v>
      </c>
      <c r="U127" s="355"/>
      <c r="V127" s="470"/>
      <c r="W127" s="466" t="str">
        <f>IF(P126="","",W125+V126)</f>
        <v/>
      </c>
      <c r="X127" s="61"/>
      <c r="Y127" s="61"/>
      <c r="Z127" s="61"/>
      <c r="AA127" s="61"/>
      <c r="AB127" s="52"/>
      <c r="AC127" s="68"/>
      <c r="AD127" s="480"/>
    </row>
    <row r="128" spans="1:30" ht="14.1" customHeight="1">
      <c r="A128" s="471"/>
      <c r="B128" s="392"/>
      <c r="C128" s="55"/>
      <c r="D128" s="472"/>
      <c r="E128" s="472"/>
      <c r="F128" s="473"/>
      <c r="G128" s="464">
        <f>ABS(D127-D129)*60</f>
        <v>0</v>
      </c>
      <c r="H128" s="464"/>
      <c r="I128" s="477">
        <f>ABS(H127-H129)*60</f>
        <v>0</v>
      </c>
      <c r="J128" s="478">
        <f>ABS(F127-F129)</f>
        <v>0</v>
      </c>
      <c r="K128" s="479" t="e">
        <f>IF(AND(D127&lt;D129,H127=H129),0,IF(AND(D127&gt;D129,H127=H129),180,IF(AND(D127=D129,H127&lt;H129),90,IF(AND(D127=D129,H127&gt;H129),270,(ATAN(I128/J128)*180/PI())))))</f>
        <v>#DIV/0!</v>
      </c>
      <c r="L128" s="472" t="e">
        <f>IF(OR(K128=0,K128=90,K128=180,K128=270),K128,IF(AND(D127&lt;D129,H127&lt;H129),K128,IF(AND(D127&lt;D129,H127&gt;H129),360-K128,IF(AND(D127&gt;D129,H127&lt;H129),180-K128,IF(AND(D127&gt;D129,H127&gt;H129),180+K128)))))</f>
        <v>#DIV/0!</v>
      </c>
      <c r="M128" s="472">
        <f>(IF(I128=0,G128,IF(G128=0,COS(D129*PI()/180)*I128,G128/COS(K128*PI()/180))))</f>
        <v>0</v>
      </c>
      <c r="N128" s="468" t="str">
        <f>IF(C130="","",ROUND(L128,1))</f>
        <v/>
      </c>
      <c r="O128" s="469" t="str">
        <f>IF(C130="","",ROUND(M128,1))</f>
        <v/>
      </c>
      <c r="P128" s="353"/>
      <c r="Q128" s="465"/>
      <c r="R128" s="465"/>
      <c r="S128" s="64"/>
      <c r="T128" s="64" t="s">
        <v>22</v>
      </c>
      <c r="U128" s="358"/>
      <c r="V128" s="470" t="e">
        <f>(O128/P128+U128/60)/24</f>
        <v>#VALUE!</v>
      </c>
      <c r="W128" s="466"/>
      <c r="X128" s="64"/>
      <c r="Y128" s="65"/>
      <c r="Z128" s="64"/>
      <c r="AA128" s="64"/>
      <c r="AB128" s="53"/>
      <c r="AC128" s="69"/>
      <c r="AD128" s="480"/>
    </row>
    <row r="129" spans="1:30" ht="14.1" customHeight="1">
      <c r="A129" s="471" t="str">
        <f>IF(B129="","",A127+1)</f>
        <v/>
      </c>
      <c r="B129" s="392"/>
      <c r="C129" s="54"/>
      <c r="D129" s="472">
        <f>TRUNC(C129)+((C129-TRUNC(C129))/0.6)</f>
        <v>0</v>
      </c>
      <c r="E129" s="472">
        <f>TRUNC(C130)+((C130-TRUNC(C130))/0.6)</f>
        <v>0</v>
      </c>
      <c r="F129" s="473">
        <f>ROUND(((LOG10(TAN(PI()/4+(D129/2*PI()/180)))*7915.7046)-(3437.7468*((0.0816968^2*SIN(D129*PI()/180))+(0.0816968^4/3*((SIN(D129*PI()/180))^3))+(0.0816968^6/5*((SIN(D129*PI()/180))^5))))),2)</f>
        <v>0</v>
      </c>
      <c r="G129" s="464"/>
      <c r="H129" s="464">
        <f>IF(E129&lt;0,E129+360,E129)</f>
        <v>0</v>
      </c>
      <c r="I129" s="477"/>
      <c r="J129" s="478"/>
      <c r="K129" s="479"/>
      <c r="L129" s="472"/>
      <c r="M129" s="472"/>
      <c r="N129" s="468"/>
      <c r="O129" s="469"/>
      <c r="P129" s="353"/>
      <c r="Q129" s="465" t="str">
        <f>IF(O128="","",Q127+O128)</f>
        <v/>
      </c>
      <c r="R129" s="465" t="str">
        <f>IF(O128="","",R127-O128)</f>
        <v/>
      </c>
      <c r="S129" s="61"/>
      <c r="T129" s="61" t="s">
        <v>25</v>
      </c>
      <c r="U129" s="355"/>
      <c r="V129" s="470"/>
      <c r="W129" s="466" t="str">
        <f>IF(P128="","",W127+V128)</f>
        <v/>
      </c>
      <c r="X129" s="61"/>
      <c r="Y129" s="61"/>
      <c r="Z129" s="61"/>
      <c r="AA129" s="61"/>
      <c r="AB129" s="52"/>
      <c r="AC129" s="68"/>
      <c r="AD129" s="480"/>
    </row>
    <row r="130" spans="1:30" ht="14.1" customHeight="1">
      <c r="A130" s="471"/>
      <c r="B130" s="392"/>
      <c r="C130" s="55"/>
      <c r="D130" s="472"/>
      <c r="E130" s="472"/>
      <c r="F130" s="473"/>
      <c r="G130" s="464">
        <f>ABS(D129-D131)*60</f>
        <v>0</v>
      </c>
      <c r="H130" s="464"/>
      <c r="I130" s="477">
        <f>ABS(H129-H131)*60</f>
        <v>0</v>
      </c>
      <c r="J130" s="478">
        <f>ABS(F129-F131)</f>
        <v>0</v>
      </c>
      <c r="K130" s="479" t="e">
        <f>IF(AND(D129&lt;D131,H129=H131),0,IF(AND(D129&gt;D131,H129=H131),180,IF(AND(D129=D131,H129&lt;H131),90,IF(AND(D129=D131,H129&gt;H131),270,(ATAN(I130/J130)*180/PI())))))</f>
        <v>#DIV/0!</v>
      </c>
      <c r="L130" s="472" t="e">
        <f>IF(OR(K130=0,K130=90,K130=180,K130=270),K130,IF(AND(D129&lt;D131,H129&lt;H131),K130,IF(AND(D129&lt;D131,H129&gt;H131),360-K130,IF(AND(D129&gt;D131,H129&lt;H131),180-K130,IF(AND(D129&gt;D131,H129&gt;H131),180+K130)))))</f>
        <v>#DIV/0!</v>
      </c>
      <c r="M130" s="472">
        <f>(IF(I130=0,G130,IF(G130=0,COS(D131*PI()/180)*I130,G130/COS(K130*PI()/180))))</f>
        <v>0</v>
      </c>
      <c r="N130" s="468" t="str">
        <f>IF(C132="","",ROUND(L130,1))</f>
        <v/>
      </c>
      <c r="O130" s="469" t="str">
        <f>IF(C132="","",ROUND(M130,1))</f>
        <v/>
      </c>
      <c r="P130" s="353"/>
      <c r="Q130" s="465"/>
      <c r="R130" s="465"/>
      <c r="S130" s="64"/>
      <c r="T130" s="64" t="s">
        <v>27</v>
      </c>
      <c r="U130" s="358"/>
      <c r="V130" s="470" t="e">
        <f>(O130/P130+U130/60)/24</f>
        <v>#VALUE!</v>
      </c>
      <c r="W130" s="466"/>
      <c r="X130" s="64"/>
      <c r="Y130" s="65"/>
      <c r="Z130" s="64"/>
      <c r="AA130" s="64"/>
      <c r="AB130" s="53"/>
      <c r="AC130" s="69"/>
      <c r="AD130" s="480"/>
    </row>
    <row r="131" spans="1:30" ht="14.1" customHeight="1">
      <c r="A131" s="471" t="str">
        <f>IF(B131="","",A129+1)</f>
        <v/>
      </c>
      <c r="B131" s="392"/>
      <c r="C131" s="54"/>
      <c r="D131" s="472">
        <f>TRUNC(C131)+((C131-TRUNC(C131))/0.6)</f>
        <v>0</v>
      </c>
      <c r="E131" s="472">
        <f>TRUNC(C132)+((C132-TRUNC(C132))/0.6)</f>
        <v>0</v>
      </c>
      <c r="F131" s="473">
        <f>ROUND(((LOG10(TAN(PI()/4+(D131/2*PI()/180)))*7915.7046)-(3437.7468*((0.0816968^2*SIN(D131*PI()/180))+(0.0816968^4/3*((SIN(D131*PI()/180))^3))+(0.0816968^6/5*((SIN(D131*PI()/180))^5))))),2)</f>
        <v>0</v>
      </c>
      <c r="G131" s="464"/>
      <c r="H131" s="464">
        <f>IF(E131&lt;0,E131+360,E131)</f>
        <v>0</v>
      </c>
      <c r="I131" s="477"/>
      <c r="J131" s="478"/>
      <c r="K131" s="479"/>
      <c r="L131" s="472"/>
      <c r="M131" s="472"/>
      <c r="N131" s="468"/>
      <c r="O131" s="469"/>
      <c r="P131" s="353"/>
      <c r="Q131" s="465" t="str">
        <f>IF(O130="","",Q129+O130)</f>
        <v/>
      </c>
      <c r="R131" s="465" t="str">
        <f>IF(O130="","",R129-O130)</f>
        <v/>
      </c>
      <c r="S131" s="61"/>
      <c r="T131" s="61" t="s">
        <v>25</v>
      </c>
      <c r="U131" s="355"/>
      <c r="V131" s="470"/>
      <c r="W131" s="466" t="str">
        <f>IF(P130="","",W129+V130)</f>
        <v/>
      </c>
      <c r="X131" s="61"/>
      <c r="Y131" s="61"/>
      <c r="Z131" s="61"/>
      <c r="AA131" s="61"/>
      <c r="AB131" s="52"/>
      <c r="AC131" s="68"/>
      <c r="AD131" s="481"/>
    </row>
    <row r="132" spans="1:30" ht="14.1" customHeight="1">
      <c r="A132" s="471"/>
      <c r="B132" s="392"/>
      <c r="C132" s="55"/>
      <c r="D132" s="472"/>
      <c r="E132" s="472"/>
      <c r="F132" s="473"/>
      <c r="G132" s="464">
        <f>ABS(D131-D133)*60</f>
        <v>0</v>
      </c>
      <c r="H132" s="464"/>
      <c r="I132" s="477">
        <f>ABS(H131-H133)*60</f>
        <v>0</v>
      </c>
      <c r="J132" s="478">
        <f>ABS(F131-F133)</f>
        <v>0</v>
      </c>
      <c r="K132" s="479" t="e">
        <f>IF(AND(D131&lt;D133,H131=H133),0,IF(AND(D131&gt;D133,H131=H133),180,IF(AND(D131=D133,H131&lt;H133),90,IF(AND(D131=D133,H131&gt;H133),270,(ATAN(I132/J132)*180/PI())))))</f>
        <v>#DIV/0!</v>
      </c>
      <c r="L132" s="472" t="e">
        <f>IF(OR(K132=0,K132=90,K132=180,K132=270),K132,IF(AND(D131&lt;D133,H131&lt;H133),K132,IF(AND(D131&lt;D133,H131&gt;H133),360-K132,IF(AND(D131&gt;D133,H131&lt;H133),180-K132,IF(AND(D131&gt;D133,H131&gt;H133),180+K132)))))</f>
        <v>#DIV/0!</v>
      </c>
      <c r="M132" s="472">
        <f>(IF(I132=0,G132,IF(G132=0,COS(D133*PI()/180)*I132,G132/COS(K132*PI()/180))))</f>
        <v>0</v>
      </c>
      <c r="N132" s="468" t="str">
        <f>IF(C134="","",ROUND(L132,1))</f>
        <v/>
      </c>
      <c r="O132" s="469" t="str">
        <f>IF(C134="","",ROUND(M132,1))</f>
        <v/>
      </c>
      <c r="P132" s="353"/>
      <c r="Q132" s="465"/>
      <c r="R132" s="465"/>
      <c r="S132" s="64"/>
      <c r="T132" s="64" t="s">
        <v>27</v>
      </c>
      <c r="U132" s="358"/>
      <c r="V132" s="470" t="e">
        <f>(O132/P132+U132/60)/24</f>
        <v>#VALUE!</v>
      </c>
      <c r="W132" s="466"/>
      <c r="X132" s="64"/>
      <c r="Y132" s="65"/>
      <c r="Z132" s="64"/>
      <c r="AA132" s="64"/>
      <c r="AB132" s="53"/>
      <c r="AC132" s="69"/>
      <c r="AD132" s="481"/>
    </row>
    <row r="133" spans="1:30" ht="14.1" customHeight="1">
      <c r="A133" s="471" t="str">
        <f>IF(B133="","",A131+1)</f>
        <v/>
      </c>
      <c r="B133" s="392"/>
      <c r="C133" s="54"/>
      <c r="D133" s="472">
        <f>TRUNC(C133)+((C133-TRUNC(C133))/0.6)</f>
        <v>0</v>
      </c>
      <c r="E133" s="472">
        <f>TRUNC(C134)+((C134-TRUNC(C134))/0.6)</f>
        <v>0</v>
      </c>
      <c r="F133" s="473">
        <f>ROUND(((LOG10(TAN(PI()/4+(D133/2*PI()/180)))*7915.7046)-(3437.7468*((0.0816968^2*SIN(D133*PI()/180))+(0.0816968^4/3*((SIN(D133*PI()/180))^3))+(0.0816968^6/5*((SIN(D133*PI()/180))^5))))),2)</f>
        <v>0</v>
      </c>
      <c r="G133" s="464"/>
      <c r="H133" s="464">
        <f>IF(E133&lt;0,E133+360,E133)</f>
        <v>0</v>
      </c>
      <c r="I133" s="477"/>
      <c r="J133" s="478"/>
      <c r="K133" s="479"/>
      <c r="L133" s="472"/>
      <c r="M133" s="472"/>
      <c r="N133" s="468"/>
      <c r="O133" s="469"/>
      <c r="P133" s="353"/>
      <c r="Q133" s="465" t="str">
        <f>IF(O132="","",Q131+O132)</f>
        <v/>
      </c>
      <c r="R133" s="465" t="str">
        <f>IF(O132="","",R131-O132)</f>
        <v/>
      </c>
      <c r="S133" s="61"/>
      <c r="T133" s="61" t="s">
        <v>26</v>
      </c>
      <c r="U133" s="355"/>
      <c r="V133" s="470"/>
      <c r="W133" s="466" t="str">
        <f>IF(P132="","",W131+V132)</f>
        <v/>
      </c>
      <c r="X133" s="61"/>
      <c r="Y133" s="61"/>
      <c r="Z133" s="61"/>
      <c r="AA133" s="61"/>
      <c r="AB133" s="52"/>
      <c r="AC133" s="68"/>
      <c r="AD133" s="480"/>
    </row>
    <row r="134" spans="1:30" ht="14.1" customHeight="1">
      <c r="A134" s="471"/>
      <c r="B134" s="392"/>
      <c r="C134" s="55"/>
      <c r="D134" s="472"/>
      <c r="E134" s="472"/>
      <c r="F134" s="473"/>
      <c r="G134" s="464">
        <f>ABS(D133-D135)*60</f>
        <v>0</v>
      </c>
      <c r="H134" s="464"/>
      <c r="I134" s="477">
        <f>ABS(H133-H135)*60</f>
        <v>0</v>
      </c>
      <c r="J134" s="478">
        <f>ABS(F133-F135)</f>
        <v>0</v>
      </c>
      <c r="K134" s="479" t="e">
        <f>IF(AND(D133&lt;D135,H133=H135),0,IF(AND(D133&gt;D135,H133=H135),180,IF(AND(D133=D135,H133&lt;H135),90,IF(AND(D133=D135,H133&gt;H135),270,(ATAN(I134/J134)*180/PI())))))</f>
        <v>#DIV/0!</v>
      </c>
      <c r="L134" s="472" t="e">
        <f>IF(OR(K134=0,K134=90,K134=180,K134=270),K134,IF(AND(D133&lt;D135,H133&lt;H135),K134,IF(AND(D133&lt;D135,H133&gt;H135),360-K134,IF(AND(D133&gt;D135,H133&lt;H135),180-K134,IF(AND(D133&gt;D135,H133&gt;H135),180+K134)))))</f>
        <v>#DIV/0!</v>
      </c>
      <c r="M134" s="472">
        <f>(IF(I134=0,G134,IF(G134=0,COS(D135*PI()/180)*I134,G134/COS(K134*PI()/180))))</f>
        <v>0</v>
      </c>
      <c r="N134" s="468" t="str">
        <f>IF(C136="","",ROUND(L134,1))</f>
        <v/>
      </c>
      <c r="O134" s="469" t="str">
        <f>IF(C136="","",ROUND(M134,1))</f>
        <v/>
      </c>
      <c r="P134" s="353"/>
      <c r="Q134" s="465"/>
      <c r="R134" s="465"/>
      <c r="S134" s="64"/>
      <c r="T134" s="64" t="s">
        <v>29</v>
      </c>
      <c r="U134" s="358"/>
      <c r="V134" s="470" t="e">
        <f>(O134/P134+U134/60)/24</f>
        <v>#VALUE!</v>
      </c>
      <c r="W134" s="466"/>
      <c r="X134" s="64"/>
      <c r="Y134" s="65"/>
      <c r="Z134" s="64"/>
      <c r="AA134" s="64"/>
      <c r="AB134" s="53"/>
      <c r="AC134" s="69"/>
      <c r="AD134" s="480"/>
    </row>
    <row r="135" spans="1:30" ht="14.1" customHeight="1">
      <c r="A135" s="471" t="str">
        <f>IF(B135="","",A133+1)</f>
        <v/>
      </c>
      <c r="B135" s="394"/>
      <c r="C135" s="54"/>
      <c r="D135" s="472">
        <f>TRUNC(C135)+((C135-TRUNC(C135))/0.6)</f>
        <v>0</v>
      </c>
      <c r="E135" s="472">
        <f>TRUNC(C136)+((C136-TRUNC(C136))/0.6)</f>
        <v>0</v>
      </c>
      <c r="F135" s="473">
        <f>ROUND(((LOG10(TAN(PI()/4+(D135/2*PI()/180)))*7915.7046)-(3437.7468*((0.0816968^2*SIN(D135*PI()/180))+(0.0816968^4/3*((SIN(D135*PI()/180))^3))+(0.0816968^6/5*((SIN(D135*PI()/180))^5))))),2)</f>
        <v>0</v>
      </c>
      <c r="G135" s="464"/>
      <c r="H135" s="464">
        <f>IF(E135&lt;0,E135+360,E135)</f>
        <v>0</v>
      </c>
      <c r="I135" s="477"/>
      <c r="J135" s="478"/>
      <c r="K135" s="479"/>
      <c r="L135" s="472"/>
      <c r="M135" s="472"/>
      <c r="N135" s="468"/>
      <c r="O135" s="469"/>
      <c r="P135" s="353"/>
      <c r="Q135" s="465" t="str">
        <f>IF(O134="","",Q133+O134)</f>
        <v/>
      </c>
      <c r="R135" s="465" t="str">
        <f>IF(O134="","",R133-O134)</f>
        <v/>
      </c>
      <c r="S135" s="61"/>
      <c r="T135" s="61" t="s">
        <v>26</v>
      </c>
      <c r="U135" s="355"/>
      <c r="V135" s="470"/>
      <c r="W135" s="466" t="str">
        <f>IF(P134="","",W133+V134)</f>
        <v/>
      </c>
      <c r="X135" s="61"/>
      <c r="Y135" s="61"/>
      <c r="Z135" s="61"/>
      <c r="AA135" s="61"/>
      <c r="AB135" s="52"/>
      <c r="AC135" s="68"/>
      <c r="AD135" s="481" t="s">
        <v>28</v>
      </c>
    </row>
    <row r="136" spans="1:30" ht="14.1" customHeight="1">
      <c r="A136" s="471"/>
      <c r="B136" s="395"/>
      <c r="C136" s="55"/>
      <c r="D136" s="472"/>
      <c r="E136" s="472"/>
      <c r="F136" s="473"/>
      <c r="G136" s="464">
        <f>ABS(D135-D137)*60</f>
        <v>0</v>
      </c>
      <c r="H136" s="464"/>
      <c r="I136" s="477">
        <f>ABS(H135-H137)*60</f>
        <v>0</v>
      </c>
      <c r="J136" s="478">
        <f>ABS(F135-F137)</f>
        <v>0</v>
      </c>
      <c r="K136" s="479" t="e">
        <f>IF(AND(D135&lt;D137,H135=H137),0,IF(AND(D135&gt;D137,H135=H137),180,IF(AND(D135=D137,H135&lt;H137),90,IF(AND(D135=D137,H135&gt;H137),270,(ATAN(I136/J136)*180/PI())))))</f>
        <v>#DIV/0!</v>
      </c>
      <c r="L136" s="472" t="e">
        <f>IF(OR(K136=0,K136=90,K136=180,K136=270),K136,IF(AND(D135&lt;D137,H135&lt;H137),K136,IF(AND(D135&lt;D137,H135&gt;H137),360-K136,IF(AND(D135&gt;D137,H135&lt;H137),180-K136,IF(AND(D135&gt;D137,H135&gt;H137),180+K136)))))</f>
        <v>#DIV/0!</v>
      </c>
      <c r="M136" s="472">
        <f>(IF(I136=0,G136,IF(G136=0,COS(D137*PI()/180)*I136,G136/COS(K136*PI()/180))))</f>
        <v>0</v>
      </c>
      <c r="N136" s="468" t="str">
        <f>IF(C138="","",ROUND(L136,1))</f>
        <v/>
      </c>
      <c r="O136" s="469" t="str">
        <f>IF(C138="","",ROUND(M136,1))</f>
        <v/>
      </c>
      <c r="P136" s="353"/>
      <c r="Q136" s="465"/>
      <c r="R136" s="465"/>
      <c r="S136" s="64"/>
      <c r="T136" s="64" t="s">
        <v>29</v>
      </c>
      <c r="U136" s="358"/>
      <c r="V136" s="470" t="e">
        <f>(O136/P136+U136/60)/24</f>
        <v>#VALUE!</v>
      </c>
      <c r="W136" s="466"/>
      <c r="X136" s="64"/>
      <c r="Y136" s="65"/>
      <c r="Z136" s="64"/>
      <c r="AA136" s="64"/>
      <c r="AB136" s="53"/>
      <c r="AC136" s="69"/>
      <c r="AD136" s="481"/>
    </row>
    <row r="137" spans="1:30" ht="14.1" customHeight="1">
      <c r="A137" s="471" t="str">
        <f>IF(B137="","",A135+1)</f>
        <v/>
      </c>
      <c r="B137" s="394"/>
      <c r="C137" s="54"/>
      <c r="D137" s="472">
        <f>TRUNC(C137)+((C137-TRUNC(C137))/0.6)</f>
        <v>0</v>
      </c>
      <c r="E137" s="472">
        <f>TRUNC(C138)+((C138-TRUNC(C138))/0.6)</f>
        <v>0</v>
      </c>
      <c r="F137" s="473">
        <f>ROUND(((LOG10(TAN(PI()/4+(D137/2*PI()/180)))*7915.7046)-(3437.7468*((0.0816968^2*SIN(D137*PI()/180))+(0.0816968^4/3*((SIN(D137*PI()/180))^3))+(0.0816968^6/5*((SIN(D137*PI()/180))^5))))),2)</f>
        <v>0</v>
      </c>
      <c r="G137" s="464"/>
      <c r="H137" s="464">
        <f>IF(E137&lt;0,E137+360,E137)</f>
        <v>0</v>
      </c>
      <c r="I137" s="477"/>
      <c r="J137" s="478"/>
      <c r="K137" s="479"/>
      <c r="L137" s="472"/>
      <c r="M137" s="472"/>
      <c r="N137" s="468"/>
      <c r="O137" s="469"/>
      <c r="P137" s="353"/>
      <c r="Q137" s="465" t="str">
        <f>IF(O136="","",Q135+O136)</f>
        <v/>
      </c>
      <c r="R137" s="465" t="str">
        <f>IF(O136="","",R135-O136)</f>
        <v/>
      </c>
      <c r="S137" s="61"/>
      <c r="T137" s="61" t="s">
        <v>25</v>
      </c>
      <c r="U137" s="355"/>
      <c r="V137" s="470"/>
      <c r="W137" s="466" t="str">
        <f>IF(P136="","",W135+V136)</f>
        <v/>
      </c>
      <c r="X137" s="61"/>
      <c r="Y137" s="61"/>
      <c r="Z137" s="61"/>
      <c r="AA137" s="61"/>
      <c r="AB137" s="52"/>
      <c r="AC137" s="68"/>
      <c r="AD137" s="480" t="s">
        <v>28</v>
      </c>
    </row>
    <row r="138" spans="1:30" ht="14.1" customHeight="1">
      <c r="A138" s="471"/>
      <c r="B138" s="395"/>
      <c r="C138" s="55"/>
      <c r="D138" s="472"/>
      <c r="E138" s="472"/>
      <c r="F138" s="473"/>
      <c r="G138" s="464">
        <f>ABS(D137-D139)*60</f>
        <v>0</v>
      </c>
      <c r="H138" s="464"/>
      <c r="I138" s="477">
        <f>ABS(H137-H139)*60</f>
        <v>0</v>
      </c>
      <c r="J138" s="478">
        <f>ABS(F137-F139)</f>
        <v>0</v>
      </c>
      <c r="K138" s="479" t="e">
        <f>IF(AND(D137&lt;D139,H137=H139),0,IF(AND(D137&gt;D139,H137=H139),180,IF(AND(D137=D139,H137&lt;H139),90,IF(AND(D137=D139,H137&gt;H139),270,(ATAN(I138/J138)*180/PI())))))</f>
        <v>#DIV/0!</v>
      </c>
      <c r="L138" s="472" t="e">
        <f>IF(OR(K138=0,K138=90,K138=180,K138=270),K138,IF(AND(D137&lt;D139,H137&lt;H139),K138,IF(AND(D137&lt;D139,H137&gt;H139),360-K138,IF(AND(D137&gt;D139,H137&lt;H139),180-K138,IF(AND(D137&gt;D139,H137&gt;H139),180+K138)))))</f>
        <v>#DIV/0!</v>
      </c>
      <c r="M138" s="472">
        <f>(IF(I138=0,G138,IF(G138=0,COS(D139*PI()/180)*I138,G138/COS(K138*PI()/180))))</f>
        <v>0</v>
      </c>
      <c r="N138" s="468" t="str">
        <f>IF(C140="","",ROUND(L138,1))</f>
        <v/>
      </c>
      <c r="O138" s="469" t="str">
        <f>IF(C140="","",ROUND(M138,1))</f>
        <v/>
      </c>
      <c r="P138" s="353"/>
      <c r="Q138" s="465"/>
      <c r="R138" s="465"/>
      <c r="S138" s="64"/>
      <c r="T138" s="64" t="s">
        <v>27</v>
      </c>
      <c r="U138" s="358"/>
      <c r="V138" s="470" t="e">
        <f>(O138/P138+U138/60)/24</f>
        <v>#VALUE!</v>
      </c>
      <c r="W138" s="466"/>
      <c r="X138" s="64"/>
      <c r="Y138" s="65"/>
      <c r="Z138" s="64"/>
      <c r="AA138" s="64"/>
      <c r="AB138" s="53"/>
      <c r="AC138" s="69"/>
      <c r="AD138" s="480"/>
    </row>
    <row r="139" spans="1:30" ht="14.1" customHeight="1">
      <c r="A139" s="471" t="str">
        <f t="shared" ref="A139" si="6">IF(B139="","",A137+1)</f>
        <v/>
      </c>
      <c r="B139" s="394"/>
      <c r="C139" s="54"/>
      <c r="D139" s="472">
        <f>TRUNC(C139)+((C139-TRUNC(C139))/0.6)</f>
        <v>0</v>
      </c>
      <c r="E139" s="472">
        <f>TRUNC(C140)+((C140-TRUNC(C140))/0.6)</f>
        <v>0</v>
      </c>
      <c r="F139" s="473">
        <f>ROUND(((LOG10(TAN(PI()/4+(D139/2*PI()/180)))*7915.7046)-(3437.7468*((0.0816968^2*SIN(D139*PI()/180))+(0.0816968^4/3*((SIN(D139*PI()/180))^3))+(0.0816968^6/5*((SIN(D139*PI()/180))^5))))),2)</f>
        <v>0</v>
      </c>
      <c r="G139" s="464"/>
      <c r="H139" s="464">
        <f>IF(E139&lt;0,E139+360,E139)</f>
        <v>0</v>
      </c>
      <c r="I139" s="477"/>
      <c r="J139" s="478"/>
      <c r="K139" s="479"/>
      <c r="L139" s="472"/>
      <c r="M139" s="472"/>
      <c r="N139" s="468"/>
      <c r="O139" s="469"/>
      <c r="P139" s="353"/>
      <c r="Q139" s="465" t="str">
        <f>IF(O138="","",Q137+O138)</f>
        <v/>
      </c>
      <c r="R139" s="465" t="str">
        <f>IF(O138="","",R137-O138)</f>
        <v/>
      </c>
      <c r="S139" s="61"/>
      <c r="T139" s="61" t="s">
        <v>25</v>
      </c>
      <c r="U139" s="355"/>
      <c r="V139" s="470"/>
      <c r="W139" s="466" t="str">
        <f>IF(P138="","",W137+V138)</f>
        <v/>
      </c>
      <c r="X139" s="61"/>
      <c r="Y139" s="61"/>
      <c r="Z139" s="61"/>
      <c r="AA139" s="61"/>
      <c r="AB139" s="52"/>
      <c r="AC139" s="68"/>
      <c r="AD139" s="480"/>
    </row>
    <row r="140" spans="1:30" ht="14.1" customHeight="1">
      <c r="A140" s="471"/>
      <c r="B140" s="395"/>
      <c r="C140" s="55"/>
      <c r="D140" s="472"/>
      <c r="E140" s="472"/>
      <c r="F140" s="473"/>
      <c r="G140" s="464">
        <f>ABS(D139-D141)*60</f>
        <v>0</v>
      </c>
      <c r="H140" s="464"/>
      <c r="I140" s="477">
        <f>ABS(H139-H141)*60</f>
        <v>0</v>
      </c>
      <c r="J140" s="478">
        <f>ABS(F139-F141)</f>
        <v>0</v>
      </c>
      <c r="K140" s="479" t="e">
        <f>IF(AND(D139&lt;D141,H139=H141),0,IF(AND(D139&gt;D141,H139=H141),180,IF(AND(D139=D141,H139&lt;H141),90,IF(AND(D139=D141,H139&gt;H141),270,(ATAN(I140/J140)*180/PI())))))</f>
        <v>#DIV/0!</v>
      </c>
      <c r="L140" s="472" t="e">
        <f>IF(OR(K140=0,K140=90,K140=180,K140=270),K140,IF(AND(D139&lt;D141,H139&lt;H141),K140,IF(AND(D139&lt;D141,H139&gt;H141),360-K140,IF(AND(D139&gt;D141,H139&lt;H141),180-K140,IF(AND(D139&gt;D141,H139&gt;H141),180+K140)))))</f>
        <v>#DIV/0!</v>
      </c>
      <c r="M140" s="472">
        <f>(IF(I140=0,G140,IF(G140=0,COS(D141*PI()/180)*I140,G140/COS(K140*PI()/180))))</f>
        <v>0</v>
      </c>
      <c r="N140" s="468" t="str">
        <f>IF(C142="","",ROUND(L140,1))</f>
        <v/>
      </c>
      <c r="O140" s="469" t="str">
        <f>IF(C142="","",ROUND(M140,1))</f>
        <v/>
      </c>
      <c r="P140" s="353"/>
      <c r="Q140" s="465"/>
      <c r="R140" s="465"/>
      <c r="S140" s="64"/>
      <c r="T140" s="64" t="s">
        <v>22</v>
      </c>
      <c r="U140" s="358"/>
      <c r="V140" s="470" t="e">
        <f>(O140/P140+U140/60)/24</f>
        <v>#VALUE!</v>
      </c>
      <c r="W140" s="466"/>
      <c r="X140" s="64"/>
      <c r="Y140" s="65"/>
      <c r="Z140" s="64"/>
      <c r="AA140" s="64"/>
      <c r="AB140" s="53"/>
      <c r="AC140" s="69"/>
      <c r="AD140" s="480"/>
    </row>
    <row r="141" spans="1:30" ht="15" customHeight="1">
      <c r="A141" s="471" t="str">
        <f t="shared" ref="A141" si="7">IF(B141="","",A139+1)</f>
        <v/>
      </c>
      <c r="B141" s="348"/>
      <c r="C141" s="54"/>
      <c r="D141" s="472">
        <f>TRUNC(C141)+((C141-TRUNC(C141))/0.6)</f>
        <v>0</v>
      </c>
      <c r="E141" s="472">
        <f>TRUNC(C142)+((C142-TRUNC(C142))/0.6)</f>
        <v>0</v>
      </c>
      <c r="F141" s="473">
        <f>ROUND(((LOG10(TAN(PI()/4+(D141/2*PI()/180)))*7915.7046)-(3437.7468*((0.0816968^2*SIN(D141*PI()/180))+(0.0816968^4/3*((SIN(D141*PI()/180))^3))+(0.0816968^6/5*((SIN(D141*PI()/180))^5))))),2)</f>
        <v>0</v>
      </c>
      <c r="G141" s="464"/>
      <c r="H141" s="464">
        <f>IF(E141&lt;0,E141+360,E141)</f>
        <v>0</v>
      </c>
      <c r="I141" s="477"/>
      <c r="J141" s="478"/>
      <c r="K141" s="479"/>
      <c r="L141" s="472"/>
      <c r="M141" s="472"/>
      <c r="N141" s="468"/>
      <c r="O141" s="469"/>
      <c r="P141" s="353"/>
      <c r="Q141" s="465" t="str">
        <f>IF(O140="","",Q139+O140)</f>
        <v/>
      </c>
      <c r="R141" s="465" t="str">
        <f>IF(O140="","",R139-O140)</f>
        <v/>
      </c>
      <c r="S141" s="61"/>
      <c r="T141" s="61" t="s">
        <v>25</v>
      </c>
      <c r="U141" s="355"/>
      <c r="V141" s="470"/>
      <c r="W141" s="466" t="str">
        <f>IF(P140="","",W139+V140)</f>
        <v/>
      </c>
      <c r="X141" s="61"/>
      <c r="Y141" s="61"/>
      <c r="Z141" s="61"/>
      <c r="AA141" s="61"/>
      <c r="AB141" s="52"/>
      <c r="AC141" s="68"/>
      <c r="AD141" s="474" t="s">
        <v>71</v>
      </c>
    </row>
    <row r="142" spans="1:30" ht="13.5" customHeight="1">
      <c r="A142" s="471"/>
      <c r="B142" s="349"/>
      <c r="C142" s="55"/>
      <c r="D142" s="472"/>
      <c r="E142" s="472"/>
      <c r="F142" s="473"/>
      <c r="G142" s="464">
        <f>ABS(D141-D143)*60</f>
        <v>0</v>
      </c>
      <c r="H142" s="464"/>
      <c r="I142" s="477">
        <f>ABS(H141-H143)*60</f>
        <v>0</v>
      </c>
      <c r="J142" s="478">
        <f>ABS(F141-F143)</f>
        <v>0</v>
      </c>
      <c r="K142" s="479" t="e">
        <f>IF(AND(D141&lt;D143,H141=H143),0,IF(AND(D141&gt;D143,H141=H143),180,IF(AND(D141=D143,H141&lt;H143),90,IF(AND(D141=D143,H141&gt;H143),270,(ATAN(I142/J142)*180/PI())))))</f>
        <v>#DIV/0!</v>
      </c>
      <c r="L142" s="472" t="e">
        <f>IF(OR(K142=0,K142=90,K142=180,K142=270),K142,IF(AND(D141&lt;D143,H141&lt;H143),K142,IF(AND(D141&lt;D143,H141&gt;H143),360-K142,IF(AND(D141&gt;D143,H141&lt;H143),180-K142,IF(AND(D141&gt;D143,H141&gt;H143),180+K142)))))</f>
        <v>#DIV/0!</v>
      </c>
      <c r="M142" s="472">
        <f>(IF(I142=0,G142,IF(G142=0,COS(D143*PI()/180)*I142,G142/COS(K142*PI()/180))))</f>
        <v>0</v>
      </c>
      <c r="N142" s="468" t="str">
        <f>IF(C144="","",ROUND(L142,1))</f>
        <v/>
      </c>
      <c r="O142" s="469" t="str">
        <f>IF(C144="","",ROUND(M142,1))</f>
        <v/>
      </c>
      <c r="P142" s="353"/>
      <c r="Q142" s="465"/>
      <c r="R142" s="465"/>
      <c r="S142" s="64"/>
      <c r="T142" s="64" t="s">
        <v>23</v>
      </c>
      <c r="U142" s="358"/>
      <c r="V142" s="470" t="e">
        <f>(O142/P142+U142/60)/24</f>
        <v>#VALUE!</v>
      </c>
      <c r="W142" s="466"/>
      <c r="X142" s="64"/>
      <c r="Y142" s="65"/>
      <c r="Z142" s="64"/>
      <c r="AA142" s="64"/>
      <c r="AB142" s="53"/>
      <c r="AC142" s="69"/>
      <c r="AD142" s="475"/>
    </row>
    <row r="143" spans="1:30" ht="14.1" customHeight="1">
      <c r="A143" s="471" t="str">
        <f t="shared" ref="A143" si="8">IF(B143="","",A141+1)</f>
        <v/>
      </c>
      <c r="B143" s="392"/>
      <c r="C143" s="54"/>
      <c r="D143" s="472">
        <f>TRUNC(C143)+((C143-TRUNC(C143))/0.6)</f>
        <v>0</v>
      </c>
      <c r="E143" s="472">
        <f>TRUNC(C144)+((C144-TRUNC(C144))/0.6)</f>
        <v>0</v>
      </c>
      <c r="F143" s="473">
        <f>ROUND(((LOG10(TAN(PI()/4+(D143/2*PI()/180)))*7915.7046)-(3437.7468*((0.0816968^2*SIN(D143*PI()/180))+(0.0816968^4/3*((SIN(D143*PI()/180))^3))+(0.0816968^6/5*((SIN(D143*PI()/180))^5))))),2)</f>
        <v>0</v>
      </c>
      <c r="G143" s="464"/>
      <c r="H143" s="464">
        <f>IF(E143&lt;0,E143+360,E143)</f>
        <v>0</v>
      </c>
      <c r="I143" s="477"/>
      <c r="J143" s="478"/>
      <c r="K143" s="479"/>
      <c r="L143" s="472"/>
      <c r="M143" s="472"/>
      <c r="N143" s="468"/>
      <c r="O143" s="469"/>
      <c r="P143" s="353"/>
      <c r="Q143" s="465" t="str">
        <f>IF(O142="","",Q141+O142)</f>
        <v/>
      </c>
      <c r="R143" s="465"/>
      <c r="S143" s="61"/>
      <c r="T143" s="61"/>
      <c r="U143" s="355"/>
      <c r="V143" s="470"/>
      <c r="W143" s="466" t="str">
        <f>IF(P142="","",W141+V142)</f>
        <v/>
      </c>
      <c r="X143" s="61"/>
      <c r="Y143" s="61"/>
      <c r="Z143" s="61"/>
      <c r="AA143" s="61"/>
      <c r="AB143" s="52"/>
      <c r="AC143" s="68"/>
      <c r="AD143" s="475"/>
    </row>
    <row r="144" spans="1:30" s="89" customFormat="1" ht="14.1" customHeight="1">
      <c r="A144" s="471"/>
      <c r="B144" s="392"/>
      <c r="C144" s="55"/>
      <c r="D144" s="472"/>
      <c r="E144" s="472"/>
      <c r="F144" s="473"/>
      <c r="G144" s="66"/>
      <c r="H144" s="464"/>
      <c r="I144" s="66"/>
      <c r="J144" s="66"/>
      <c r="K144" s="66"/>
      <c r="L144" s="66"/>
      <c r="M144" s="66"/>
      <c r="N144" s="59"/>
      <c r="O144" s="60"/>
      <c r="P144" s="60"/>
      <c r="Q144" s="465"/>
      <c r="R144" s="465"/>
      <c r="S144" s="64"/>
      <c r="T144" s="64"/>
      <c r="U144" s="62"/>
      <c r="V144" s="63"/>
      <c r="W144" s="466"/>
      <c r="X144" s="64"/>
      <c r="Y144" s="65"/>
      <c r="Z144" s="64"/>
      <c r="AA144" s="64"/>
      <c r="AB144" s="53"/>
      <c r="AC144" s="69"/>
      <c r="AD144" s="476"/>
    </row>
    <row r="145" spans="1:30" s="89" customFormat="1" ht="13.5" customHeight="1">
      <c r="A145" s="467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467"/>
      <c r="Z145" s="467"/>
      <c r="AA145" s="467"/>
      <c r="AB145" s="467"/>
      <c r="AC145" s="467"/>
      <c r="AD145" s="467"/>
    </row>
    <row r="146" spans="1:30" ht="14.1" customHeight="1">
      <c r="A146" s="467"/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467"/>
      <c r="Y146" s="467"/>
      <c r="Z146" s="467"/>
      <c r="AA146" s="467"/>
      <c r="AB146" s="467"/>
      <c r="AC146" s="467"/>
      <c r="AD146" s="467"/>
    </row>
    <row r="147" spans="1:30" ht="14.1" customHeight="1">
      <c r="A147" s="467"/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  <c r="L147" s="467"/>
      <c r="M147" s="467"/>
      <c r="N147" s="467"/>
      <c r="O147" s="467"/>
      <c r="P147" s="467"/>
      <c r="Q147" s="467"/>
      <c r="R147" s="467"/>
      <c r="S147" s="467"/>
      <c r="T147" s="467"/>
      <c r="U147" s="467"/>
      <c r="V147" s="467"/>
      <c r="W147" s="467"/>
      <c r="X147" s="467"/>
      <c r="Y147" s="467"/>
      <c r="Z147" s="467"/>
      <c r="AA147" s="467"/>
      <c r="AB147" s="467"/>
      <c r="AC147" s="467"/>
      <c r="AD147" s="467"/>
    </row>
    <row r="148" spans="1:30" ht="14.1" customHeight="1">
      <c r="A148" s="490" t="s">
        <v>11</v>
      </c>
      <c r="B148" s="493" t="s">
        <v>12</v>
      </c>
      <c r="C148" s="494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499" t="s">
        <v>4</v>
      </c>
      <c r="O148" s="500" t="s">
        <v>5</v>
      </c>
      <c r="P148" s="500" t="s">
        <v>13</v>
      </c>
      <c r="Q148" s="484" t="s">
        <v>14</v>
      </c>
      <c r="R148" s="484" t="s">
        <v>6</v>
      </c>
      <c r="S148" s="76" t="s">
        <v>52</v>
      </c>
      <c r="T148" s="82" t="s">
        <v>33</v>
      </c>
      <c r="U148" s="485" t="s">
        <v>15</v>
      </c>
      <c r="V148" s="12"/>
      <c r="W148" s="486" t="s">
        <v>16</v>
      </c>
      <c r="X148" s="82" t="s">
        <v>34</v>
      </c>
      <c r="Y148" s="82" t="s">
        <v>33</v>
      </c>
      <c r="Z148" s="82" t="s">
        <v>35</v>
      </c>
      <c r="AA148" s="82" t="s">
        <v>36</v>
      </c>
      <c r="AB148" s="487" t="s">
        <v>37</v>
      </c>
      <c r="AC148" s="82" t="s">
        <v>58</v>
      </c>
      <c r="AD148" s="487" t="s">
        <v>38</v>
      </c>
    </row>
    <row r="149" spans="1:30" ht="14.1" customHeight="1">
      <c r="A149" s="491"/>
      <c r="B149" s="495"/>
      <c r="C149" s="496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499"/>
      <c r="O149" s="500"/>
      <c r="P149" s="500"/>
      <c r="Q149" s="484"/>
      <c r="R149" s="484"/>
      <c r="S149" s="77" t="s">
        <v>53</v>
      </c>
      <c r="T149" s="83" t="s">
        <v>39</v>
      </c>
      <c r="U149" s="485"/>
      <c r="V149" s="12"/>
      <c r="W149" s="486"/>
      <c r="X149" s="83" t="s">
        <v>40</v>
      </c>
      <c r="Y149" s="83" t="s">
        <v>41</v>
      </c>
      <c r="Z149" s="83" t="s">
        <v>42</v>
      </c>
      <c r="AA149" s="83" t="s">
        <v>43</v>
      </c>
      <c r="AB149" s="488"/>
      <c r="AC149" s="83" t="s">
        <v>59</v>
      </c>
      <c r="AD149" s="488"/>
    </row>
    <row r="150" spans="1:30" ht="14.1" customHeight="1">
      <c r="A150" s="491"/>
      <c r="B150" s="495"/>
      <c r="C150" s="496"/>
      <c r="D150" s="14" t="s">
        <v>17</v>
      </c>
      <c r="E150" s="14" t="s">
        <v>18</v>
      </c>
      <c r="F150" s="15" t="s">
        <v>0</v>
      </c>
      <c r="G150" s="15" t="s">
        <v>1</v>
      </c>
      <c r="H150" s="85" t="s">
        <v>19</v>
      </c>
      <c r="I150" s="16" t="s">
        <v>2</v>
      </c>
      <c r="J150" s="15" t="s">
        <v>3</v>
      </c>
      <c r="K150" s="85"/>
      <c r="L150" s="15" t="s">
        <v>20</v>
      </c>
      <c r="M150" s="15" t="s">
        <v>21</v>
      </c>
      <c r="N150" s="499"/>
      <c r="O150" s="500"/>
      <c r="P150" s="500"/>
      <c r="Q150" s="484"/>
      <c r="R150" s="484"/>
      <c r="S150" s="77" t="s">
        <v>54</v>
      </c>
      <c r="T150" s="83" t="s">
        <v>44</v>
      </c>
      <c r="U150" s="485"/>
      <c r="V150" s="12"/>
      <c r="W150" s="486"/>
      <c r="X150" s="83" t="s">
        <v>44</v>
      </c>
      <c r="Y150" s="83" t="s">
        <v>45</v>
      </c>
      <c r="Z150" s="83" t="s">
        <v>46</v>
      </c>
      <c r="AA150" s="83" t="s">
        <v>72</v>
      </c>
      <c r="AB150" s="488"/>
      <c r="AC150" s="83"/>
      <c r="AD150" s="488"/>
    </row>
    <row r="151" spans="1:30" ht="14.1" customHeight="1">
      <c r="A151" s="492"/>
      <c r="B151" s="497"/>
      <c r="C151" s="498"/>
      <c r="D151" s="11"/>
      <c r="E151" s="11"/>
      <c r="F151" s="17"/>
      <c r="G151" s="17"/>
      <c r="H151" s="17"/>
      <c r="I151" s="86"/>
      <c r="J151" s="17"/>
      <c r="K151" s="17"/>
      <c r="L151" s="17"/>
      <c r="M151" s="17"/>
      <c r="N151" s="499"/>
      <c r="O151" s="500"/>
      <c r="P151" s="500"/>
      <c r="Q151" s="484"/>
      <c r="R151" s="484"/>
      <c r="S151" s="78" t="s">
        <v>55</v>
      </c>
      <c r="T151" s="84" t="s">
        <v>47</v>
      </c>
      <c r="U151" s="485"/>
      <c r="V151" s="12"/>
      <c r="W151" s="486"/>
      <c r="X151" s="84" t="s">
        <v>47</v>
      </c>
      <c r="Y151" s="84" t="s">
        <v>48</v>
      </c>
      <c r="Z151" s="84" t="s">
        <v>49</v>
      </c>
      <c r="AA151" s="84"/>
      <c r="AB151" s="489"/>
      <c r="AC151" s="84" t="s">
        <v>60</v>
      </c>
      <c r="AD151" s="489"/>
    </row>
    <row r="152" spans="1:30" ht="14.1" customHeight="1">
      <c r="A152" s="471" t="str">
        <f>IF(B152="","",1)</f>
        <v/>
      </c>
      <c r="B152" s="348"/>
      <c r="C152" s="54"/>
      <c r="D152" s="472">
        <f>TRUNC(C152)+((C152-TRUNC(C152))/0.6)</f>
        <v>0</v>
      </c>
      <c r="E152" s="472">
        <f>TRUNC(C153)+((C153-TRUNC(C153))/0.6)</f>
        <v>0</v>
      </c>
      <c r="F152" s="473">
        <f>ROUND(((LOG10(TAN(PI()/4+(D152/2*PI()/180)))*7915.7046)-(3437.7468*((0.0816968^2*SIN(D152*PI()/180))+(0.0816968^4/3*((SIN(D152*PI()/180))^3))+(0.0816968^6/5*((SIN(D152*PI()/180))^5))))),2)</f>
        <v>0</v>
      </c>
      <c r="G152" s="58"/>
      <c r="H152" s="464">
        <f>IF(E152&lt;0,E152+360,E152)</f>
        <v>0</v>
      </c>
      <c r="I152" s="88"/>
      <c r="J152" s="58"/>
      <c r="K152" s="58"/>
      <c r="L152" s="58"/>
      <c r="M152" s="58"/>
      <c r="N152" s="59"/>
      <c r="O152" s="60"/>
      <c r="P152" s="60"/>
      <c r="Q152" s="465" t="str">
        <f>IF(O153="","",0)</f>
        <v/>
      </c>
      <c r="R152" s="465"/>
      <c r="S152" s="61"/>
      <c r="T152" s="61" t="s">
        <v>7</v>
      </c>
      <c r="U152" s="62"/>
      <c r="V152" s="63"/>
      <c r="W152" s="482"/>
      <c r="X152" s="61"/>
      <c r="Y152" s="61"/>
      <c r="Z152" s="61"/>
      <c r="AA152" s="61"/>
      <c r="AB152" s="52"/>
      <c r="AC152" s="68"/>
      <c r="AD152" s="483"/>
    </row>
    <row r="153" spans="1:30" ht="14.1" customHeight="1">
      <c r="A153" s="471"/>
      <c r="B153" s="349"/>
      <c r="C153" s="55"/>
      <c r="D153" s="472"/>
      <c r="E153" s="472"/>
      <c r="F153" s="473"/>
      <c r="G153" s="464">
        <f>ABS(D152-D154)*60</f>
        <v>0</v>
      </c>
      <c r="H153" s="464"/>
      <c r="I153" s="477">
        <f>ABS(H152-H154)*60</f>
        <v>0</v>
      </c>
      <c r="J153" s="478">
        <f>ABS(F152-F154)</f>
        <v>0</v>
      </c>
      <c r="K153" s="479" t="e">
        <f>IF(AND(D152&lt;D154,H152=H154),0,IF(AND(D152&gt;D154,H152=H154),180,IF(AND(D152=D154,H152&lt;H154),90,IF(AND(D152=D154,H152&gt;H154),270,(ATAN(I153/J153)*180/PI())))))</f>
        <v>#DIV/0!</v>
      </c>
      <c r="L153" s="472" t="e">
        <f>IF(OR(K153=0,K153=90,K153=180,K153=270),K153,IF(AND(D152&lt;D154,H152&lt;H154),K153,IF(AND(D152&lt;D154,H152&gt;H154),360-K153,IF(AND(D152&gt;D154,H152&lt;H154),180-K153,IF(AND(D152&gt;D154,H152&gt;H154),180+K153)))))</f>
        <v>#DIV/0!</v>
      </c>
      <c r="M153" s="472">
        <f>(IF(I153=0,G153,IF(G153=0,COS(D154*PI()/180)*I153,G153/COS(K153*PI()/180))))</f>
        <v>0</v>
      </c>
      <c r="N153" s="468" t="str">
        <f>IF(C155="","",ROUND(L153,1))</f>
        <v/>
      </c>
      <c r="O153" s="469" t="str">
        <f>IF(C155="","",ROUND(M153,1))</f>
        <v/>
      </c>
      <c r="P153" s="353"/>
      <c r="Q153" s="465"/>
      <c r="R153" s="465"/>
      <c r="S153" s="64"/>
      <c r="T153" s="64" t="s">
        <v>23</v>
      </c>
      <c r="U153" s="358"/>
      <c r="V153" s="470" t="e">
        <f>(O153/P153+U153/60)/24</f>
        <v>#VALUE!</v>
      </c>
      <c r="W153" s="482"/>
      <c r="X153" s="64"/>
      <c r="Y153" s="65"/>
      <c r="Z153" s="64"/>
      <c r="AA153" s="64"/>
      <c r="AB153" s="53"/>
      <c r="AC153" s="69"/>
      <c r="AD153" s="480"/>
    </row>
    <row r="154" spans="1:30" ht="14.1" customHeight="1">
      <c r="A154" s="471" t="str">
        <f>IF(B154="","",A152+1)</f>
        <v/>
      </c>
      <c r="B154" s="394"/>
      <c r="C154" s="54"/>
      <c r="D154" s="472">
        <f>TRUNC(C154)+((C154-TRUNC(C154))/0.6)</f>
        <v>0</v>
      </c>
      <c r="E154" s="472">
        <f>TRUNC(C155)+((C155-TRUNC(C155))/0.6)</f>
        <v>0</v>
      </c>
      <c r="F154" s="473">
        <f>ROUND(((LOG10(TAN(PI()/4+(D154/2*PI()/180)))*7915.7046)-(3437.7468*((0.0816968^2*SIN(D154*PI()/180))+(0.0816968^4/3*((SIN(D154*PI()/180))^3))+(0.0816968^6/5*((SIN(D154*PI()/180))^5))))),2)</f>
        <v>0</v>
      </c>
      <c r="G154" s="464"/>
      <c r="H154" s="464">
        <f>IF(E154&lt;0,E154+360,E154)</f>
        <v>0</v>
      </c>
      <c r="I154" s="477"/>
      <c r="J154" s="478"/>
      <c r="K154" s="479"/>
      <c r="L154" s="472"/>
      <c r="M154" s="472"/>
      <c r="N154" s="468"/>
      <c r="O154" s="469"/>
      <c r="P154" s="353"/>
      <c r="Q154" s="465" t="str">
        <f>IF(O153="","",Q152+O153)</f>
        <v/>
      </c>
      <c r="R154" s="465" t="str">
        <f>IF(O153="","",R152-O153)</f>
        <v/>
      </c>
      <c r="S154" s="61"/>
      <c r="T154" s="61" t="s">
        <v>7</v>
      </c>
      <c r="U154" s="355"/>
      <c r="V154" s="470"/>
      <c r="W154" s="466" t="str">
        <f>IF(P153="","",W152+V153)</f>
        <v/>
      </c>
      <c r="X154" s="61"/>
      <c r="Y154" s="61"/>
      <c r="Z154" s="61"/>
      <c r="AA154" s="61"/>
      <c r="AB154" s="52"/>
      <c r="AC154" s="68"/>
      <c r="AD154" s="480"/>
    </row>
    <row r="155" spans="1:30" ht="14.1" customHeight="1">
      <c r="A155" s="471"/>
      <c r="B155" s="395"/>
      <c r="C155" s="55"/>
      <c r="D155" s="472"/>
      <c r="E155" s="472"/>
      <c r="F155" s="473"/>
      <c r="G155" s="464">
        <f>ABS(D154-D156)*60</f>
        <v>0</v>
      </c>
      <c r="H155" s="464"/>
      <c r="I155" s="477">
        <f>ABS(H154-H156)*60</f>
        <v>0</v>
      </c>
      <c r="J155" s="478">
        <f>ABS(F154-F156)</f>
        <v>0</v>
      </c>
      <c r="K155" s="479" t="e">
        <f>IF(AND(D154&lt;D156,H154=H156),0,IF(AND(D154&gt;D156,H154=H156),180,IF(AND(D154=D156,H154&lt;H156),90,IF(AND(D154=D156,H154&gt;H156),270,(ATAN(I155/J155)*180/PI())))))</f>
        <v>#DIV/0!</v>
      </c>
      <c r="L155" s="472" t="e">
        <f>IF(OR(K155=0,K155=90,K155=180,K155=270),K155,IF(AND(D154&lt;D156,H154&lt;H156),K155,IF(AND(D154&lt;D156,H154&gt;H156),360-K155,IF(AND(D154&gt;D156,H154&lt;H156),180-K155,IF(AND(D154&gt;D156,H154&gt;H156),180+K155)))))</f>
        <v>#DIV/0!</v>
      </c>
      <c r="M155" s="472">
        <f>(IF(I155=0,G155,IF(G155=0,COS(D156*PI()/180)*I155,G155/COS(K155*PI()/180))))</f>
        <v>0</v>
      </c>
      <c r="N155" s="468" t="str">
        <f>IF(C157="","",ROUND(L155,1))</f>
        <v/>
      </c>
      <c r="O155" s="469" t="str">
        <f>IF(C157="","",ROUND(M155,1))</f>
        <v/>
      </c>
      <c r="P155" s="353"/>
      <c r="Q155" s="465"/>
      <c r="R155" s="465"/>
      <c r="S155" s="64"/>
      <c r="T155" s="64" t="s">
        <v>23</v>
      </c>
      <c r="U155" s="358"/>
      <c r="V155" s="470" t="e">
        <f>(O155/P155+U155/60)/24</f>
        <v>#VALUE!</v>
      </c>
      <c r="W155" s="466"/>
      <c r="X155" s="64"/>
      <c r="Y155" s="65"/>
      <c r="Z155" s="64"/>
      <c r="AA155" s="64"/>
      <c r="AB155" s="53"/>
      <c r="AC155" s="69"/>
      <c r="AD155" s="480"/>
    </row>
    <row r="156" spans="1:30" ht="14.1" customHeight="1">
      <c r="A156" s="471" t="str">
        <f>IF(B156="","",A154+1)</f>
        <v/>
      </c>
      <c r="B156" s="392"/>
      <c r="C156" s="54"/>
      <c r="D156" s="472">
        <f>TRUNC(C156)+((C156-TRUNC(C156))/0.6)</f>
        <v>0</v>
      </c>
      <c r="E156" s="472">
        <f>TRUNC(C157)+((C157-TRUNC(C157))/0.6)</f>
        <v>0</v>
      </c>
      <c r="F156" s="473">
        <f>ROUND(((LOG10(TAN(PI()/4+(D156/2*PI()/180)))*7915.7046)-(3437.7468*((0.0816968^2*SIN(D156*PI()/180))+(0.0816968^4/3*((SIN(D156*PI()/180))^3))+(0.0816968^6/5*((SIN(D156*PI()/180))^5))))),2)</f>
        <v>0</v>
      </c>
      <c r="G156" s="464"/>
      <c r="H156" s="464">
        <f>IF(E156&lt;0,E156+360,E156)</f>
        <v>0</v>
      </c>
      <c r="I156" s="477"/>
      <c r="J156" s="478"/>
      <c r="K156" s="479"/>
      <c r="L156" s="472"/>
      <c r="M156" s="472"/>
      <c r="N156" s="468"/>
      <c r="O156" s="469"/>
      <c r="P156" s="353"/>
      <c r="Q156" s="465" t="str">
        <f>IF(O155="","",Q154+O155)</f>
        <v/>
      </c>
      <c r="R156" s="465" t="str">
        <f>IF(O155="","",R154-O155)</f>
        <v/>
      </c>
      <c r="S156" s="61"/>
      <c r="T156" s="61" t="s">
        <v>7</v>
      </c>
      <c r="U156" s="355"/>
      <c r="V156" s="470"/>
      <c r="W156" s="466" t="str">
        <f>IF(P155="","",W154+V155)</f>
        <v/>
      </c>
      <c r="X156" s="61"/>
      <c r="Y156" s="61"/>
      <c r="Z156" s="61"/>
      <c r="AA156" s="61"/>
      <c r="AB156" s="52"/>
      <c r="AC156" s="68"/>
      <c r="AD156" s="480"/>
    </row>
    <row r="157" spans="1:30" ht="14.1" customHeight="1">
      <c r="A157" s="471"/>
      <c r="B157" s="392"/>
      <c r="C157" s="55"/>
      <c r="D157" s="472"/>
      <c r="E157" s="472"/>
      <c r="F157" s="473"/>
      <c r="G157" s="464">
        <f>ABS(D156-D158)*60</f>
        <v>0</v>
      </c>
      <c r="H157" s="464"/>
      <c r="I157" s="477">
        <f>ABS(H156-H158)*60</f>
        <v>0</v>
      </c>
      <c r="J157" s="478">
        <f>ABS(F156-F158)</f>
        <v>0</v>
      </c>
      <c r="K157" s="479" t="e">
        <f>IF(AND(D156&lt;D158,H156=H158),0,IF(AND(D156&gt;D158,H156=H158),180,IF(AND(D156=D158,H156&lt;H158),90,IF(AND(D156=D158,H156&gt;H158),270,(ATAN(I157/J157)*180/PI())))))</f>
        <v>#DIV/0!</v>
      </c>
      <c r="L157" s="472" t="e">
        <f>IF(OR(K157=0,K157=90,K157=180,K157=270),K157,IF(AND(D156&lt;D158,H156&lt;H158),K157,IF(AND(D156&lt;D158,H156&gt;H158),360-K157,IF(AND(D156&gt;D158,H156&lt;H158),180-K157,IF(AND(D156&gt;D158,H156&gt;H158),180+K157)))))</f>
        <v>#DIV/0!</v>
      </c>
      <c r="M157" s="472">
        <f>(IF(I157=0,G157,IF(G157=0,COS(D158*PI()/180)*I157,G157/COS(K157*PI()/180))))</f>
        <v>0</v>
      </c>
      <c r="N157" s="468" t="str">
        <f>IF(C159="","",ROUND(L157,1))</f>
        <v/>
      </c>
      <c r="O157" s="469" t="str">
        <f>IF(C159="","",ROUND(M157,1))</f>
        <v/>
      </c>
      <c r="P157" s="353"/>
      <c r="Q157" s="465"/>
      <c r="R157" s="465"/>
      <c r="S157" s="64"/>
      <c r="T157" s="64" t="s">
        <v>23</v>
      </c>
      <c r="U157" s="358"/>
      <c r="V157" s="470" t="e">
        <f>(O157/P157+U157/60)/24</f>
        <v>#VALUE!</v>
      </c>
      <c r="W157" s="466"/>
      <c r="X157" s="64"/>
      <c r="Y157" s="65"/>
      <c r="Z157" s="64"/>
      <c r="AA157" s="64"/>
      <c r="AB157" s="53"/>
      <c r="AC157" s="69"/>
      <c r="AD157" s="480"/>
    </row>
    <row r="158" spans="1:30" ht="14.1" customHeight="1">
      <c r="A158" s="471" t="str">
        <f>IF(B158="","",A156+1)</f>
        <v/>
      </c>
      <c r="B158" s="392"/>
      <c r="C158" s="54"/>
      <c r="D158" s="472">
        <f>TRUNC(C158)+((C158-TRUNC(C158))/0.6)</f>
        <v>0</v>
      </c>
      <c r="E158" s="472">
        <f>TRUNC(C159)+((C159-TRUNC(C159))/0.6)</f>
        <v>0</v>
      </c>
      <c r="F158" s="473">
        <f>ROUND(((LOG10(TAN(PI()/4+(D158/2*PI()/180)))*7915.7046)-(3437.7468*((0.0816968^2*SIN(D158*PI()/180))+(0.0816968^4/3*((SIN(D158*PI()/180))^3))+(0.0816968^6/5*((SIN(D158*PI()/180))^5))))),2)</f>
        <v>0</v>
      </c>
      <c r="G158" s="464"/>
      <c r="H158" s="464">
        <f>IF(E158&lt;0,E158+360,E158)</f>
        <v>0</v>
      </c>
      <c r="I158" s="477"/>
      <c r="J158" s="478"/>
      <c r="K158" s="479"/>
      <c r="L158" s="472"/>
      <c r="M158" s="472"/>
      <c r="N158" s="468"/>
      <c r="O158" s="469"/>
      <c r="P158" s="353"/>
      <c r="Q158" s="465" t="str">
        <f>IF(O157="","",Q156+O157)</f>
        <v/>
      </c>
      <c r="R158" s="465" t="str">
        <f>IF(O157="","",R156-O157)</f>
        <v/>
      </c>
      <c r="S158" s="61"/>
      <c r="T158" s="61" t="s">
        <v>7</v>
      </c>
      <c r="U158" s="355"/>
      <c r="V158" s="470"/>
      <c r="W158" s="466" t="str">
        <f>IF(P157="","",W156+V157)</f>
        <v/>
      </c>
      <c r="X158" s="61"/>
      <c r="Y158" s="61"/>
      <c r="Z158" s="61"/>
      <c r="AA158" s="61"/>
      <c r="AB158" s="52"/>
      <c r="AC158" s="68"/>
      <c r="AD158" s="480"/>
    </row>
    <row r="159" spans="1:30" ht="14.1" customHeight="1">
      <c r="A159" s="471"/>
      <c r="B159" s="392"/>
      <c r="C159" s="55"/>
      <c r="D159" s="472"/>
      <c r="E159" s="472"/>
      <c r="F159" s="473"/>
      <c r="G159" s="464">
        <f>ABS(D158-D160)*60</f>
        <v>0</v>
      </c>
      <c r="H159" s="464"/>
      <c r="I159" s="477">
        <f>ABS(H158-H160)*60</f>
        <v>0</v>
      </c>
      <c r="J159" s="478">
        <f>ABS(F158-F160)</f>
        <v>0</v>
      </c>
      <c r="K159" s="479" t="e">
        <f>IF(AND(D158&lt;D160,H158=H160),0,IF(AND(D158&gt;D160,H158=H160),180,IF(AND(D158=D160,H158&lt;H160),90,IF(AND(D158=D160,H158&gt;H160),270,(ATAN(I159/J159)*180/PI())))))</f>
        <v>#DIV/0!</v>
      </c>
      <c r="L159" s="472" t="e">
        <f>IF(OR(K159=0,K159=90,K159=180,K159=270),K159,IF(AND(D158&lt;D160,H158&lt;H160),K159,IF(AND(D158&lt;D160,H158&gt;H160),360-K159,IF(AND(D158&gt;D160,H158&lt;H160),180-K159,IF(AND(D158&gt;D160,H158&gt;H160),180+K159)))))</f>
        <v>#DIV/0!</v>
      </c>
      <c r="M159" s="472">
        <f>(IF(I159=0,G159,IF(G159=0,COS(D160*PI()/180)*I159,G159/COS(K159*PI()/180))))</f>
        <v>0</v>
      </c>
      <c r="N159" s="468" t="str">
        <f>IF(C161="","",ROUND(L159,1))</f>
        <v/>
      </c>
      <c r="O159" s="469" t="str">
        <f>IF(C161="","",ROUND(M159,1))</f>
        <v/>
      </c>
      <c r="P159" s="353"/>
      <c r="Q159" s="465"/>
      <c r="R159" s="465"/>
      <c r="S159" s="64"/>
      <c r="T159" s="64" t="s">
        <v>23</v>
      </c>
      <c r="U159" s="358"/>
      <c r="V159" s="470" t="e">
        <f>(O159/P159+U159/60)/24</f>
        <v>#VALUE!</v>
      </c>
      <c r="W159" s="466"/>
      <c r="X159" s="64"/>
      <c r="Y159" s="65"/>
      <c r="Z159" s="64"/>
      <c r="AA159" s="64"/>
      <c r="AB159" s="53"/>
      <c r="AC159" s="69"/>
      <c r="AD159" s="480"/>
    </row>
    <row r="160" spans="1:30" ht="14.1" customHeight="1">
      <c r="A160" s="471" t="str">
        <f>IF(B160="","",A158+1)</f>
        <v/>
      </c>
      <c r="B160" s="392"/>
      <c r="C160" s="54"/>
      <c r="D160" s="472">
        <f>TRUNC(C160)+((C160-TRUNC(C160))/0.6)</f>
        <v>0</v>
      </c>
      <c r="E160" s="472">
        <f>TRUNC(C161)+((C161-TRUNC(C161))/0.6)</f>
        <v>0</v>
      </c>
      <c r="F160" s="473">
        <f>ROUND(((LOG10(TAN(PI()/4+(D160/2*PI()/180)))*7915.7046)-(3437.7468*((0.0816968^2*SIN(D160*PI()/180))+(0.0816968^4/3*((SIN(D160*PI()/180))^3))+(0.0816968^6/5*((SIN(D160*PI()/180))^5))))),2)</f>
        <v>0</v>
      </c>
      <c r="G160" s="464"/>
      <c r="H160" s="464">
        <f>IF(E160&lt;0,E160+360,E160)</f>
        <v>0</v>
      </c>
      <c r="I160" s="477"/>
      <c r="J160" s="478"/>
      <c r="K160" s="479"/>
      <c r="L160" s="472"/>
      <c r="M160" s="472"/>
      <c r="N160" s="468"/>
      <c r="O160" s="469"/>
      <c r="P160" s="353"/>
      <c r="Q160" s="465" t="str">
        <f>IF(O159="","",Q158+O159)</f>
        <v/>
      </c>
      <c r="R160" s="465" t="str">
        <f>IF(O159="","",R158-O159)</f>
        <v/>
      </c>
      <c r="S160" s="61"/>
      <c r="T160" s="61" t="s">
        <v>7</v>
      </c>
      <c r="U160" s="355"/>
      <c r="V160" s="470"/>
      <c r="W160" s="466" t="str">
        <f>IF(P159="","",W158+V159)</f>
        <v/>
      </c>
      <c r="X160" s="61"/>
      <c r="Y160" s="61"/>
      <c r="Z160" s="61"/>
      <c r="AA160" s="61"/>
      <c r="AB160" s="52"/>
      <c r="AC160" s="68"/>
      <c r="AD160" s="480"/>
    </row>
    <row r="161" spans="1:30" ht="14.1" customHeight="1">
      <c r="A161" s="471"/>
      <c r="B161" s="392"/>
      <c r="C161" s="55"/>
      <c r="D161" s="472"/>
      <c r="E161" s="472"/>
      <c r="F161" s="473"/>
      <c r="G161" s="464">
        <f>ABS(D160-D162)*60</f>
        <v>0</v>
      </c>
      <c r="H161" s="464"/>
      <c r="I161" s="477">
        <f>ABS(H160-H162)*60</f>
        <v>0</v>
      </c>
      <c r="J161" s="478">
        <f>ABS(F160-F162)</f>
        <v>0</v>
      </c>
      <c r="K161" s="479" t="e">
        <f>IF(AND(D160&lt;D162,H160=H162),0,IF(AND(D160&gt;D162,H160=H162),180,IF(AND(D160=D162,H160&lt;H162),90,IF(AND(D160=D162,H160&gt;H162),270,(ATAN(I161/J161)*180/PI())))))</f>
        <v>#DIV/0!</v>
      </c>
      <c r="L161" s="472" t="e">
        <f>IF(OR(K161=0,K161=90,K161=180,K161=270),K161,IF(AND(D160&lt;D162,H160&lt;H162),K161,IF(AND(D160&lt;D162,H160&gt;H162),360-K161,IF(AND(D160&gt;D162,H160&lt;H162),180-K161,IF(AND(D160&gt;D162,H160&gt;H162),180+K161)))))</f>
        <v>#DIV/0!</v>
      </c>
      <c r="M161" s="472">
        <f>(IF(I161=0,G161,IF(G161=0,COS(D162*PI()/180)*I161,G161/COS(K161*PI()/180))))</f>
        <v>0</v>
      </c>
      <c r="N161" s="468" t="str">
        <f>IF(C163="","",ROUND(L161,1))</f>
        <v/>
      </c>
      <c r="O161" s="469" t="str">
        <f>IF(C163="","",ROUND(M161,1))</f>
        <v/>
      </c>
      <c r="P161" s="353"/>
      <c r="Q161" s="465"/>
      <c r="R161" s="465"/>
      <c r="S161" s="64"/>
      <c r="T161" s="64" t="s">
        <v>24</v>
      </c>
      <c r="U161" s="358"/>
      <c r="V161" s="470" t="e">
        <f>(O161/P161+U161/60)/24</f>
        <v>#VALUE!</v>
      </c>
      <c r="W161" s="466"/>
      <c r="X161" s="64"/>
      <c r="Y161" s="65"/>
      <c r="Z161" s="64"/>
      <c r="AA161" s="64"/>
      <c r="AB161" s="53"/>
      <c r="AC161" s="69"/>
      <c r="AD161" s="480"/>
    </row>
    <row r="162" spans="1:30" ht="14.1" customHeight="1">
      <c r="A162" s="471" t="str">
        <f>IF(B162="","",A160+1)</f>
        <v/>
      </c>
      <c r="B162" s="392"/>
      <c r="C162" s="54"/>
      <c r="D162" s="472">
        <f>TRUNC(C162)+((C162-TRUNC(C162))/0.6)</f>
        <v>0</v>
      </c>
      <c r="E162" s="472">
        <f>TRUNC(C163)+((C163-TRUNC(C163))/0.6)</f>
        <v>0</v>
      </c>
      <c r="F162" s="473">
        <f>ROUND(((LOG10(TAN(PI()/4+(D162/2*PI()/180)))*7915.7046)-(3437.7468*((0.0816968^2*SIN(D162*PI()/180))+(0.0816968^4/3*((SIN(D162*PI()/180))^3))+(0.0816968^6/5*((SIN(D162*PI()/180))^5))))),2)</f>
        <v>0</v>
      </c>
      <c r="G162" s="464"/>
      <c r="H162" s="464">
        <f>IF(E162&lt;0,E162+360,E162)</f>
        <v>0</v>
      </c>
      <c r="I162" s="477"/>
      <c r="J162" s="478"/>
      <c r="K162" s="479"/>
      <c r="L162" s="472"/>
      <c r="M162" s="472"/>
      <c r="N162" s="468"/>
      <c r="O162" s="469"/>
      <c r="P162" s="353"/>
      <c r="Q162" s="465" t="str">
        <f>IF(O161="","",Q160+O161)</f>
        <v/>
      </c>
      <c r="R162" s="465" t="str">
        <f>IF(O161="","",R160-O161)</f>
        <v/>
      </c>
      <c r="S162" s="61"/>
      <c r="T162" s="61" t="s">
        <v>7</v>
      </c>
      <c r="U162" s="355"/>
      <c r="V162" s="470"/>
      <c r="W162" s="466" t="str">
        <f>IF(P161="","",W160+V161)</f>
        <v/>
      </c>
      <c r="X162" s="61"/>
      <c r="Y162" s="61"/>
      <c r="Z162" s="61"/>
      <c r="AA162" s="61"/>
      <c r="AB162" s="52"/>
      <c r="AC162" s="68"/>
      <c r="AD162" s="480"/>
    </row>
    <row r="163" spans="1:30" ht="14.1" customHeight="1">
      <c r="A163" s="471"/>
      <c r="B163" s="392"/>
      <c r="C163" s="55"/>
      <c r="D163" s="472"/>
      <c r="E163" s="472"/>
      <c r="F163" s="473"/>
      <c r="G163" s="464">
        <f>ABS(D162-D164)*60</f>
        <v>0</v>
      </c>
      <c r="H163" s="464"/>
      <c r="I163" s="477">
        <f>ABS(H162-H164)*60</f>
        <v>0</v>
      </c>
      <c r="J163" s="478">
        <f>ABS(F162-F164)</f>
        <v>0</v>
      </c>
      <c r="K163" s="479" t="e">
        <f>IF(AND(D162&lt;D164,H162=H164),0,IF(AND(D162&gt;D164,H162=H164),180,IF(AND(D162=D164,H162&lt;H164),90,IF(AND(D162=D164,H162&gt;H164),270,(ATAN(I163/J163)*180/PI())))))</f>
        <v>#DIV/0!</v>
      </c>
      <c r="L163" s="472" t="e">
        <f>IF(OR(K163=0,K163=90,K163=180,K163=270),K163,IF(AND(D162&lt;D164,H162&lt;H164),K163,IF(AND(D162&lt;D164,H162&gt;H164),360-K163,IF(AND(D162&gt;D164,H162&lt;H164),180-K163,IF(AND(D162&gt;D164,H162&gt;H164),180+K163)))))</f>
        <v>#DIV/0!</v>
      </c>
      <c r="M163" s="472">
        <f>(IF(I163=0,G163,IF(G163=0,COS(D164*PI()/180)*I163,G163/COS(K163*PI()/180))))</f>
        <v>0</v>
      </c>
      <c r="N163" s="468" t="str">
        <f>IF(C165="","",ROUND(L163,1))</f>
        <v/>
      </c>
      <c r="O163" s="469" t="str">
        <f>IF(C165="","",ROUND(M163,1))</f>
        <v/>
      </c>
      <c r="P163" s="353"/>
      <c r="Q163" s="465"/>
      <c r="R163" s="465"/>
      <c r="S163" s="64"/>
      <c r="T163" s="64" t="s">
        <v>23</v>
      </c>
      <c r="U163" s="358"/>
      <c r="V163" s="470" t="e">
        <f>(O163/P163+U163/60)/24</f>
        <v>#VALUE!</v>
      </c>
      <c r="W163" s="466"/>
      <c r="X163" s="64"/>
      <c r="Y163" s="65"/>
      <c r="Z163" s="64"/>
      <c r="AA163" s="64"/>
      <c r="AB163" s="53"/>
      <c r="AC163" s="69"/>
      <c r="AD163" s="480"/>
    </row>
    <row r="164" spans="1:30" ht="14.1" customHeight="1">
      <c r="A164" s="471" t="str">
        <f>IF(B164="","",A162+1)</f>
        <v/>
      </c>
      <c r="B164" s="392"/>
      <c r="C164" s="54"/>
      <c r="D164" s="472">
        <f>TRUNC(C164)+((C164-TRUNC(C164))/0.6)</f>
        <v>0</v>
      </c>
      <c r="E164" s="472">
        <f>TRUNC(C165)+((C165-TRUNC(C165))/0.6)</f>
        <v>0</v>
      </c>
      <c r="F164" s="473">
        <f>ROUND(((LOG10(TAN(PI()/4+(D164/2*PI()/180)))*7915.7046)-(3437.7468*((0.0816968^2*SIN(D164*PI()/180))+(0.0816968^4/3*((SIN(D164*PI()/180))^3))+(0.0816968^6/5*((SIN(D164*PI()/180))^5))))),2)</f>
        <v>0</v>
      </c>
      <c r="G164" s="464"/>
      <c r="H164" s="464">
        <f>IF(E164&lt;0,E164+360,E164)</f>
        <v>0</v>
      </c>
      <c r="I164" s="477"/>
      <c r="J164" s="478"/>
      <c r="K164" s="479"/>
      <c r="L164" s="472"/>
      <c r="M164" s="472"/>
      <c r="N164" s="468"/>
      <c r="O164" s="469"/>
      <c r="P164" s="353"/>
      <c r="Q164" s="465" t="str">
        <f>IF(O163="","",Q162+O163)</f>
        <v/>
      </c>
      <c r="R164" s="465" t="str">
        <f>IF(O163="","",R162-O163)</f>
        <v/>
      </c>
      <c r="S164" s="61"/>
      <c r="T164" s="61" t="s">
        <v>25</v>
      </c>
      <c r="U164" s="355"/>
      <c r="V164" s="470"/>
      <c r="W164" s="466" t="str">
        <f>IF(P163="","",W162+V163)</f>
        <v/>
      </c>
      <c r="X164" s="61"/>
      <c r="Y164" s="61"/>
      <c r="Z164" s="61"/>
      <c r="AA164" s="61"/>
      <c r="AB164" s="52"/>
      <c r="AC164" s="68"/>
      <c r="AD164" s="480"/>
    </row>
    <row r="165" spans="1:30" ht="14.1" customHeight="1">
      <c r="A165" s="471"/>
      <c r="B165" s="392"/>
      <c r="C165" s="55"/>
      <c r="D165" s="472"/>
      <c r="E165" s="472"/>
      <c r="F165" s="473"/>
      <c r="G165" s="464">
        <f>ABS(D164-D166)*60</f>
        <v>0</v>
      </c>
      <c r="H165" s="464"/>
      <c r="I165" s="477">
        <f>ABS(H164-H166)*60</f>
        <v>0</v>
      </c>
      <c r="J165" s="478">
        <f>ABS(F164-F166)</f>
        <v>0</v>
      </c>
      <c r="K165" s="479" t="e">
        <f>IF(AND(D164&lt;D166,H164=H166),0,IF(AND(D164&gt;D166,H164=H166),180,IF(AND(D164=D166,H164&lt;H166),90,IF(AND(D164=D166,H164&gt;H166),270,(ATAN(I165/J165)*180/PI())))))</f>
        <v>#DIV/0!</v>
      </c>
      <c r="L165" s="472" t="e">
        <f>IF(OR(K165=0,K165=90,K165=180,K165=270),K165,IF(AND(D164&lt;D166,H164&lt;H166),K165,IF(AND(D164&lt;D166,H164&gt;H166),360-K165,IF(AND(D164&gt;D166,H164&lt;H166),180-K165,IF(AND(D164&gt;D166,H164&gt;H166),180+K165)))))</f>
        <v>#DIV/0!</v>
      </c>
      <c r="M165" s="472">
        <f>(IF(I165=0,G165,IF(G165=0,COS(D166*PI()/180)*I165,G165/COS(K165*PI()/180))))</f>
        <v>0</v>
      </c>
      <c r="N165" s="468" t="str">
        <f>IF(C167="","",ROUND(L165,1))</f>
        <v/>
      </c>
      <c r="O165" s="469" t="str">
        <f>IF(C167="","",ROUND(M165,1))</f>
        <v/>
      </c>
      <c r="P165" s="353"/>
      <c r="Q165" s="465"/>
      <c r="R165" s="465"/>
      <c r="S165" s="64"/>
      <c r="T165" s="64" t="s">
        <v>24</v>
      </c>
      <c r="U165" s="358"/>
      <c r="V165" s="470" t="e">
        <f>(O165/P165+U165/60)/24</f>
        <v>#VALUE!</v>
      </c>
      <c r="W165" s="466"/>
      <c r="X165" s="64"/>
      <c r="Y165" s="65"/>
      <c r="Z165" s="64"/>
      <c r="AA165" s="64"/>
      <c r="AB165" s="53"/>
      <c r="AC165" s="69"/>
      <c r="AD165" s="480"/>
    </row>
    <row r="166" spans="1:30" ht="14.1" customHeight="1">
      <c r="A166" s="471" t="str">
        <f>IF(B166="","",A164+1)</f>
        <v/>
      </c>
      <c r="B166" s="392"/>
      <c r="C166" s="54"/>
      <c r="D166" s="472">
        <f>TRUNC(C166)+((C166-TRUNC(C166))/0.6)</f>
        <v>0</v>
      </c>
      <c r="E166" s="472">
        <f>TRUNC(C167)+((C167-TRUNC(C167))/0.6)</f>
        <v>0</v>
      </c>
      <c r="F166" s="473">
        <f>ROUND(((LOG10(TAN(PI()/4+(D166/2*PI()/180)))*7915.7046)-(3437.7468*((0.0816968^2*SIN(D166*PI()/180))+(0.0816968^4/3*((SIN(D166*PI()/180))^3))+(0.0816968^6/5*((SIN(D166*PI()/180))^5))))),2)</f>
        <v>0</v>
      </c>
      <c r="G166" s="464"/>
      <c r="H166" s="464">
        <f>IF(E166&lt;0,E166+360,E166)</f>
        <v>0</v>
      </c>
      <c r="I166" s="477"/>
      <c r="J166" s="478"/>
      <c r="K166" s="479"/>
      <c r="L166" s="472"/>
      <c r="M166" s="472"/>
      <c r="N166" s="468"/>
      <c r="O166" s="469"/>
      <c r="P166" s="353"/>
      <c r="Q166" s="465" t="str">
        <f>IF(O165="","",Q164+O165)</f>
        <v/>
      </c>
      <c r="R166" s="465" t="str">
        <f>IF(O165="","",R164-O165)</f>
        <v/>
      </c>
      <c r="S166" s="61"/>
      <c r="T166" s="61" t="s">
        <v>25</v>
      </c>
      <c r="U166" s="355"/>
      <c r="V166" s="470"/>
      <c r="W166" s="466" t="str">
        <f>IF(P165="","",W164+V165)</f>
        <v/>
      </c>
      <c r="X166" s="61"/>
      <c r="Y166" s="61"/>
      <c r="Z166" s="61"/>
      <c r="AA166" s="61"/>
      <c r="AB166" s="52"/>
      <c r="AC166" s="68"/>
      <c r="AD166" s="480"/>
    </row>
    <row r="167" spans="1:30" ht="14.1" customHeight="1">
      <c r="A167" s="471"/>
      <c r="B167" s="392"/>
      <c r="C167" s="55"/>
      <c r="D167" s="472"/>
      <c r="E167" s="472"/>
      <c r="F167" s="473"/>
      <c r="G167" s="464">
        <f>ABS(D166-D168)*60</f>
        <v>0</v>
      </c>
      <c r="H167" s="464"/>
      <c r="I167" s="477">
        <f>ABS(H166-H168)*60</f>
        <v>0</v>
      </c>
      <c r="J167" s="478">
        <f>ABS(F166-F168)</f>
        <v>0</v>
      </c>
      <c r="K167" s="479" t="e">
        <f>IF(AND(D166&lt;D168,H166=H168),0,IF(AND(D166&gt;D168,H166=H168),180,IF(AND(D166=D168,H166&lt;H168),90,IF(AND(D166=D168,H166&gt;H168),270,(ATAN(I167/J167)*180/PI())))))</f>
        <v>#DIV/0!</v>
      </c>
      <c r="L167" s="472" t="e">
        <f>IF(OR(K167=0,K167=90,K167=180,K167=270),K167,IF(AND(D166&lt;D168,H166&lt;H168),K167,IF(AND(D166&lt;D168,H166&gt;H168),360-K167,IF(AND(D166&gt;D168,H166&lt;H168),180-K167,IF(AND(D166&gt;D168,H166&gt;H168),180+K167)))))</f>
        <v>#DIV/0!</v>
      </c>
      <c r="M167" s="472">
        <f>(IF(I167=0,G167,IF(G167=0,COS(D168*PI()/180)*I167,G167/COS(K167*PI()/180))))</f>
        <v>0</v>
      </c>
      <c r="N167" s="468" t="str">
        <f>IF(C169="","",ROUND(L167,1))</f>
        <v/>
      </c>
      <c r="O167" s="469" t="str">
        <f>IF(C169="","",ROUND(M167,1))</f>
        <v/>
      </c>
      <c r="P167" s="353"/>
      <c r="Q167" s="465"/>
      <c r="R167" s="465"/>
      <c r="S167" s="64"/>
      <c r="T167" s="64" t="s">
        <v>24</v>
      </c>
      <c r="U167" s="358"/>
      <c r="V167" s="470" t="e">
        <f>(O167/P167+U167/60)/24</f>
        <v>#VALUE!</v>
      </c>
      <c r="W167" s="466"/>
      <c r="X167" s="64"/>
      <c r="Y167" s="65"/>
      <c r="Z167" s="64"/>
      <c r="AA167" s="64"/>
      <c r="AB167" s="53"/>
      <c r="AC167" s="69"/>
      <c r="AD167" s="480"/>
    </row>
    <row r="168" spans="1:30" ht="14.1" customHeight="1">
      <c r="A168" s="471" t="str">
        <f>IF(B168="","",A166+1)</f>
        <v/>
      </c>
      <c r="B168" s="392"/>
      <c r="C168" s="54"/>
      <c r="D168" s="472">
        <f>TRUNC(C168)+((C168-TRUNC(C168))/0.6)</f>
        <v>0</v>
      </c>
      <c r="E168" s="472">
        <f>TRUNC(C169)+((C169-TRUNC(C169))/0.6)</f>
        <v>0</v>
      </c>
      <c r="F168" s="473">
        <f>ROUND(((LOG10(TAN(PI()/4+(D168/2*PI()/180)))*7915.7046)-(3437.7468*((0.0816968^2*SIN(D168*PI()/180))+(0.0816968^4/3*((SIN(D168*PI()/180))^3))+(0.0816968^6/5*((SIN(D168*PI()/180))^5))))),2)</f>
        <v>0</v>
      </c>
      <c r="G168" s="464"/>
      <c r="H168" s="464">
        <f>IF(E168&lt;0,E168+360,E168)</f>
        <v>0</v>
      </c>
      <c r="I168" s="477"/>
      <c r="J168" s="478"/>
      <c r="K168" s="479"/>
      <c r="L168" s="472"/>
      <c r="M168" s="472"/>
      <c r="N168" s="468"/>
      <c r="O168" s="469"/>
      <c r="P168" s="353"/>
      <c r="Q168" s="465" t="str">
        <f>IF(O167="","",Q166+O167)</f>
        <v/>
      </c>
      <c r="R168" s="465" t="str">
        <f>IF(O167="","",R166-O167)</f>
        <v/>
      </c>
      <c r="S168" s="61"/>
      <c r="T168" s="61" t="s">
        <v>30</v>
      </c>
      <c r="U168" s="355"/>
      <c r="V168" s="470"/>
      <c r="W168" s="466" t="str">
        <f>IF(P167="","",W166+V167)</f>
        <v/>
      </c>
      <c r="X168" s="61"/>
      <c r="Y168" s="61"/>
      <c r="Z168" s="61"/>
      <c r="AA168" s="61"/>
      <c r="AB168" s="52"/>
      <c r="AC168" s="68"/>
      <c r="AD168" s="480"/>
    </row>
    <row r="169" spans="1:30" ht="14.1" customHeight="1">
      <c r="A169" s="471"/>
      <c r="B169" s="392"/>
      <c r="C169" s="55"/>
      <c r="D169" s="472"/>
      <c r="E169" s="472"/>
      <c r="F169" s="473"/>
      <c r="G169" s="464">
        <f>ABS(D168-D170)*60</f>
        <v>0</v>
      </c>
      <c r="H169" s="464"/>
      <c r="I169" s="477">
        <f>ABS(H168-H170)*60</f>
        <v>0</v>
      </c>
      <c r="J169" s="478">
        <f>ABS(F168-F170)</f>
        <v>0</v>
      </c>
      <c r="K169" s="479" t="e">
        <f>IF(AND(D168&lt;D170,H168=H170),0,IF(AND(D168&gt;D170,H168=H170),180,IF(AND(D168=D170,H168&lt;H170),90,IF(AND(D168=D170,H168&gt;H170),270,(ATAN(I169/J169)*180/PI())))))</f>
        <v>#DIV/0!</v>
      </c>
      <c r="L169" s="472" t="e">
        <f>IF(OR(K169=0,K169=90,K169=180,K169=270),K169,IF(AND(D168&lt;D170,H168&lt;H170),K169,IF(AND(D168&lt;D170,H168&gt;H170),360-K169,IF(AND(D168&gt;D170,H168&lt;H170),180-K169,IF(AND(D168&gt;D170,H168&gt;H170),180+K169)))))</f>
        <v>#DIV/0!</v>
      </c>
      <c r="M169" s="472">
        <f>(IF(I169=0,G169,IF(G169=0,COS(D170*PI()/180)*I169,G169/COS(K169*PI()/180))))</f>
        <v>0</v>
      </c>
      <c r="N169" s="468" t="str">
        <f>IF(C171="","",ROUND(L169,1))</f>
        <v/>
      </c>
      <c r="O169" s="469" t="str">
        <f>IF(C171="","",ROUND(M169,1))</f>
        <v/>
      </c>
      <c r="P169" s="353"/>
      <c r="Q169" s="465"/>
      <c r="R169" s="465"/>
      <c r="S169" s="64"/>
      <c r="T169" s="64" t="s">
        <v>24</v>
      </c>
      <c r="U169" s="358"/>
      <c r="V169" s="470" t="e">
        <f>(O169/P169+U169/60)/24</f>
        <v>#VALUE!</v>
      </c>
      <c r="W169" s="466"/>
      <c r="X169" s="64"/>
      <c r="Y169" s="65"/>
      <c r="Z169" s="64"/>
      <c r="AA169" s="64"/>
      <c r="AB169" s="53"/>
      <c r="AC169" s="69"/>
      <c r="AD169" s="480"/>
    </row>
    <row r="170" spans="1:30" ht="14.1" customHeight="1">
      <c r="A170" s="471" t="str">
        <f>IF(B170="","",A168+1)</f>
        <v/>
      </c>
      <c r="B170" s="392"/>
      <c r="C170" s="54"/>
      <c r="D170" s="472">
        <f>TRUNC(C170)+((C170-TRUNC(C170))/0.6)</f>
        <v>0</v>
      </c>
      <c r="E170" s="472">
        <f>TRUNC(C171)+((C171-TRUNC(C171))/0.6)</f>
        <v>0</v>
      </c>
      <c r="F170" s="473">
        <f>ROUND(((LOG10(TAN(PI()/4+(D170/2*PI()/180)))*7915.7046)-(3437.7468*((0.0816968^2*SIN(D170*PI()/180))+(0.0816968^4/3*((SIN(D170*PI()/180))^3))+(0.0816968^6/5*((SIN(D170*PI()/180))^5))))),2)</f>
        <v>0</v>
      </c>
      <c r="G170" s="464"/>
      <c r="H170" s="464">
        <f>IF(E170&lt;0,E170+360,E170)</f>
        <v>0</v>
      </c>
      <c r="I170" s="477"/>
      <c r="J170" s="478"/>
      <c r="K170" s="479"/>
      <c r="L170" s="472"/>
      <c r="M170" s="472"/>
      <c r="N170" s="468"/>
      <c r="O170" s="469"/>
      <c r="P170" s="353"/>
      <c r="Q170" s="465" t="str">
        <f>IF(O169="","",Q168+O169)</f>
        <v/>
      </c>
      <c r="R170" s="465" t="str">
        <f>IF(O169="","",R168-O169)</f>
        <v/>
      </c>
      <c r="S170" s="61"/>
      <c r="T170" s="61" t="s">
        <v>25</v>
      </c>
      <c r="U170" s="355"/>
      <c r="V170" s="470"/>
      <c r="W170" s="466" t="str">
        <f>IF(P169="","",W168+V169)</f>
        <v/>
      </c>
      <c r="X170" s="61"/>
      <c r="Y170" s="61"/>
      <c r="Z170" s="61"/>
      <c r="AA170" s="61"/>
      <c r="AB170" s="52"/>
      <c r="AC170" s="68"/>
      <c r="AD170" s="480"/>
    </row>
    <row r="171" spans="1:30" ht="14.1" customHeight="1">
      <c r="A171" s="471"/>
      <c r="B171" s="392"/>
      <c r="C171" s="55"/>
      <c r="D171" s="472"/>
      <c r="E171" s="472"/>
      <c r="F171" s="473"/>
      <c r="G171" s="464">
        <f>ABS(D170-D172)*60</f>
        <v>0</v>
      </c>
      <c r="H171" s="464"/>
      <c r="I171" s="477">
        <f>ABS(H170-H172)*60</f>
        <v>0</v>
      </c>
      <c r="J171" s="478">
        <f>ABS(F170-F172)</f>
        <v>0</v>
      </c>
      <c r="K171" s="479" t="e">
        <f>IF(AND(D170&lt;D172,H170=H172),0,IF(AND(D170&gt;D172,H170=H172),180,IF(AND(D170=D172,H170&lt;H172),90,IF(AND(D170=D172,H170&gt;H172),270,(ATAN(I171/J171)*180/PI())))))</f>
        <v>#DIV/0!</v>
      </c>
      <c r="L171" s="472" t="e">
        <f>IF(OR(K171=0,K171=90,K171=180,K171=270),K171,IF(AND(D170&lt;D172,H170&lt;H172),K171,IF(AND(D170&lt;D172,H170&gt;H172),360-K171,IF(AND(D170&gt;D172,H170&lt;H172),180-K171,IF(AND(D170&gt;D172,H170&gt;H172),180+K171)))))</f>
        <v>#DIV/0!</v>
      </c>
      <c r="M171" s="472">
        <f>(IF(I171=0,G171,IF(G171=0,COS(D172*PI()/180)*I171,G171/COS(K171*PI()/180))))</f>
        <v>0</v>
      </c>
      <c r="N171" s="468" t="str">
        <f>IF(C173="","",ROUND(L171,1))</f>
        <v/>
      </c>
      <c r="O171" s="469" t="str">
        <f>IF(C173="","",ROUND(M171,1))</f>
        <v/>
      </c>
      <c r="P171" s="353"/>
      <c r="Q171" s="465"/>
      <c r="R171" s="465"/>
      <c r="S171" s="64"/>
      <c r="T171" s="64" t="s">
        <v>23</v>
      </c>
      <c r="U171" s="358"/>
      <c r="V171" s="470" t="e">
        <f>(O171/P171+U171/60)/24</f>
        <v>#VALUE!</v>
      </c>
      <c r="W171" s="466"/>
      <c r="X171" s="64"/>
      <c r="Y171" s="65"/>
      <c r="Z171" s="64"/>
      <c r="AA171" s="64"/>
      <c r="AB171" s="53"/>
      <c r="AC171" s="69"/>
      <c r="AD171" s="480"/>
    </row>
    <row r="172" spans="1:30" ht="14.1" customHeight="1">
      <c r="A172" s="471" t="str">
        <f>IF(B172="","",A170+1)</f>
        <v/>
      </c>
      <c r="B172" s="392"/>
      <c r="C172" s="54"/>
      <c r="D172" s="472">
        <f>TRUNC(C172)+((C172-TRUNC(C172))/0.6)</f>
        <v>0</v>
      </c>
      <c r="E172" s="472">
        <f>TRUNC(C173)+((C173-TRUNC(C173))/0.6)</f>
        <v>0</v>
      </c>
      <c r="F172" s="473">
        <f>ROUND(((LOG10(TAN(PI()/4+(D172/2*PI()/180)))*7915.7046)-(3437.7468*((0.0816968^2*SIN(D172*PI()/180))+(0.0816968^4/3*((SIN(D172*PI()/180))^3))+(0.0816968^6/5*((SIN(D172*PI()/180))^5))))),2)</f>
        <v>0</v>
      </c>
      <c r="G172" s="464"/>
      <c r="H172" s="464">
        <f>IF(E172&lt;0,E172+360,E172)</f>
        <v>0</v>
      </c>
      <c r="I172" s="477"/>
      <c r="J172" s="478"/>
      <c r="K172" s="479"/>
      <c r="L172" s="472"/>
      <c r="M172" s="472"/>
      <c r="N172" s="468"/>
      <c r="O172" s="469"/>
      <c r="P172" s="353"/>
      <c r="Q172" s="465" t="str">
        <f>IF(O171="","",Q170+O171)</f>
        <v/>
      </c>
      <c r="R172" s="465" t="str">
        <f>IF(O171="","",R170-O171)</f>
        <v/>
      </c>
      <c r="S172" s="61"/>
      <c r="T172" s="61" t="s">
        <v>25</v>
      </c>
      <c r="U172" s="355"/>
      <c r="V172" s="470"/>
      <c r="W172" s="466" t="str">
        <f>IF(P171="","",W170+V171)</f>
        <v/>
      </c>
      <c r="X172" s="61"/>
      <c r="Y172" s="61"/>
      <c r="Z172" s="61"/>
      <c r="AA172" s="61"/>
      <c r="AB172" s="52"/>
      <c r="AC172" s="68"/>
      <c r="AD172" s="480"/>
    </row>
    <row r="173" spans="1:30" ht="14.1" customHeight="1">
      <c r="A173" s="471"/>
      <c r="B173" s="392"/>
      <c r="C173" s="55"/>
      <c r="D173" s="472"/>
      <c r="E173" s="472"/>
      <c r="F173" s="473"/>
      <c r="G173" s="464">
        <f>ABS(D172-D174)*60</f>
        <v>0</v>
      </c>
      <c r="H173" s="464"/>
      <c r="I173" s="477">
        <f>ABS(H172-H174)*60</f>
        <v>0</v>
      </c>
      <c r="J173" s="478">
        <f>ABS(F172-F174)</f>
        <v>0</v>
      </c>
      <c r="K173" s="479" t="e">
        <f>IF(AND(D172&lt;D174,H172=H174),0,IF(AND(D172&gt;D174,H172=H174),180,IF(AND(D172=D174,H172&lt;H174),90,IF(AND(D172=D174,H172&gt;H174),270,(ATAN(I173/J173)*180/PI())))))</f>
        <v>#DIV/0!</v>
      </c>
      <c r="L173" s="472" t="e">
        <f>IF(OR(K173=0,K173=90,K173=180,K173=270),K173,IF(AND(D172&lt;D174,H172&lt;H174),K173,IF(AND(D172&lt;D174,H172&gt;H174),360-K173,IF(AND(D172&gt;D174,H172&lt;H174),180-K173,IF(AND(D172&gt;D174,H172&gt;H174),180+K173)))))</f>
        <v>#DIV/0!</v>
      </c>
      <c r="M173" s="472">
        <f>(IF(I173=0,G173,IF(G173=0,COS(D174*PI()/180)*I173,G173/COS(K173*PI()/180))))</f>
        <v>0</v>
      </c>
      <c r="N173" s="468" t="str">
        <f>IF(C175="","",ROUND(L173,1))</f>
        <v/>
      </c>
      <c r="O173" s="469" t="str">
        <f>IF(C175="","",ROUND(M173,1))</f>
        <v/>
      </c>
      <c r="P173" s="353"/>
      <c r="Q173" s="465"/>
      <c r="R173" s="465"/>
      <c r="S173" s="64"/>
      <c r="T173" s="64" t="s">
        <v>22</v>
      </c>
      <c r="U173" s="358"/>
      <c r="V173" s="470" t="e">
        <f>(O173/P173+U173/60)/24</f>
        <v>#VALUE!</v>
      </c>
      <c r="W173" s="466"/>
      <c r="X173" s="64"/>
      <c r="Y173" s="65"/>
      <c r="Z173" s="64"/>
      <c r="AA173" s="64"/>
      <c r="AB173" s="53"/>
      <c r="AC173" s="69"/>
      <c r="AD173" s="480"/>
    </row>
    <row r="174" spans="1:30" ht="14.1" customHeight="1">
      <c r="A174" s="471" t="str">
        <f>IF(B174="","",A172+1)</f>
        <v/>
      </c>
      <c r="B174" s="392"/>
      <c r="C174" s="54"/>
      <c r="D174" s="472">
        <f>TRUNC(C174)+((C174-TRUNC(C174))/0.6)</f>
        <v>0</v>
      </c>
      <c r="E174" s="472">
        <f>TRUNC(C175)+((C175-TRUNC(C175))/0.6)</f>
        <v>0</v>
      </c>
      <c r="F174" s="473">
        <f>ROUND(((LOG10(TAN(PI()/4+(D174/2*PI()/180)))*7915.7046)-(3437.7468*((0.0816968^2*SIN(D174*PI()/180))+(0.0816968^4/3*((SIN(D174*PI()/180))^3))+(0.0816968^6/5*((SIN(D174*PI()/180))^5))))),2)</f>
        <v>0</v>
      </c>
      <c r="G174" s="464"/>
      <c r="H174" s="464">
        <f>IF(E174&lt;0,E174+360,E174)</f>
        <v>0</v>
      </c>
      <c r="I174" s="477"/>
      <c r="J174" s="478"/>
      <c r="K174" s="479"/>
      <c r="L174" s="472"/>
      <c r="M174" s="472"/>
      <c r="N174" s="468"/>
      <c r="O174" s="469"/>
      <c r="P174" s="353"/>
      <c r="Q174" s="465" t="str">
        <f>IF(O173="","",Q172+O173)</f>
        <v/>
      </c>
      <c r="R174" s="465" t="str">
        <f>IF(O173="","",R172-O173)</f>
        <v/>
      </c>
      <c r="S174" s="61"/>
      <c r="T174" s="61" t="s">
        <v>25</v>
      </c>
      <c r="U174" s="355"/>
      <c r="V174" s="470"/>
      <c r="W174" s="466" t="str">
        <f>IF(P173="","",W172+V173)</f>
        <v/>
      </c>
      <c r="X174" s="61"/>
      <c r="Y174" s="61"/>
      <c r="Z174" s="61"/>
      <c r="AA174" s="61"/>
      <c r="AB174" s="52"/>
      <c r="AC174" s="68"/>
      <c r="AD174" s="480"/>
    </row>
    <row r="175" spans="1:30" ht="14.1" customHeight="1">
      <c r="A175" s="471"/>
      <c r="B175" s="392"/>
      <c r="C175" s="55"/>
      <c r="D175" s="472"/>
      <c r="E175" s="472"/>
      <c r="F175" s="473"/>
      <c r="G175" s="464">
        <f>ABS(D174-D176)*60</f>
        <v>0</v>
      </c>
      <c r="H175" s="464"/>
      <c r="I175" s="477">
        <f>ABS(H174-H176)*60</f>
        <v>0</v>
      </c>
      <c r="J175" s="478">
        <f>ABS(F174-F176)</f>
        <v>0</v>
      </c>
      <c r="K175" s="479" t="e">
        <f>IF(AND(D174&lt;D176,H174=H176),0,IF(AND(D174&gt;D176,H174=H176),180,IF(AND(D174=D176,H174&lt;H176),90,IF(AND(D174=D176,H174&gt;H176),270,(ATAN(I175/J175)*180/PI())))))</f>
        <v>#DIV/0!</v>
      </c>
      <c r="L175" s="472" t="e">
        <f>IF(OR(K175=0,K175=90,K175=180,K175=270),K175,IF(AND(D174&lt;D176,H174&lt;H176),K175,IF(AND(D174&lt;D176,H174&gt;H176),360-K175,IF(AND(D174&gt;D176,H174&lt;H176),180-K175,IF(AND(D174&gt;D176,H174&gt;H176),180+K175)))))</f>
        <v>#DIV/0!</v>
      </c>
      <c r="M175" s="472">
        <f>(IF(I175=0,G175,IF(G175=0,COS(D176*PI()/180)*I175,G175/COS(K175*PI()/180))))</f>
        <v>0</v>
      </c>
      <c r="N175" s="468" t="str">
        <f>IF(C177="","",ROUND(L175,1))</f>
        <v/>
      </c>
      <c r="O175" s="469" t="str">
        <f>IF(C177="","",ROUND(M175,1))</f>
        <v/>
      </c>
      <c r="P175" s="353"/>
      <c r="Q175" s="465"/>
      <c r="R175" s="465"/>
      <c r="S175" s="64"/>
      <c r="T175" s="64" t="s">
        <v>22</v>
      </c>
      <c r="U175" s="358"/>
      <c r="V175" s="470" t="e">
        <f>(O175/P175+U175/60)/24</f>
        <v>#VALUE!</v>
      </c>
      <c r="W175" s="466"/>
      <c r="X175" s="64"/>
      <c r="Y175" s="65"/>
      <c r="Z175" s="64"/>
      <c r="AA175" s="64"/>
      <c r="AB175" s="53"/>
      <c r="AC175" s="69"/>
      <c r="AD175" s="480"/>
    </row>
    <row r="176" spans="1:30" ht="14.1" customHeight="1">
      <c r="A176" s="471" t="str">
        <f>IF(B176="","",A174+1)</f>
        <v/>
      </c>
      <c r="B176" s="392"/>
      <c r="C176" s="54"/>
      <c r="D176" s="472">
        <f>TRUNC(C176)+((C176-TRUNC(C176))/0.6)</f>
        <v>0</v>
      </c>
      <c r="E176" s="472">
        <f>TRUNC(C177)+((C177-TRUNC(C177))/0.6)</f>
        <v>0</v>
      </c>
      <c r="F176" s="473">
        <f>ROUND(((LOG10(TAN(PI()/4+(D176/2*PI()/180)))*7915.7046)-(3437.7468*((0.0816968^2*SIN(D176*PI()/180))+(0.0816968^4/3*((SIN(D176*PI()/180))^3))+(0.0816968^6/5*((SIN(D176*PI()/180))^5))))),2)</f>
        <v>0</v>
      </c>
      <c r="G176" s="464"/>
      <c r="H176" s="464">
        <f>IF(E176&lt;0,E176+360,E176)</f>
        <v>0</v>
      </c>
      <c r="I176" s="477"/>
      <c r="J176" s="478"/>
      <c r="K176" s="479"/>
      <c r="L176" s="472"/>
      <c r="M176" s="472"/>
      <c r="N176" s="468"/>
      <c r="O176" s="469"/>
      <c r="P176" s="353"/>
      <c r="Q176" s="465" t="str">
        <f>IF(O175="","",Q174+O175)</f>
        <v/>
      </c>
      <c r="R176" s="465" t="str">
        <f>IF(O175="","",R174-O175)</f>
        <v/>
      </c>
      <c r="S176" s="61"/>
      <c r="T176" s="61" t="s">
        <v>25</v>
      </c>
      <c r="U176" s="355"/>
      <c r="V176" s="470"/>
      <c r="W176" s="466" t="str">
        <f>IF(P175="","",W174+V175)</f>
        <v/>
      </c>
      <c r="X176" s="61"/>
      <c r="Y176" s="61"/>
      <c r="Z176" s="61"/>
      <c r="AA176" s="61"/>
      <c r="AB176" s="52"/>
      <c r="AC176" s="68"/>
      <c r="AD176" s="480"/>
    </row>
    <row r="177" spans="1:31" ht="14.1" customHeight="1">
      <c r="A177" s="471"/>
      <c r="B177" s="392"/>
      <c r="C177" s="55"/>
      <c r="D177" s="472"/>
      <c r="E177" s="472"/>
      <c r="F177" s="473"/>
      <c r="G177" s="464">
        <f>ABS(D176-D178)*60</f>
        <v>0</v>
      </c>
      <c r="H177" s="464"/>
      <c r="I177" s="477">
        <f>ABS(H176-H178)*60</f>
        <v>0</v>
      </c>
      <c r="J177" s="478">
        <f>ABS(F176-F178)</f>
        <v>0</v>
      </c>
      <c r="K177" s="479" t="e">
        <f>IF(AND(D176&lt;D178,H176=H178),0,IF(AND(D176&gt;D178,H176=H178),180,IF(AND(D176=D178,H176&lt;H178),90,IF(AND(D176=D178,H176&gt;H178),270,(ATAN(I177/J177)*180/PI())))))</f>
        <v>#DIV/0!</v>
      </c>
      <c r="L177" s="472" t="e">
        <f>IF(OR(K177=0,K177=90,K177=180,K177=270),K177,IF(AND(D176&lt;D178,H176&lt;H178),K177,IF(AND(D176&lt;D178,H176&gt;H178),360-K177,IF(AND(D176&gt;D178,H176&lt;H178),180-K177,IF(AND(D176&gt;D178,H176&gt;H178),180+K177)))))</f>
        <v>#DIV/0!</v>
      </c>
      <c r="M177" s="472">
        <f>(IF(I177=0,G177,IF(G177=0,COS(D178*PI()/180)*I177,G177/COS(K177*PI()/180))))</f>
        <v>0</v>
      </c>
      <c r="N177" s="468" t="str">
        <f>IF(C179="","",ROUND(L177,1))</f>
        <v/>
      </c>
      <c r="O177" s="469" t="str">
        <f>IF(C179="","",ROUND(M177,1))</f>
        <v/>
      </c>
      <c r="P177" s="353"/>
      <c r="Q177" s="465"/>
      <c r="R177" s="465"/>
      <c r="S177" s="64"/>
      <c r="T177" s="64" t="s">
        <v>27</v>
      </c>
      <c r="U177" s="358"/>
      <c r="V177" s="470" t="e">
        <f>(O177/P177+U177/60)/24</f>
        <v>#VALUE!</v>
      </c>
      <c r="W177" s="466"/>
      <c r="X177" s="64"/>
      <c r="Y177" s="65"/>
      <c r="Z177" s="64"/>
      <c r="AA177" s="64"/>
      <c r="AB177" s="53"/>
      <c r="AC177" s="69"/>
      <c r="AD177" s="480"/>
      <c r="AE177" s="13" t="s">
        <v>28</v>
      </c>
    </row>
    <row r="178" spans="1:31" ht="14.1" customHeight="1">
      <c r="A178" s="471" t="str">
        <f>IF(B178="","",A176+1)</f>
        <v/>
      </c>
      <c r="B178" s="392"/>
      <c r="C178" s="54"/>
      <c r="D178" s="472">
        <f>TRUNC(C178)+((C178-TRUNC(C178))/0.6)</f>
        <v>0</v>
      </c>
      <c r="E178" s="472">
        <f>TRUNC(C179)+((C179-TRUNC(C179))/0.6)</f>
        <v>0</v>
      </c>
      <c r="F178" s="473">
        <f>ROUND(((LOG10(TAN(PI()/4+(D178/2*PI()/180)))*7915.7046)-(3437.7468*((0.0816968^2*SIN(D178*PI()/180))+(0.0816968^4/3*((SIN(D178*PI()/180))^3))+(0.0816968^6/5*((SIN(D178*PI()/180))^5))))),2)</f>
        <v>0</v>
      </c>
      <c r="G178" s="464"/>
      <c r="H178" s="464">
        <f>IF(E178&lt;0,E178+360,E178)</f>
        <v>0</v>
      </c>
      <c r="I178" s="477"/>
      <c r="J178" s="478"/>
      <c r="K178" s="479"/>
      <c r="L178" s="472"/>
      <c r="M178" s="472"/>
      <c r="N178" s="468"/>
      <c r="O178" s="469"/>
      <c r="P178" s="353"/>
      <c r="Q178" s="465" t="str">
        <f>IF(O177="","",Q176+O177)</f>
        <v/>
      </c>
      <c r="R178" s="465" t="str">
        <f>IF(O177="","",R176-O177)</f>
        <v/>
      </c>
      <c r="S178" s="61"/>
      <c r="T178" s="61" t="s">
        <v>25</v>
      </c>
      <c r="U178" s="355"/>
      <c r="V178" s="470"/>
      <c r="W178" s="466" t="str">
        <f>IF(P177="","",W176+V177)</f>
        <v/>
      </c>
      <c r="X178" s="61"/>
      <c r="Y178" s="61"/>
      <c r="Z178" s="61"/>
      <c r="AA178" s="61"/>
      <c r="AB178" s="52"/>
      <c r="AC178" s="68"/>
      <c r="AD178" s="481"/>
    </row>
    <row r="179" spans="1:31" ht="14.1" customHeight="1">
      <c r="A179" s="471"/>
      <c r="B179" s="392"/>
      <c r="C179" s="55"/>
      <c r="D179" s="472"/>
      <c r="E179" s="472"/>
      <c r="F179" s="473"/>
      <c r="G179" s="464">
        <f>ABS(D178-D180)*60</f>
        <v>0</v>
      </c>
      <c r="H179" s="464"/>
      <c r="I179" s="477">
        <f>ABS(H178-H180)*60</f>
        <v>0</v>
      </c>
      <c r="J179" s="478">
        <f>ABS(F178-F180)</f>
        <v>0</v>
      </c>
      <c r="K179" s="479" t="e">
        <f>IF(AND(D178&lt;D180,H178=H180),0,IF(AND(D178&gt;D180,H178=H180),180,IF(AND(D178=D180,H178&lt;H180),90,IF(AND(D178=D180,H178&gt;H180),270,(ATAN(I179/J179)*180/PI())))))</f>
        <v>#DIV/0!</v>
      </c>
      <c r="L179" s="472" t="e">
        <f>IF(OR(K179=0,K179=90,K179=180,K179=270),K179,IF(AND(D178&lt;D180,H178&lt;H180),K179,IF(AND(D178&lt;D180,H178&gt;H180),360-K179,IF(AND(D178&gt;D180,H178&lt;H180),180-K179,IF(AND(D178&gt;D180,H178&gt;H180),180+K179)))))</f>
        <v>#DIV/0!</v>
      </c>
      <c r="M179" s="472">
        <f>(IF(I179=0,G179,IF(G179=0,COS(D180*PI()/180)*I179,G179/COS(K179*PI()/180))))</f>
        <v>0</v>
      </c>
      <c r="N179" s="468" t="str">
        <f>IF(C181="","",ROUND(L179,1))</f>
        <v/>
      </c>
      <c r="O179" s="469" t="str">
        <f>IF(C181="","",ROUND(M179,1))</f>
        <v/>
      </c>
      <c r="P179" s="353"/>
      <c r="Q179" s="465"/>
      <c r="R179" s="465"/>
      <c r="S179" s="64"/>
      <c r="T179" s="64" t="s">
        <v>27</v>
      </c>
      <c r="U179" s="358"/>
      <c r="V179" s="470" t="e">
        <f>(O179/P179+U179/60)/24</f>
        <v>#VALUE!</v>
      </c>
      <c r="W179" s="466"/>
      <c r="X179" s="64"/>
      <c r="Y179" s="65"/>
      <c r="Z179" s="64"/>
      <c r="AA179" s="64"/>
      <c r="AB179" s="53"/>
      <c r="AC179" s="69"/>
      <c r="AD179" s="481"/>
    </row>
    <row r="180" spans="1:31" ht="14.1" customHeight="1">
      <c r="A180" s="471" t="str">
        <f>IF(B180="","",A178+1)</f>
        <v/>
      </c>
      <c r="B180" s="392"/>
      <c r="C180" s="54"/>
      <c r="D180" s="472">
        <f>TRUNC(C180)+((C180-TRUNC(C180))/0.6)</f>
        <v>0</v>
      </c>
      <c r="E180" s="472">
        <f>TRUNC(C181)+((C181-TRUNC(C181))/0.6)</f>
        <v>0</v>
      </c>
      <c r="F180" s="473">
        <f>ROUND(((LOG10(TAN(PI()/4+(D180/2*PI()/180)))*7915.7046)-(3437.7468*((0.0816968^2*SIN(D180*PI()/180))+(0.0816968^4/3*((SIN(D180*PI()/180))^3))+(0.0816968^6/5*((SIN(D180*PI()/180))^5))))),2)</f>
        <v>0</v>
      </c>
      <c r="G180" s="464"/>
      <c r="H180" s="464">
        <f>IF(E180&lt;0,E180+360,E180)</f>
        <v>0</v>
      </c>
      <c r="I180" s="477"/>
      <c r="J180" s="478"/>
      <c r="K180" s="479"/>
      <c r="L180" s="472"/>
      <c r="M180" s="472"/>
      <c r="N180" s="468"/>
      <c r="O180" s="469"/>
      <c r="P180" s="353"/>
      <c r="Q180" s="465" t="str">
        <f>IF(O179="","",Q178+O179)</f>
        <v/>
      </c>
      <c r="R180" s="465" t="str">
        <f>IF(O179="","",R178-O179)</f>
        <v/>
      </c>
      <c r="S180" s="61"/>
      <c r="T180" s="61" t="s">
        <v>26</v>
      </c>
      <c r="U180" s="355"/>
      <c r="V180" s="470"/>
      <c r="W180" s="466" t="str">
        <f>IF(P179="","",W178+V179)</f>
        <v/>
      </c>
      <c r="X180" s="61"/>
      <c r="Y180" s="61"/>
      <c r="Z180" s="61"/>
      <c r="AA180" s="61"/>
      <c r="AB180" s="52"/>
      <c r="AC180" s="68"/>
      <c r="AD180" s="480"/>
    </row>
    <row r="181" spans="1:31" ht="14.1" customHeight="1">
      <c r="A181" s="471"/>
      <c r="B181" s="392"/>
      <c r="C181" s="55"/>
      <c r="D181" s="472"/>
      <c r="E181" s="472"/>
      <c r="F181" s="473"/>
      <c r="G181" s="464">
        <f>ABS(D180-D182)*60</f>
        <v>0</v>
      </c>
      <c r="H181" s="464"/>
      <c r="I181" s="477">
        <f>ABS(H180-H182)*60</f>
        <v>0</v>
      </c>
      <c r="J181" s="478">
        <f>ABS(F180-F182)</f>
        <v>0</v>
      </c>
      <c r="K181" s="479" t="e">
        <f>IF(AND(D180&lt;D182,H180=H182),0,IF(AND(D180&gt;D182,H180=H182),180,IF(AND(D180=D182,H180&lt;H182),90,IF(AND(D180=D182,H180&gt;H182),270,(ATAN(I181/J181)*180/PI())))))</f>
        <v>#DIV/0!</v>
      </c>
      <c r="L181" s="472" t="e">
        <f>IF(OR(K181=0,K181=90,K181=180,K181=270),K181,IF(AND(D180&lt;D182,H180&lt;H182),K181,IF(AND(D180&lt;D182,H180&gt;H182),360-K181,IF(AND(D180&gt;D182,H180&lt;H182),180-K181,IF(AND(D180&gt;D182,H180&gt;H182),180+K181)))))</f>
        <v>#DIV/0!</v>
      </c>
      <c r="M181" s="472">
        <f>(IF(I181=0,G181,IF(G181=0,COS(D182*PI()/180)*I181,G181/COS(K181*PI()/180))))</f>
        <v>0</v>
      </c>
      <c r="N181" s="468" t="str">
        <f>IF(C183="","",ROUND(L181,1))</f>
        <v/>
      </c>
      <c r="O181" s="469" t="str">
        <f>IF(C183="","",ROUND(M181,1))</f>
        <v/>
      </c>
      <c r="P181" s="353"/>
      <c r="Q181" s="465"/>
      <c r="R181" s="465"/>
      <c r="S181" s="64"/>
      <c r="T181" s="64" t="s">
        <v>29</v>
      </c>
      <c r="U181" s="358"/>
      <c r="V181" s="470" t="e">
        <f>(O181/P181+U181/60)/24</f>
        <v>#VALUE!</v>
      </c>
      <c r="W181" s="466"/>
      <c r="X181" s="64"/>
      <c r="Y181" s="65"/>
      <c r="Z181" s="64"/>
      <c r="AA181" s="64"/>
      <c r="AB181" s="53"/>
      <c r="AC181" s="69"/>
      <c r="AD181" s="480"/>
    </row>
    <row r="182" spans="1:31" ht="14.1" customHeight="1">
      <c r="A182" s="471" t="str">
        <f>IF(B182="","",A180+1)</f>
        <v/>
      </c>
      <c r="B182" s="394"/>
      <c r="C182" s="54"/>
      <c r="D182" s="472">
        <f>TRUNC(C182)+((C182-TRUNC(C182))/0.6)</f>
        <v>0</v>
      </c>
      <c r="E182" s="472">
        <f>TRUNC(C183)+((C183-TRUNC(C183))/0.6)</f>
        <v>0</v>
      </c>
      <c r="F182" s="473">
        <f>ROUND(((LOG10(TAN(PI()/4+(D182/2*PI()/180)))*7915.7046)-(3437.7468*((0.0816968^2*SIN(D182*PI()/180))+(0.0816968^4/3*((SIN(D182*PI()/180))^3))+(0.0816968^6/5*((SIN(D182*PI()/180))^5))))),2)</f>
        <v>0</v>
      </c>
      <c r="G182" s="464"/>
      <c r="H182" s="464">
        <f>IF(E182&lt;0,E182+360,E182)</f>
        <v>0</v>
      </c>
      <c r="I182" s="477"/>
      <c r="J182" s="478"/>
      <c r="K182" s="479"/>
      <c r="L182" s="472"/>
      <c r="M182" s="472"/>
      <c r="N182" s="468"/>
      <c r="O182" s="469"/>
      <c r="P182" s="353"/>
      <c r="Q182" s="465" t="str">
        <f>IF(O181="","",Q180+O181)</f>
        <v/>
      </c>
      <c r="R182" s="465" t="str">
        <f>IF(O181="","",R180-O181)</f>
        <v/>
      </c>
      <c r="S182" s="61"/>
      <c r="T182" s="61" t="s">
        <v>26</v>
      </c>
      <c r="U182" s="355"/>
      <c r="V182" s="470"/>
      <c r="W182" s="466" t="str">
        <f>IF(P181="","",W180+V181)</f>
        <v/>
      </c>
      <c r="X182" s="61"/>
      <c r="Y182" s="61"/>
      <c r="Z182" s="61"/>
      <c r="AA182" s="61"/>
      <c r="AB182" s="52"/>
      <c r="AC182" s="68"/>
      <c r="AD182" s="481" t="s">
        <v>28</v>
      </c>
    </row>
    <row r="183" spans="1:31" ht="14.1" customHeight="1">
      <c r="A183" s="471"/>
      <c r="B183" s="395"/>
      <c r="C183" s="55"/>
      <c r="D183" s="472"/>
      <c r="E183" s="472"/>
      <c r="F183" s="473"/>
      <c r="G183" s="464">
        <f>ABS(D182-D184)*60</f>
        <v>0</v>
      </c>
      <c r="H183" s="464"/>
      <c r="I183" s="477">
        <f>ABS(H182-H184)*60</f>
        <v>0</v>
      </c>
      <c r="J183" s="478">
        <f>ABS(F182-F184)</f>
        <v>0</v>
      </c>
      <c r="K183" s="479" t="e">
        <f>IF(AND(D182&lt;D184,H182=H184),0,IF(AND(D182&gt;D184,H182=H184),180,IF(AND(D182=D184,H182&lt;H184),90,IF(AND(D182=D184,H182&gt;H184),270,(ATAN(I183/J183)*180/PI())))))</f>
        <v>#DIV/0!</v>
      </c>
      <c r="L183" s="472" t="e">
        <f>IF(OR(K183=0,K183=90,K183=180,K183=270),K183,IF(AND(D182&lt;D184,H182&lt;H184),K183,IF(AND(D182&lt;D184,H182&gt;H184),360-K183,IF(AND(D182&gt;D184,H182&lt;H184),180-K183,IF(AND(D182&gt;D184,H182&gt;H184),180+K183)))))</f>
        <v>#DIV/0!</v>
      </c>
      <c r="M183" s="472">
        <f>(IF(I183=0,G183,IF(G183=0,COS(D184*PI()/180)*I183,G183/COS(K183*PI()/180))))</f>
        <v>0</v>
      </c>
      <c r="N183" s="468" t="str">
        <f>IF(C185="","",ROUND(L183,1))</f>
        <v/>
      </c>
      <c r="O183" s="469" t="str">
        <f>IF(C185="","",ROUND(M183,1))</f>
        <v/>
      </c>
      <c r="P183" s="353"/>
      <c r="Q183" s="465"/>
      <c r="R183" s="465"/>
      <c r="S183" s="64"/>
      <c r="T183" s="64" t="s">
        <v>29</v>
      </c>
      <c r="U183" s="358"/>
      <c r="V183" s="470" t="e">
        <f>(O183/P183+U183/60)/24</f>
        <v>#VALUE!</v>
      </c>
      <c r="W183" s="466"/>
      <c r="X183" s="64"/>
      <c r="Y183" s="65"/>
      <c r="Z183" s="64"/>
      <c r="AA183" s="64"/>
      <c r="AB183" s="53"/>
      <c r="AC183" s="69"/>
      <c r="AD183" s="481"/>
    </row>
    <row r="184" spans="1:31" ht="14.1" customHeight="1">
      <c r="A184" s="471" t="str">
        <f>IF(B184="","",A182+1)</f>
        <v/>
      </c>
      <c r="B184" s="394"/>
      <c r="C184" s="54"/>
      <c r="D184" s="472">
        <f>TRUNC(C184)+((C184-TRUNC(C184))/0.6)</f>
        <v>0</v>
      </c>
      <c r="E184" s="472">
        <f>TRUNC(C185)+((C185-TRUNC(C185))/0.6)</f>
        <v>0</v>
      </c>
      <c r="F184" s="473">
        <f>ROUND(((LOG10(TAN(PI()/4+(D184/2*PI()/180)))*7915.7046)-(3437.7468*((0.0816968^2*SIN(D184*PI()/180))+(0.0816968^4/3*((SIN(D184*PI()/180))^3))+(0.0816968^6/5*((SIN(D184*PI()/180))^5))))),2)</f>
        <v>0</v>
      </c>
      <c r="G184" s="464"/>
      <c r="H184" s="464">
        <f>IF(E184&lt;0,E184+360,E184)</f>
        <v>0</v>
      </c>
      <c r="I184" s="477"/>
      <c r="J184" s="478"/>
      <c r="K184" s="479"/>
      <c r="L184" s="472"/>
      <c r="M184" s="472"/>
      <c r="N184" s="468"/>
      <c r="O184" s="469"/>
      <c r="P184" s="353"/>
      <c r="Q184" s="465" t="str">
        <f>IF(O183="","",Q182+O183)</f>
        <v/>
      </c>
      <c r="R184" s="465" t="str">
        <f>IF(O183="","",R182-O183)</f>
        <v/>
      </c>
      <c r="S184" s="61"/>
      <c r="T184" s="61" t="s">
        <v>25</v>
      </c>
      <c r="U184" s="355"/>
      <c r="V184" s="470"/>
      <c r="W184" s="466" t="str">
        <f>IF(P183="","",W182+V183)</f>
        <v/>
      </c>
      <c r="X184" s="61"/>
      <c r="Y184" s="61"/>
      <c r="Z184" s="61"/>
      <c r="AA184" s="61"/>
      <c r="AB184" s="52"/>
      <c r="AC184" s="68"/>
      <c r="AD184" s="480" t="s">
        <v>28</v>
      </c>
    </row>
    <row r="185" spans="1:31" ht="14.1" customHeight="1">
      <c r="A185" s="471"/>
      <c r="B185" s="395"/>
      <c r="C185" s="55"/>
      <c r="D185" s="472"/>
      <c r="E185" s="472"/>
      <c r="F185" s="473"/>
      <c r="G185" s="464">
        <f>ABS(D184-D186)*60</f>
        <v>0</v>
      </c>
      <c r="H185" s="464"/>
      <c r="I185" s="477">
        <f>ABS(H184-H186)*60</f>
        <v>0</v>
      </c>
      <c r="J185" s="478">
        <f>ABS(F184-F186)</f>
        <v>0</v>
      </c>
      <c r="K185" s="479" t="e">
        <f>IF(AND(D184&lt;D186,H184=H186),0,IF(AND(D184&gt;D186,H184=H186),180,IF(AND(D184=D186,H184&lt;H186),90,IF(AND(D184=D186,H184&gt;H186),270,(ATAN(I185/J185)*180/PI())))))</f>
        <v>#DIV/0!</v>
      </c>
      <c r="L185" s="472" t="e">
        <f>IF(OR(K185=0,K185=90,K185=180,K185=270),K185,IF(AND(D184&lt;D186,H184&lt;H186),K185,IF(AND(D184&lt;D186,H184&gt;H186),360-K185,IF(AND(D184&gt;D186,H184&lt;H186),180-K185,IF(AND(D184&gt;D186,H184&gt;H186),180+K185)))))</f>
        <v>#DIV/0!</v>
      </c>
      <c r="M185" s="472">
        <f>(IF(I185=0,G185,IF(G185=0,COS(D186*PI()/180)*I185,G185/COS(K185*PI()/180))))</f>
        <v>0</v>
      </c>
      <c r="N185" s="468" t="str">
        <f>IF(C187="","",ROUND(L185,1))</f>
        <v/>
      </c>
      <c r="O185" s="469" t="str">
        <f>IF(C187="","",ROUND(M185,1))</f>
        <v/>
      </c>
      <c r="P185" s="353"/>
      <c r="Q185" s="465"/>
      <c r="R185" s="465"/>
      <c r="S185" s="64"/>
      <c r="T185" s="64" t="s">
        <v>27</v>
      </c>
      <c r="U185" s="358"/>
      <c r="V185" s="470" t="e">
        <f>(O185/P185+U185/60)/24</f>
        <v>#VALUE!</v>
      </c>
      <c r="W185" s="466"/>
      <c r="X185" s="64"/>
      <c r="Y185" s="65"/>
      <c r="Z185" s="64"/>
      <c r="AA185" s="64"/>
      <c r="AB185" s="53"/>
      <c r="AC185" s="69"/>
      <c r="AD185" s="480"/>
    </row>
    <row r="186" spans="1:31" s="1" customFormat="1" ht="18" customHeight="1">
      <c r="A186" s="471" t="str">
        <f t="shared" ref="A186" si="9">IF(B186="","",A184+1)</f>
        <v/>
      </c>
      <c r="B186" s="394"/>
      <c r="C186" s="54"/>
      <c r="D186" s="472">
        <f>TRUNC(C186)+((C186-TRUNC(C186))/0.6)</f>
        <v>0</v>
      </c>
      <c r="E186" s="472">
        <f>TRUNC(C187)+((C187-TRUNC(C187))/0.6)</f>
        <v>0</v>
      </c>
      <c r="F186" s="473">
        <f>ROUND(((LOG10(TAN(PI()/4+(D186/2*PI()/180)))*7915.7046)-(3437.7468*((0.0816968^2*SIN(D186*PI()/180))+(0.0816968^4/3*((SIN(D186*PI()/180))^3))+(0.0816968^6/5*((SIN(D186*PI()/180))^5))))),2)</f>
        <v>0</v>
      </c>
      <c r="G186" s="464"/>
      <c r="H186" s="464">
        <f>IF(E186&lt;0,E186+360,E186)</f>
        <v>0</v>
      </c>
      <c r="I186" s="477"/>
      <c r="J186" s="478"/>
      <c r="K186" s="479"/>
      <c r="L186" s="472"/>
      <c r="M186" s="472"/>
      <c r="N186" s="468"/>
      <c r="O186" s="469"/>
      <c r="P186" s="353"/>
      <c r="Q186" s="465" t="str">
        <f>IF(O185="","",Q184+O185)</f>
        <v/>
      </c>
      <c r="R186" s="465" t="str">
        <f>IF(O185="","",R184-O185)</f>
        <v/>
      </c>
      <c r="S186" s="61"/>
      <c r="T186" s="61" t="s">
        <v>25</v>
      </c>
      <c r="U186" s="355"/>
      <c r="V186" s="470"/>
      <c r="W186" s="466" t="str">
        <f>IF(P185="","",W184+V185)</f>
        <v/>
      </c>
      <c r="X186" s="61"/>
      <c r="Y186" s="61"/>
      <c r="Z186" s="61"/>
      <c r="AA186" s="61"/>
      <c r="AB186" s="52"/>
      <c r="AC186" s="68"/>
      <c r="AD186" s="480"/>
    </row>
    <row r="187" spans="1:31" ht="13.5" customHeight="1">
      <c r="A187" s="471"/>
      <c r="B187" s="395"/>
      <c r="C187" s="55"/>
      <c r="D187" s="472"/>
      <c r="E187" s="472"/>
      <c r="F187" s="473"/>
      <c r="G187" s="464">
        <f>ABS(D186-D188)*60</f>
        <v>0</v>
      </c>
      <c r="H187" s="464"/>
      <c r="I187" s="477">
        <f>ABS(H186-H188)*60</f>
        <v>0</v>
      </c>
      <c r="J187" s="478">
        <f>ABS(F186-F188)</f>
        <v>0</v>
      </c>
      <c r="K187" s="479" t="e">
        <f>IF(AND(D186&lt;D188,H186=H188),0,IF(AND(D186&gt;D188,H186=H188),180,IF(AND(D186=D188,H186&lt;H188),90,IF(AND(D186=D188,H186&gt;H188),270,(ATAN(I187/J187)*180/PI())))))</f>
        <v>#DIV/0!</v>
      </c>
      <c r="L187" s="472" t="e">
        <f>IF(OR(K187=0,K187=90,K187=180,K187=270),K187,IF(AND(D186&lt;D188,H186&lt;H188),K187,IF(AND(D186&lt;D188,H186&gt;H188),360-K187,IF(AND(D186&gt;D188,H186&lt;H188),180-K187,IF(AND(D186&gt;D188,H186&gt;H188),180+K187)))))</f>
        <v>#DIV/0!</v>
      </c>
      <c r="M187" s="472">
        <f>(IF(I187=0,G187,IF(G187=0,COS(D188*PI()/180)*I187,G187/COS(K187*PI()/180))))</f>
        <v>0</v>
      </c>
      <c r="N187" s="468" t="str">
        <f>IF(C189="","",ROUND(L187,1))</f>
        <v/>
      </c>
      <c r="O187" s="469" t="str">
        <f>IF(C189="","",ROUND(M187,1))</f>
        <v/>
      </c>
      <c r="P187" s="353"/>
      <c r="Q187" s="465"/>
      <c r="R187" s="465"/>
      <c r="S187" s="64"/>
      <c r="T187" s="64" t="s">
        <v>22</v>
      </c>
      <c r="U187" s="358"/>
      <c r="V187" s="470" t="e">
        <f>(O187/P187+U187/60)/24</f>
        <v>#VALUE!</v>
      </c>
      <c r="W187" s="466"/>
      <c r="X187" s="64"/>
      <c r="Y187" s="65"/>
      <c r="Z187" s="64"/>
      <c r="AA187" s="64"/>
      <c r="AB187" s="53"/>
      <c r="AC187" s="69"/>
      <c r="AD187" s="480"/>
    </row>
    <row r="188" spans="1:31" s="89" customFormat="1" ht="14.1" customHeight="1">
      <c r="A188" s="471" t="str">
        <f t="shared" ref="A188" si="10">IF(B188="","",A186+1)</f>
        <v/>
      </c>
      <c r="B188" s="348"/>
      <c r="C188" s="54"/>
      <c r="D188" s="472">
        <f>TRUNC(C188)+((C188-TRUNC(C188))/0.6)</f>
        <v>0</v>
      </c>
      <c r="E188" s="472">
        <f>TRUNC(C189)+((C189-TRUNC(C189))/0.6)</f>
        <v>0</v>
      </c>
      <c r="F188" s="473">
        <f>ROUND(((LOG10(TAN(PI()/4+(D188/2*PI()/180)))*7915.7046)-(3437.7468*((0.0816968^2*SIN(D188*PI()/180))+(0.0816968^4/3*((SIN(D188*PI()/180))^3))+(0.0816968^6/5*((SIN(D188*PI()/180))^5))))),2)</f>
        <v>0</v>
      </c>
      <c r="G188" s="464"/>
      <c r="H188" s="464">
        <f>IF(E188&lt;0,E188+360,E188)</f>
        <v>0</v>
      </c>
      <c r="I188" s="477"/>
      <c r="J188" s="478"/>
      <c r="K188" s="479"/>
      <c r="L188" s="472"/>
      <c r="M188" s="472"/>
      <c r="N188" s="468"/>
      <c r="O188" s="469"/>
      <c r="P188" s="353"/>
      <c r="Q188" s="465" t="str">
        <f>IF(O187="","",Q186+O187)</f>
        <v/>
      </c>
      <c r="R188" s="465" t="str">
        <f>IF(O187="","",R186-O187)</f>
        <v/>
      </c>
      <c r="S188" s="61"/>
      <c r="T188" s="61" t="s">
        <v>25</v>
      </c>
      <c r="U188" s="355"/>
      <c r="V188" s="470"/>
      <c r="W188" s="466" t="str">
        <f>IF(P187="","",W186+V187)</f>
        <v/>
      </c>
      <c r="X188" s="61"/>
      <c r="Y188" s="61"/>
      <c r="Z188" s="61"/>
      <c r="AA188" s="61"/>
      <c r="AB188" s="52"/>
      <c r="AC188" s="68"/>
      <c r="AD188" s="474" t="s">
        <v>71</v>
      </c>
    </row>
    <row r="189" spans="1:31" ht="14.1" customHeight="1">
      <c r="A189" s="471"/>
      <c r="B189" s="349"/>
      <c r="C189" s="55"/>
      <c r="D189" s="472"/>
      <c r="E189" s="472"/>
      <c r="F189" s="473"/>
      <c r="G189" s="464">
        <f>ABS(D188-D190)*60</f>
        <v>0</v>
      </c>
      <c r="H189" s="464"/>
      <c r="I189" s="477">
        <f>ABS(H188-H190)*60</f>
        <v>0</v>
      </c>
      <c r="J189" s="478">
        <f>ABS(F188-F190)</f>
        <v>0</v>
      </c>
      <c r="K189" s="479" t="e">
        <f>IF(AND(D188&lt;D190,H188=H190),0,IF(AND(D188&gt;D190,H188=H190),180,IF(AND(D188=D190,H188&lt;H190),90,IF(AND(D188=D190,H188&gt;H190),270,(ATAN(I189/J189)*180/PI())))))</f>
        <v>#DIV/0!</v>
      </c>
      <c r="L189" s="472" t="e">
        <f>IF(OR(K189=0,K189=90,K189=180,K189=270),K189,IF(AND(D188&lt;D190,H188&lt;H190),K189,IF(AND(D188&lt;D190,H188&gt;H190),360-K189,IF(AND(D188&gt;D190,H188&lt;H190),180-K189,IF(AND(D188&gt;D190,H188&gt;H190),180+K189)))))</f>
        <v>#DIV/0!</v>
      </c>
      <c r="M189" s="472">
        <f>(IF(I189=0,G189,IF(G189=0,COS(D190*PI()/180)*I189,G189/COS(K189*PI()/180))))</f>
        <v>0</v>
      </c>
      <c r="N189" s="468" t="str">
        <f>IF(C191="","",ROUND(L189,1))</f>
        <v/>
      </c>
      <c r="O189" s="469" t="str">
        <f>IF(C191="","",ROUND(M189,1))</f>
        <v/>
      </c>
      <c r="P189" s="353"/>
      <c r="Q189" s="465"/>
      <c r="R189" s="465"/>
      <c r="S189" s="64"/>
      <c r="T189" s="64" t="s">
        <v>23</v>
      </c>
      <c r="U189" s="358"/>
      <c r="V189" s="470" t="e">
        <f>(O189/P189+U189/60)/24</f>
        <v>#VALUE!</v>
      </c>
      <c r="W189" s="466"/>
      <c r="X189" s="64"/>
      <c r="Y189" s="65"/>
      <c r="Z189" s="64"/>
      <c r="AA189" s="64"/>
      <c r="AB189" s="53"/>
      <c r="AC189" s="69"/>
      <c r="AD189" s="475"/>
    </row>
    <row r="190" spans="1:31" ht="14.1" customHeight="1">
      <c r="A190" s="471" t="str">
        <f t="shared" ref="A190" si="11">IF(B190="","",A188+1)</f>
        <v/>
      </c>
      <c r="B190" s="392"/>
      <c r="C190" s="54"/>
      <c r="D190" s="472">
        <f>TRUNC(C190)+((C190-TRUNC(C190))/0.6)</f>
        <v>0</v>
      </c>
      <c r="E190" s="472">
        <f>TRUNC(C191)+((C191-TRUNC(C191))/0.6)</f>
        <v>0</v>
      </c>
      <c r="F190" s="473">
        <f>ROUND(((LOG10(TAN(PI()/4+(D190/2*PI()/180)))*7915.7046)-(3437.7468*((0.0816968^2*SIN(D190*PI()/180))+(0.0816968^4/3*((SIN(D190*PI()/180))^3))+(0.0816968^6/5*((SIN(D190*PI()/180))^5))))),2)</f>
        <v>0</v>
      </c>
      <c r="G190" s="464"/>
      <c r="H190" s="464">
        <f>IF(E190&lt;0,E190+360,E190)</f>
        <v>0</v>
      </c>
      <c r="I190" s="477"/>
      <c r="J190" s="478"/>
      <c r="K190" s="479"/>
      <c r="L190" s="472"/>
      <c r="M190" s="472"/>
      <c r="N190" s="468"/>
      <c r="O190" s="469"/>
      <c r="P190" s="353"/>
      <c r="Q190" s="465" t="str">
        <f>IF(O189="","",Q188+O189)</f>
        <v/>
      </c>
      <c r="R190" s="465"/>
      <c r="S190" s="61"/>
      <c r="T190" s="61"/>
      <c r="U190" s="355"/>
      <c r="V190" s="470"/>
      <c r="W190" s="466" t="str">
        <f>IF(P189="","",W188+V189)</f>
        <v/>
      </c>
      <c r="X190" s="61"/>
      <c r="Y190" s="61"/>
      <c r="Z190" s="61"/>
      <c r="AA190" s="61"/>
      <c r="AB190" s="52"/>
      <c r="AC190" s="68"/>
      <c r="AD190" s="475"/>
    </row>
    <row r="191" spans="1:31" ht="14.1" customHeight="1">
      <c r="A191" s="471"/>
      <c r="B191" s="392"/>
      <c r="C191" s="55"/>
      <c r="D191" s="472"/>
      <c r="E191" s="472"/>
      <c r="F191" s="473"/>
      <c r="G191" s="66"/>
      <c r="H191" s="464"/>
      <c r="I191" s="66"/>
      <c r="J191" s="66"/>
      <c r="K191" s="66"/>
      <c r="L191" s="66"/>
      <c r="M191" s="66"/>
      <c r="N191" s="59"/>
      <c r="O191" s="60"/>
      <c r="P191" s="60"/>
      <c r="Q191" s="465"/>
      <c r="R191" s="465"/>
      <c r="S191" s="64"/>
      <c r="T191" s="64"/>
      <c r="U191" s="62"/>
      <c r="V191" s="63"/>
      <c r="W191" s="466"/>
      <c r="X191" s="64"/>
      <c r="Y191" s="65"/>
      <c r="Z191" s="64"/>
      <c r="AA191" s="64"/>
      <c r="AB191" s="53"/>
      <c r="AC191" s="69"/>
      <c r="AD191" s="476"/>
    </row>
    <row r="192" spans="1:31" ht="14.1" customHeight="1">
      <c r="A192" s="467"/>
      <c r="B192" s="467"/>
      <c r="C192" s="467"/>
      <c r="D192" s="467"/>
      <c r="E192" s="467"/>
      <c r="F192" s="467"/>
      <c r="G192" s="467"/>
      <c r="H192" s="467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  <c r="AA192" s="467"/>
      <c r="AB192" s="467"/>
      <c r="AC192" s="467"/>
      <c r="AD192" s="467"/>
    </row>
    <row r="193" spans="1:30" ht="14.1" customHeight="1">
      <c r="A193" s="467"/>
      <c r="B193" s="467"/>
      <c r="C193" s="467"/>
      <c r="D193" s="467"/>
      <c r="E193" s="467"/>
      <c r="F193" s="467"/>
      <c r="G193" s="467"/>
      <c r="H193" s="467"/>
      <c r="I193" s="467"/>
      <c r="J193" s="467"/>
      <c r="K193" s="467"/>
      <c r="L193" s="467"/>
      <c r="M193" s="467"/>
      <c r="N193" s="467"/>
      <c r="O193" s="467"/>
      <c r="P193" s="467"/>
      <c r="Q193" s="467"/>
      <c r="R193" s="467"/>
      <c r="S193" s="467"/>
      <c r="T193" s="467"/>
      <c r="U193" s="467"/>
      <c r="V193" s="467"/>
      <c r="W193" s="467"/>
      <c r="X193" s="467"/>
      <c r="Y193" s="467"/>
      <c r="Z193" s="467"/>
      <c r="AA193" s="467"/>
      <c r="AB193" s="467"/>
      <c r="AC193" s="467"/>
      <c r="AD193" s="467"/>
    </row>
    <row r="194" spans="1:30" ht="14.1" customHeight="1">
      <c r="A194" s="467"/>
      <c r="B194" s="467"/>
      <c r="C194" s="467"/>
      <c r="D194" s="467"/>
      <c r="E194" s="467"/>
      <c r="F194" s="467"/>
      <c r="G194" s="467"/>
      <c r="H194" s="467"/>
      <c r="I194" s="467"/>
      <c r="J194" s="467"/>
      <c r="K194" s="467"/>
      <c r="L194" s="467"/>
      <c r="M194" s="467"/>
      <c r="N194" s="467"/>
      <c r="O194" s="467"/>
      <c r="P194" s="467"/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  <c r="AA194" s="467"/>
      <c r="AB194" s="467"/>
      <c r="AC194" s="467"/>
      <c r="AD194" s="467"/>
    </row>
    <row r="195" spans="1:30" ht="14.1" customHeight="1"/>
    <row r="196" spans="1:30" ht="14.1" customHeight="1"/>
    <row r="197" spans="1:30" ht="14.1" customHeight="1"/>
    <row r="198" spans="1:30" ht="14.1" customHeight="1"/>
    <row r="199" spans="1:30" ht="14.1" customHeight="1"/>
    <row r="200" spans="1:30" ht="14.1" customHeight="1"/>
    <row r="201" spans="1:30" ht="14.1" customHeight="1"/>
    <row r="202" spans="1:30" ht="14.1" customHeight="1"/>
    <row r="203" spans="1:30" ht="14.1" customHeight="1"/>
    <row r="204" spans="1:30" ht="14.1" customHeight="1"/>
    <row r="205" spans="1:30" ht="14.1" customHeight="1"/>
    <row r="206" spans="1:30" ht="14.1" customHeight="1"/>
    <row r="207" spans="1:30" ht="14.1" customHeight="1"/>
    <row r="208" spans="1:30" ht="14.1" customHeight="1"/>
    <row r="209" s="13" customFormat="1" ht="14.1" customHeight="1"/>
    <row r="210" s="13" customFormat="1" ht="14.1" customHeight="1"/>
    <row r="211" s="13" customFormat="1" ht="14.1" customHeight="1"/>
    <row r="212" s="13" customFormat="1" ht="14.1" customHeight="1"/>
    <row r="213" s="13" customFormat="1" ht="14.1" customHeight="1"/>
    <row r="214" s="13" customFormat="1" ht="14.1" customHeight="1"/>
    <row r="215" s="13" customFormat="1" ht="14.1" customHeight="1"/>
    <row r="216" s="13" customFormat="1" ht="14.1" customHeight="1"/>
    <row r="217" s="13" customFormat="1" ht="14.1" customHeight="1"/>
    <row r="218" s="13" customFormat="1" ht="14.1" customHeight="1"/>
    <row r="219" s="13" customFormat="1" ht="14.1" customHeight="1"/>
    <row r="220" s="13" customFormat="1" ht="14.1" customHeight="1"/>
    <row r="221" s="13" customFormat="1" ht="14.1" customHeight="1"/>
    <row r="222" s="13" customFormat="1" ht="14.1" customHeight="1"/>
    <row r="223" s="13" customFormat="1" ht="14.1" customHeight="1"/>
    <row r="224" s="13" customFormat="1" ht="14.1" customHeight="1"/>
    <row r="225" s="13" customFormat="1" ht="14.1" customHeight="1"/>
    <row r="226" s="13" customFormat="1" ht="14.1" customHeight="1"/>
    <row r="227" s="13" customFormat="1" ht="14.1" customHeight="1"/>
    <row r="228" s="13" customFormat="1" ht="14.1" customHeight="1"/>
    <row r="229" s="13" customFormat="1" ht="14.1" customHeight="1"/>
  </sheetData>
  <sheetProtection password="C29D" sheet="1" objects="1" scenarios="1" selectLockedCells="1" selectUnlockedCells="1"/>
  <mergeCells count="1688">
    <mergeCell ref="R5:R8"/>
    <mergeCell ref="U5:U8"/>
    <mergeCell ref="W5:W8"/>
    <mergeCell ref="AB5:AB8"/>
    <mergeCell ref="AD5:AD8"/>
    <mergeCell ref="A9:A10"/>
    <mergeCell ref="B9:B10"/>
    <mergeCell ref="D9:D10"/>
    <mergeCell ref="E9:E10"/>
    <mergeCell ref="F9:F10"/>
    <mergeCell ref="A5:A8"/>
    <mergeCell ref="B5:C8"/>
    <mergeCell ref="N5:N8"/>
    <mergeCell ref="O5:O8"/>
    <mergeCell ref="P5:P8"/>
    <mergeCell ref="Q5:Q8"/>
    <mergeCell ref="A1:AD1"/>
    <mergeCell ref="A2:AD2"/>
    <mergeCell ref="A3:B3"/>
    <mergeCell ref="N3:O3"/>
    <mergeCell ref="R3:U3"/>
    <mergeCell ref="V3:Z3"/>
    <mergeCell ref="AA3:AC3"/>
    <mergeCell ref="N10:N11"/>
    <mergeCell ref="O10:O11"/>
    <mergeCell ref="P10:P11"/>
    <mergeCell ref="U10:U11"/>
    <mergeCell ref="V10:V11"/>
    <mergeCell ref="Q11:Q12"/>
    <mergeCell ref="R11:R12"/>
    <mergeCell ref="P12:P13"/>
    <mergeCell ref="U12:U13"/>
    <mergeCell ref="A17:A18"/>
    <mergeCell ref="B17:B18"/>
    <mergeCell ref="D17:D18"/>
    <mergeCell ref="E17:E18"/>
    <mergeCell ref="F17:F18"/>
    <mergeCell ref="H17:H18"/>
    <mergeCell ref="Q17:Q18"/>
    <mergeCell ref="H9:H10"/>
    <mergeCell ref="Q9:Q10"/>
    <mergeCell ref="R9:R10"/>
    <mergeCell ref="W9:W10"/>
    <mergeCell ref="AD9:AD10"/>
    <mergeCell ref="G10:G11"/>
    <mergeCell ref="I10:I11"/>
    <mergeCell ref="J10:J11"/>
    <mergeCell ref="K10:K11"/>
    <mergeCell ref="L10:L11"/>
    <mergeCell ref="K14:K15"/>
    <mergeCell ref="L14:L15"/>
    <mergeCell ref="M14:M15"/>
    <mergeCell ref="N14:N15"/>
    <mergeCell ref="O14:O15"/>
    <mergeCell ref="V12:V13"/>
    <mergeCell ref="A13:A14"/>
    <mergeCell ref="B13:B14"/>
    <mergeCell ref="D13:D14"/>
    <mergeCell ref="E13:E14"/>
    <mergeCell ref="F13:F14"/>
    <mergeCell ref="H13:H14"/>
    <mergeCell ref="Q13:Q14"/>
    <mergeCell ref="R13:R14"/>
    <mergeCell ref="P14:P15"/>
    <mergeCell ref="A15:A16"/>
    <mergeCell ref="B15:B16"/>
    <mergeCell ref="D15:D16"/>
    <mergeCell ref="E15:E16"/>
    <mergeCell ref="F15:F16"/>
    <mergeCell ref="H15:H16"/>
    <mergeCell ref="Q15:Q16"/>
    <mergeCell ref="R15:R16"/>
    <mergeCell ref="W13:W14"/>
    <mergeCell ref="AD13:AD14"/>
    <mergeCell ref="G14:G15"/>
    <mergeCell ref="I14:I15"/>
    <mergeCell ref="J14:J15"/>
    <mergeCell ref="M12:M13"/>
    <mergeCell ref="N12:N13"/>
    <mergeCell ref="O12:O13"/>
    <mergeCell ref="A11:A12"/>
    <mergeCell ref="B11:B12"/>
    <mergeCell ref="D11:D12"/>
    <mergeCell ref="E11:E12"/>
    <mergeCell ref="F11:F12"/>
    <mergeCell ref="H11:H12"/>
    <mergeCell ref="M10:M11"/>
    <mergeCell ref="W11:W12"/>
    <mergeCell ref="AD11:AD12"/>
    <mergeCell ref="G12:G13"/>
    <mergeCell ref="I12:I13"/>
    <mergeCell ref="J12:J13"/>
    <mergeCell ref="K12:K13"/>
    <mergeCell ref="L12:L13"/>
    <mergeCell ref="D19:D20"/>
    <mergeCell ref="E19:E20"/>
    <mergeCell ref="F19:F20"/>
    <mergeCell ref="H19:H20"/>
    <mergeCell ref="R17:R18"/>
    <mergeCell ref="W17:W18"/>
    <mergeCell ref="AD17:AD18"/>
    <mergeCell ref="G18:G19"/>
    <mergeCell ref="I18:I19"/>
    <mergeCell ref="J18:J19"/>
    <mergeCell ref="K18:K19"/>
    <mergeCell ref="L18:L19"/>
    <mergeCell ref="M18:M19"/>
    <mergeCell ref="N18:N19"/>
    <mergeCell ref="P16:P17"/>
    <mergeCell ref="U16:U17"/>
    <mergeCell ref="V16:V17"/>
    <mergeCell ref="W15:W16"/>
    <mergeCell ref="AD15:AD16"/>
    <mergeCell ref="G16:G17"/>
    <mergeCell ref="I16:I17"/>
    <mergeCell ref="J16:J17"/>
    <mergeCell ref="K16:K17"/>
    <mergeCell ref="L16:L17"/>
    <mergeCell ref="M16:M17"/>
    <mergeCell ref="N16:N17"/>
    <mergeCell ref="O16:O17"/>
    <mergeCell ref="U14:U15"/>
    <mergeCell ref="V14:V15"/>
    <mergeCell ref="AD21:AD22"/>
    <mergeCell ref="G22:G23"/>
    <mergeCell ref="I22:I23"/>
    <mergeCell ref="J22:J23"/>
    <mergeCell ref="K22:K23"/>
    <mergeCell ref="L22:L23"/>
    <mergeCell ref="N20:N21"/>
    <mergeCell ref="O20:O21"/>
    <mergeCell ref="P20:P21"/>
    <mergeCell ref="U20:U21"/>
    <mergeCell ref="V20:V21"/>
    <mergeCell ref="A21:A22"/>
    <mergeCell ref="B21:B22"/>
    <mergeCell ref="D21:D22"/>
    <mergeCell ref="E21:E22"/>
    <mergeCell ref="F21:F22"/>
    <mergeCell ref="Q19:Q20"/>
    <mergeCell ref="R19:R20"/>
    <mergeCell ref="W19:W20"/>
    <mergeCell ref="AD19:AD20"/>
    <mergeCell ref="G20:G21"/>
    <mergeCell ref="I20:I21"/>
    <mergeCell ref="J20:J21"/>
    <mergeCell ref="K20:K21"/>
    <mergeCell ref="L20:L21"/>
    <mergeCell ref="M20:M21"/>
    <mergeCell ref="O18:O19"/>
    <mergeCell ref="P18:P19"/>
    <mergeCell ref="U18:U19"/>
    <mergeCell ref="V18:V19"/>
    <mergeCell ref="A19:A20"/>
    <mergeCell ref="B19:B20"/>
    <mergeCell ref="E23:E24"/>
    <mergeCell ref="F23:F24"/>
    <mergeCell ref="H23:H24"/>
    <mergeCell ref="M22:M23"/>
    <mergeCell ref="N22:N23"/>
    <mergeCell ref="O22:O23"/>
    <mergeCell ref="P22:P23"/>
    <mergeCell ref="U22:U23"/>
    <mergeCell ref="V22:V23"/>
    <mergeCell ref="Q23:Q24"/>
    <mergeCell ref="R23:R24"/>
    <mergeCell ref="P24:P25"/>
    <mergeCell ref="U24:U25"/>
    <mergeCell ref="H21:H22"/>
    <mergeCell ref="Q21:Q22"/>
    <mergeCell ref="R21:R22"/>
    <mergeCell ref="W21:W22"/>
    <mergeCell ref="AD25:AD26"/>
    <mergeCell ref="G26:G27"/>
    <mergeCell ref="I26:I27"/>
    <mergeCell ref="J26:J27"/>
    <mergeCell ref="K26:K27"/>
    <mergeCell ref="L26:L27"/>
    <mergeCell ref="M26:M27"/>
    <mergeCell ref="N26:N27"/>
    <mergeCell ref="O26:O27"/>
    <mergeCell ref="V24:V25"/>
    <mergeCell ref="A25:A26"/>
    <mergeCell ref="B25:B26"/>
    <mergeCell ref="D25:D26"/>
    <mergeCell ref="E25:E26"/>
    <mergeCell ref="F25:F26"/>
    <mergeCell ref="H25:H26"/>
    <mergeCell ref="Q25:Q26"/>
    <mergeCell ref="R25:R26"/>
    <mergeCell ref="P26:P27"/>
    <mergeCell ref="W23:W24"/>
    <mergeCell ref="AD23:AD24"/>
    <mergeCell ref="G24:G25"/>
    <mergeCell ref="I24:I25"/>
    <mergeCell ref="J24:J25"/>
    <mergeCell ref="K24:K25"/>
    <mergeCell ref="L24:L25"/>
    <mergeCell ref="M24:M25"/>
    <mergeCell ref="N24:N25"/>
    <mergeCell ref="O24:O25"/>
    <mergeCell ref="A23:A24"/>
    <mergeCell ref="B23:B24"/>
    <mergeCell ref="D23:D24"/>
    <mergeCell ref="J28:J29"/>
    <mergeCell ref="K28:K29"/>
    <mergeCell ref="L28:L29"/>
    <mergeCell ref="M28:M29"/>
    <mergeCell ref="N28:N29"/>
    <mergeCell ref="O28:O29"/>
    <mergeCell ref="U26:U27"/>
    <mergeCell ref="V26:V27"/>
    <mergeCell ref="A27:A28"/>
    <mergeCell ref="B27:B28"/>
    <mergeCell ref="D27:D28"/>
    <mergeCell ref="E27:E28"/>
    <mergeCell ref="F27:F28"/>
    <mergeCell ref="H27:H28"/>
    <mergeCell ref="Q27:Q28"/>
    <mergeCell ref="R27:R28"/>
    <mergeCell ref="W25:W26"/>
    <mergeCell ref="U30:U31"/>
    <mergeCell ref="V30:V31"/>
    <mergeCell ref="A31:A32"/>
    <mergeCell ref="B31:B32"/>
    <mergeCell ref="D31:D32"/>
    <mergeCell ref="E31:E32"/>
    <mergeCell ref="F31:F32"/>
    <mergeCell ref="H31:H32"/>
    <mergeCell ref="R29:R30"/>
    <mergeCell ref="W29:W30"/>
    <mergeCell ref="AD29:AD30"/>
    <mergeCell ref="G30:G31"/>
    <mergeCell ref="I30:I31"/>
    <mergeCell ref="J30:J31"/>
    <mergeCell ref="K30:K31"/>
    <mergeCell ref="L30:L31"/>
    <mergeCell ref="M30:M31"/>
    <mergeCell ref="N30:N31"/>
    <mergeCell ref="P28:P29"/>
    <mergeCell ref="U28:U29"/>
    <mergeCell ref="V28:V29"/>
    <mergeCell ref="A29:A30"/>
    <mergeCell ref="B29:B30"/>
    <mergeCell ref="D29:D30"/>
    <mergeCell ref="E29:E30"/>
    <mergeCell ref="F29:F30"/>
    <mergeCell ref="H29:H30"/>
    <mergeCell ref="Q29:Q30"/>
    <mergeCell ref="W27:W28"/>
    <mergeCell ref="AD27:AD28"/>
    <mergeCell ref="G28:G29"/>
    <mergeCell ref="I28:I29"/>
    <mergeCell ref="V34:V35"/>
    <mergeCell ref="Q35:Q36"/>
    <mergeCell ref="R35:R36"/>
    <mergeCell ref="P36:P37"/>
    <mergeCell ref="U36:U37"/>
    <mergeCell ref="H33:H34"/>
    <mergeCell ref="Q33:Q34"/>
    <mergeCell ref="R33:R34"/>
    <mergeCell ref="W33:W34"/>
    <mergeCell ref="AD33:AD34"/>
    <mergeCell ref="G34:G35"/>
    <mergeCell ref="I34:I35"/>
    <mergeCell ref="J34:J35"/>
    <mergeCell ref="K34:K35"/>
    <mergeCell ref="L34:L35"/>
    <mergeCell ref="N32:N33"/>
    <mergeCell ref="O32:O33"/>
    <mergeCell ref="P32:P33"/>
    <mergeCell ref="U32:U33"/>
    <mergeCell ref="V32:V33"/>
    <mergeCell ref="Q31:Q32"/>
    <mergeCell ref="R31:R32"/>
    <mergeCell ref="W31:W32"/>
    <mergeCell ref="AD31:AD32"/>
    <mergeCell ref="G32:G33"/>
    <mergeCell ref="I32:I33"/>
    <mergeCell ref="J32:J33"/>
    <mergeCell ref="K32:K33"/>
    <mergeCell ref="L32:L33"/>
    <mergeCell ref="M32:M33"/>
    <mergeCell ref="O30:O31"/>
    <mergeCell ref="P30:P31"/>
    <mergeCell ref="J36:J37"/>
    <mergeCell ref="K36:K37"/>
    <mergeCell ref="L36:L37"/>
    <mergeCell ref="M36:M37"/>
    <mergeCell ref="N36:N37"/>
    <mergeCell ref="O36:O37"/>
    <mergeCell ref="A35:A36"/>
    <mergeCell ref="B35:B36"/>
    <mergeCell ref="D35:D36"/>
    <mergeCell ref="E35:E36"/>
    <mergeCell ref="F35:F36"/>
    <mergeCell ref="H35:H36"/>
    <mergeCell ref="M34:M35"/>
    <mergeCell ref="N34:N35"/>
    <mergeCell ref="O34:O35"/>
    <mergeCell ref="P34:P35"/>
    <mergeCell ref="U34:U35"/>
    <mergeCell ref="A33:A34"/>
    <mergeCell ref="B33:B34"/>
    <mergeCell ref="D33:D34"/>
    <mergeCell ref="E33:E34"/>
    <mergeCell ref="F33:F34"/>
    <mergeCell ref="A39:A40"/>
    <mergeCell ref="B39:B40"/>
    <mergeCell ref="D39:D40"/>
    <mergeCell ref="E39:E40"/>
    <mergeCell ref="F39:F40"/>
    <mergeCell ref="H39:H40"/>
    <mergeCell ref="Q39:Q40"/>
    <mergeCell ref="R39:R40"/>
    <mergeCell ref="W37:W38"/>
    <mergeCell ref="AD37:AD38"/>
    <mergeCell ref="G38:G39"/>
    <mergeCell ref="I38:I39"/>
    <mergeCell ref="J38:J39"/>
    <mergeCell ref="K38:K39"/>
    <mergeCell ref="L38:L39"/>
    <mergeCell ref="M38:M39"/>
    <mergeCell ref="N38:N39"/>
    <mergeCell ref="O38:O39"/>
    <mergeCell ref="V36:V37"/>
    <mergeCell ref="A37:A38"/>
    <mergeCell ref="B37:B38"/>
    <mergeCell ref="D37:D38"/>
    <mergeCell ref="E37:E38"/>
    <mergeCell ref="F37:F38"/>
    <mergeCell ref="H37:H38"/>
    <mergeCell ref="Q37:Q38"/>
    <mergeCell ref="R37:R38"/>
    <mergeCell ref="P38:P39"/>
    <mergeCell ref="W35:W36"/>
    <mergeCell ref="AD35:AD36"/>
    <mergeCell ref="G36:G37"/>
    <mergeCell ref="I36:I37"/>
    <mergeCell ref="R41:R42"/>
    <mergeCell ref="W41:W42"/>
    <mergeCell ref="AD41:AD42"/>
    <mergeCell ref="G42:G43"/>
    <mergeCell ref="I42:I43"/>
    <mergeCell ref="J42:J43"/>
    <mergeCell ref="K42:K43"/>
    <mergeCell ref="L42:L43"/>
    <mergeCell ref="M42:M43"/>
    <mergeCell ref="N42:N43"/>
    <mergeCell ref="P40:P41"/>
    <mergeCell ref="U40:U41"/>
    <mergeCell ref="V40:V41"/>
    <mergeCell ref="A41:A42"/>
    <mergeCell ref="B41:B42"/>
    <mergeCell ref="D41:D42"/>
    <mergeCell ref="E41:E42"/>
    <mergeCell ref="F41:F42"/>
    <mergeCell ref="H41:H42"/>
    <mergeCell ref="Q41:Q42"/>
    <mergeCell ref="W39:W40"/>
    <mergeCell ref="AD39:AD40"/>
    <mergeCell ref="G40:G41"/>
    <mergeCell ref="I40:I41"/>
    <mergeCell ref="J40:J41"/>
    <mergeCell ref="K40:K41"/>
    <mergeCell ref="L40:L41"/>
    <mergeCell ref="M40:M41"/>
    <mergeCell ref="N40:N41"/>
    <mergeCell ref="O40:O41"/>
    <mergeCell ref="U38:U39"/>
    <mergeCell ref="V38:V39"/>
    <mergeCell ref="K46:K47"/>
    <mergeCell ref="L46:L47"/>
    <mergeCell ref="N44:N45"/>
    <mergeCell ref="O44:O45"/>
    <mergeCell ref="P44:P45"/>
    <mergeCell ref="U44:U45"/>
    <mergeCell ref="V44:V45"/>
    <mergeCell ref="A45:A46"/>
    <mergeCell ref="B45:B46"/>
    <mergeCell ref="D45:D46"/>
    <mergeCell ref="E45:E46"/>
    <mergeCell ref="F45:F46"/>
    <mergeCell ref="Q43:Q44"/>
    <mergeCell ref="R43:R44"/>
    <mergeCell ref="W43:W44"/>
    <mergeCell ref="AD43:AD44"/>
    <mergeCell ref="G44:G45"/>
    <mergeCell ref="I44:I45"/>
    <mergeCell ref="J44:J45"/>
    <mergeCell ref="K44:K45"/>
    <mergeCell ref="L44:L45"/>
    <mergeCell ref="M44:M45"/>
    <mergeCell ref="O42:O43"/>
    <mergeCell ref="P42:P43"/>
    <mergeCell ref="U42:U43"/>
    <mergeCell ref="V42:V43"/>
    <mergeCell ref="A43:A44"/>
    <mergeCell ref="B43:B44"/>
    <mergeCell ref="D43:D44"/>
    <mergeCell ref="E43:E44"/>
    <mergeCell ref="F43:F44"/>
    <mergeCell ref="H43:H44"/>
    <mergeCell ref="W47:W48"/>
    <mergeCell ref="B49:B50"/>
    <mergeCell ref="A52:AD53"/>
    <mergeCell ref="A54:A57"/>
    <mergeCell ref="B54:C57"/>
    <mergeCell ref="N54:N57"/>
    <mergeCell ref="O54:O57"/>
    <mergeCell ref="P54:P57"/>
    <mergeCell ref="Q54:Q57"/>
    <mergeCell ref="R54:R57"/>
    <mergeCell ref="A47:A48"/>
    <mergeCell ref="B47:B48"/>
    <mergeCell ref="D47:D48"/>
    <mergeCell ref="E47:E48"/>
    <mergeCell ref="F47:F48"/>
    <mergeCell ref="H47:H48"/>
    <mergeCell ref="M46:M47"/>
    <mergeCell ref="N46:N47"/>
    <mergeCell ref="O46:O47"/>
    <mergeCell ref="P46:P47"/>
    <mergeCell ref="U46:U47"/>
    <mergeCell ref="V46:V47"/>
    <mergeCell ref="Q47:Q48"/>
    <mergeCell ref="R47:R48"/>
    <mergeCell ref="H45:H46"/>
    <mergeCell ref="Q45:Q46"/>
    <mergeCell ref="R45:R46"/>
    <mergeCell ref="W45:W46"/>
    <mergeCell ref="AD45:AD48"/>
    <mergeCell ref="G46:G47"/>
    <mergeCell ref="I46:I47"/>
    <mergeCell ref="J46:J47"/>
    <mergeCell ref="A60:A61"/>
    <mergeCell ref="B60:B61"/>
    <mergeCell ref="D60:D61"/>
    <mergeCell ref="E60:E61"/>
    <mergeCell ref="F60:F61"/>
    <mergeCell ref="Q58:Q59"/>
    <mergeCell ref="R58:R59"/>
    <mergeCell ref="W58:W59"/>
    <mergeCell ref="AD58:AD59"/>
    <mergeCell ref="G59:G60"/>
    <mergeCell ref="I59:I60"/>
    <mergeCell ref="J59:J60"/>
    <mergeCell ref="K59:K60"/>
    <mergeCell ref="L59:L60"/>
    <mergeCell ref="M59:M60"/>
    <mergeCell ref="U54:U57"/>
    <mergeCell ref="W54:W57"/>
    <mergeCell ref="AB54:AB57"/>
    <mergeCell ref="AD54:AD57"/>
    <mergeCell ref="A58:A59"/>
    <mergeCell ref="B58:B59"/>
    <mergeCell ref="D58:D59"/>
    <mergeCell ref="E58:E59"/>
    <mergeCell ref="F58:F59"/>
    <mergeCell ref="H58:H59"/>
    <mergeCell ref="N61:N62"/>
    <mergeCell ref="O61:O62"/>
    <mergeCell ref="P61:P62"/>
    <mergeCell ref="U61:U62"/>
    <mergeCell ref="V61:V62"/>
    <mergeCell ref="Q62:Q63"/>
    <mergeCell ref="R62:R63"/>
    <mergeCell ref="P63:P64"/>
    <mergeCell ref="U63:U64"/>
    <mergeCell ref="H60:H61"/>
    <mergeCell ref="Q60:Q61"/>
    <mergeCell ref="R60:R61"/>
    <mergeCell ref="W60:W61"/>
    <mergeCell ref="AD60:AD61"/>
    <mergeCell ref="G61:G62"/>
    <mergeCell ref="I61:I62"/>
    <mergeCell ref="J61:J62"/>
    <mergeCell ref="K61:K62"/>
    <mergeCell ref="L61:L62"/>
    <mergeCell ref="N59:N60"/>
    <mergeCell ref="O59:O60"/>
    <mergeCell ref="P59:P60"/>
    <mergeCell ref="U59:U60"/>
    <mergeCell ref="V59:V60"/>
    <mergeCell ref="K65:K66"/>
    <mergeCell ref="L65:L66"/>
    <mergeCell ref="M65:M66"/>
    <mergeCell ref="N65:N66"/>
    <mergeCell ref="O65:O66"/>
    <mergeCell ref="V63:V64"/>
    <mergeCell ref="A64:A65"/>
    <mergeCell ref="B64:B65"/>
    <mergeCell ref="D64:D65"/>
    <mergeCell ref="E64:E65"/>
    <mergeCell ref="F64:F65"/>
    <mergeCell ref="H64:H65"/>
    <mergeCell ref="Q64:Q65"/>
    <mergeCell ref="R64:R65"/>
    <mergeCell ref="P65:P66"/>
    <mergeCell ref="W62:W63"/>
    <mergeCell ref="AD62:AD63"/>
    <mergeCell ref="G63:G64"/>
    <mergeCell ref="I63:I64"/>
    <mergeCell ref="J63:J64"/>
    <mergeCell ref="K63:K64"/>
    <mergeCell ref="L63:L64"/>
    <mergeCell ref="M63:M64"/>
    <mergeCell ref="N63:N64"/>
    <mergeCell ref="O63:O64"/>
    <mergeCell ref="A62:A63"/>
    <mergeCell ref="B62:B63"/>
    <mergeCell ref="D62:D63"/>
    <mergeCell ref="E62:E63"/>
    <mergeCell ref="F62:F63"/>
    <mergeCell ref="H62:H63"/>
    <mergeCell ref="M61:M62"/>
    <mergeCell ref="A68:A69"/>
    <mergeCell ref="B68:B69"/>
    <mergeCell ref="D68:D69"/>
    <mergeCell ref="E68:E69"/>
    <mergeCell ref="F68:F69"/>
    <mergeCell ref="H68:H69"/>
    <mergeCell ref="Q68:Q69"/>
    <mergeCell ref="W66:W67"/>
    <mergeCell ref="AD66:AD67"/>
    <mergeCell ref="G67:G68"/>
    <mergeCell ref="I67:I68"/>
    <mergeCell ref="J67:J68"/>
    <mergeCell ref="K67:K68"/>
    <mergeCell ref="L67:L68"/>
    <mergeCell ref="M67:M68"/>
    <mergeCell ref="N67:N68"/>
    <mergeCell ref="O67:O68"/>
    <mergeCell ref="U65:U66"/>
    <mergeCell ref="V65:V66"/>
    <mergeCell ref="A66:A67"/>
    <mergeCell ref="B66:B67"/>
    <mergeCell ref="D66:D67"/>
    <mergeCell ref="E66:E67"/>
    <mergeCell ref="F66:F67"/>
    <mergeCell ref="H66:H67"/>
    <mergeCell ref="Q66:Q67"/>
    <mergeCell ref="R66:R67"/>
    <mergeCell ref="W64:W65"/>
    <mergeCell ref="AD64:AD65"/>
    <mergeCell ref="G65:G66"/>
    <mergeCell ref="I65:I66"/>
    <mergeCell ref="J65:J66"/>
    <mergeCell ref="B70:B71"/>
    <mergeCell ref="D70:D71"/>
    <mergeCell ref="E70:E71"/>
    <mergeCell ref="F70:F71"/>
    <mergeCell ref="H70:H71"/>
    <mergeCell ref="R68:R69"/>
    <mergeCell ref="W68:W69"/>
    <mergeCell ref="AD68:AD69"/>
    <mergeCell ref="G69:G70"/>
    <mergeCell ref="I69:I70"/>
    <mergeCell ref="J69:J70"/>
    <mergeCell ref="K69:K70"/>
    <mergeCell ref="L69:L70"/>
    <mergeCell ref="M69:M70"/>
    <mergeCell ref="N69:N70"/>
    <mergeCell ref="P67:P68"/>
    <mergeCell ref="U67:U68"/>
    <mergeCell ref="V67:V68"/>
    <mergeCell ref="W72:W73"/>
    <mergeCell ref="AD72:AD73"/>
    <mergeCell ref="G73:G74"/>
    <mergeCell ref="I73:I74"/>
    <mergeCell ref="J73:J74"/>
    <mergeCell ref="K73:K74"/>
    <mergeCell ref="L73:L74"/>
    <mergeCell ref="N71:N72"/>
    <mergeCell ref="O71:O72"/>
    <mergeCell ref="P71:P72"/>
    <mergeCell ref="U71:U72"/>
    <mergeCell ref="V71:V72"/>
    <mergeCell ref="A72:A73"/>
    <mergeCell ref="B72:B73"/>
    <mergeCell ref="D72:D73"/>
    <mergeCell ref="E72:E73"/>
    <mergeCell ref="F72:F73"/>
    <mergeCell ref="Q70:Q71"/>
    <mergeCell ref="R70:R71"/>
    <mergeCell ref="W70:W71"/>
    <mergeCell ref="AD70:AD71"/>
    <mergeCell ref="G71:G72"/>
    <mergeCell ref="I71:I72"/>
    <mergeCell ref="J71:J72"/>
    <mergeCell ref="K71:K72"/>
    <mergeCell ref="L71:L72"/>
    <mergeCell ref="M71:M72"/>
    <mergeCell ref="O69:O70"/>
    <mergeCell ref="P69:P70"/>
    <mergeCell ref="U69:U70"/>
    <mergeCell ref="V69:V70"/>
    <mergeCell ref="A70:A71"/>
    <mergeCell ref="B74:B75"/>
    <mergeCell ref="D74:D75"/>
    <mergeCell ref="E74:E75"/>
    <mergeCell ref="F74:F75"/>
    <mergeCell ref="H74:H75"/>
    <mergeCell ref="M73:M74"/>
    <mergeCell ref="N73:N74"/>
    <mergeCell ref="O73:O74"/>
    <mergeCell ref="P73:P74"/>
    <mergeCell ref="U73:U74"/>
    <mergeCell ref="V73:V74"/>
    <mergeCell ref="Q74:Q75"/>
    <mergeCell ref="R74:R75"/>
    <mergeCell ref="P75:P76"/>
    <mergeCell ref="U75:U76"/>
    <mergeCell ref="H72:H73"/>
    <mergeCell ref="Q72:Q73"/>
    <mergeCell ref="R72:R73"/>
    <mergeCell ref="R78:R79"/>
    <mergeCell ref="W76:W77"/>
    <mergeCell ref="AD76:AD77"/>
    <mergeCell ref="G77:G78"/>
    <mergeCell ref="I77:I78"/>
    <mergeCell ref="J77:J78"/>
    <mergeCell ref="K77:K78"/>
    <mergeCell ref="L77:L78"/>
    <mergeCell ref="M77:M78"/>
    <mergeCell ref="N77:N78"/>
    <mergeCell ref="O77:O78"/>
    <mergeCell ref="V75:V76"/>
    <mergeCell ref="A76:A77"/>
    <mergeCell ref="B76:B77"/>
    <mergeCell ref="D76:D77"/>
    <mergeCell ref="E76:E77"/>
    <mergeCell ref="F76:F77"/>
    <mergeCell ref="H76:H77"/>
    <mergeCell ref="Q76:Q77"/>
    <mergeCell ref="R76:R77"/>
    <mergeCell ref="P77:P78"/>
    <mergeCell ref="W74:W75"/>
    <mergeCell ref="AD74:AD75"/>
    <mergeCell ref="G75:G76"/>
    <mergeCell ref="I75:I76"/>
    <mergeCell ref="J75:J76"/>
    <mergeCell ref="K75:K76"/>
    <mergeCell ref="L75:L76"/>
    <mergeCell ref="M75:M76"/>
    <mergeCell ref="N75:N76"/>
    <mergeCell ref="O75:O76"/>
    <mergeCell ref="A74:A75"/>
    <mergeCell ref="L81:L82"/>
    <mergeCell ref="M81:M82"/>
    <mergeCell ref="N81:N82"/>
    <mergeCell ref="P79:P80"/>
    <mergeCell ref="U79:U80"/>
    <mergeCell ref="V79:V80"/>
    <mergeCell ref="A80:A81"/>
    <mergeCell ref="B80:B81"/>
    <mergeCell ref="D80:D81"/>
    <mergeCell ref="E80:E81"/>
    <mergeCell ref="F80:F81"/>
    <mergeCell ref="H80:H81"/>
    <mergeCell ref="Q80:Q81"/>
    <mergeCell ref="W78:W79"/>
    <mergeCell ref="AD78:AD79"/>
    <mergeCell ref="G79:G80"/>
    <mergeCell ref="I79:I80"/>
    <mergeCell ref="J79:J80"/>
    <mergeCell ref="K79:K80"/>
    <mergeCell ref="L79:L80"/>
    <mergeCell ref="M79:M80"/>
    <mergeCell ref="N79:N80"/>
    <mergeCell ref="O79:O80"/>
    <mergeCell ref="U77:U78"/>
    <mergeCell ref="V77:V78"/>
    <mergeCell ref="A78:A79"/>
    <mergeCell ref="B78:B79"/>
    <mergeCell ref="D78:D79"/>
    <mergeCell ref="E78:E79"/>
    <mergeCell ref="F78:F79"/>
    <mergeCell ref="H78:H79"/>
    <mergeCell ref="Q78:Q79"/>
    <mergeCell ref="A84:A85"/>
    <mergeCell ref="B84:B85"/>
    <mergeCell ref="D84:D85"/>
    <mergeCell ref="E84:E85"/>
    <mergeCell ref="F84:F85"/>
    <mergeCell ref="Q82:Q83"/>
    <mergeCell ref="R82:R83"/>
    <mergeCell ref="W82:W83"/>
    <mergeCell ref="AD82:AD83"/>
    <mergeCell ref="G83:G84"/>
    <mergeCell ref="I83:I84"/>
    <mergeCell ref="J83:J84"/>
    <mergeCell ref="K83:K84"/>
    <mergeCell ref="L83:L84"/>
    <mergeCell ref="M83:M84"/>
    <mergeCell ref="O81:O82"/>
    <mergeCell ref="P81:P82"/>
    <mergeCell ref="U81:U82"/>
    <mergeCell ref="V81:V82"/>
    <mergeCell ref="A82:A83"/>
    <mergeCell ref="B82:B83"/>
    <mergeCell ref="D82:D83"/>
    <mergeCell ref="E82:E83"/>
    <mergeCell ref="F82:F83"/>
    <mergeCell ref="H82:H83"/>
    <mergeCell ref="R80:R81"/>
    <mergeCell ref="W80:W81"/>
    <mergeCell ref="AD80:AD81"/>
    <mergeCell ref="G81:G82"/>
    <mergeCell ref="I81:I82"/>
    <mergeCell ref="J81:J82"/>
    <mergeCell ref="K81:K82"/>
    <mergeCell ref="R86:R87"/>
    <mergeCell ref="P87:P88"/>
    <mergeCell ref="U87:U88"/>
    <mergeCell ref="H84:H85"/>
    <mergeCell ref="Q84:Q85"/>
    <mergeCell ref="R84:R85"/>
    <mergeCell ref="W84:W85"/>
    <mergeCell ref="AD84:AD85"/>
    <mergeCell ref="G85:G86"/>
    <mergeCell ref="I85:I86"/>
    <mergeCell ref="J85:J86"/>
    <mergeCell ref="K85:K86"/>
    <mergeCell ref="L85:L86"/>
    <mergeCell ref="N83:N84"/>
    <mergeCell ref="O83:O84"/>
    <mergeCell ref="P83:P84"/>
    <mergeCell ref="U83:U84"/>
    <mergeCell ref="V83:V84"/>
    <mergeCell ref="V87:V88"/>
    <mergeCell ref="A88:A89"/>
    <mergeCell ref="B88:B89"/>
    <mergeCell ref="D88:D89"/>
    <mergeCell ref="E88:E89"/>
    <mergeCell ref="F88:F89"/>
    <mergeCell ref="H88:H89"/>
    <mergeCell ref="Q88:Q89"/>
    <mergeCell ref="R88:R89"/>
    <mergeCell ref="P89:P90"/>
    <mergeCell ref="W86:W87"/>
    <mergeCell ref="AD86:AD87"/>
    <mergeCell ref="G87:G88"/>
    <mergeCell ref="I87:I88"/>
    <mergeCell ref="J87:J88"/>
    <mergeCell ref="K87:K88"/>
    <mergeCell ref="L87:L88"/>
    <mergeCell ref="M87:M88"/>
    <mergeCell ref="N87:N88"/>
    <mergeCell ref="O87:O88"/>
    <mergeCell ref="A86:A87"/>
    <mergeCell ref="B86:B87"/>
    <mergeCell ref="D86:D87"/>
    <mergeCell ref="E86:E87"/>
    <mergeCell ref="F86:F87"/>
    <mergeCell ref="H86:H87"/>
    <mergeCell ref="M85:M86"/>
    <mergeCell ref="N85:N86"/>
    <mergeCell ref="O85:O86"/>
    <mergeCell ref="P85:P86"/>
    <mergeCell ref="U85:U86"/>
    <mergeCell ref="V85:V86"/>
    <mergeCell ref="Q86:Q87"/>
    <mergeCell ref="H92:H93"/>
    <mergeCell ref="Q92:Q93"/>
    <mergeCell ref="W90:W91"/>
    <mergeCell ref="AD90:AD91"/>
    <mergeCell ref="G91:G92"/>
    <mergeCell ref="I91:I92"/>
    <mergeCell ref="J91:J92"/>
    <mergeCell ref="K91:K92"/>
    <mergeCell ref="L91:L92"/>
    <mergeCell ref="M91:M92"/>
    <mergeCell ref="N91:N92"/>
    <mergeCell ref="O91:O92"/>
    <mergeCell ref="U89:U90"/>
    <mergeCell ref="V89:V90"/>
    <mergeCell ref="A90:A91"/>
    <mergeCell ref="B90:B91"/>
    <mergeCell ref="D90:D91"/>
    <mergeCell ref="E90:E91"/>
    <mergeCell ref="F90:F91"/>
    <mergeCell ref="H90:H91"/>
    <mergeCell ref="Q90:Q91"/>
    <mergeCell ref="R90:R91"/>
    <mergeCell ref="W88:W89"/>
    <mergeCell ref="AD88:AD89"/>
    <mergeCell ref="G89:G90"/>
    <mergeCell ref="I89:I90"/>
    <mergeCell ref="J89:J90"/>
    <mergeCell ref="K89:K90"/>
    <mergeCell ref="L89:L90"/>
    <mergeCell ref="M89:M90"/>
    <mergeCell ref="N89:N90"/>
    <mergeCell ref="O89:O90"/>
    <mergeCell ref="J95:J96"/>
    <mergeCell ref="K95:K96"/>
    <mergeCell ref="L95:L96"/>
    <mergeCell ref="M95:M96"/>
    <mergeCell ref="O93:O94"/>
    <mergeCell ref="P93:P94"/>
    <mergeCell ref="U93:U94"/>
    <mergeCell ref="V93:V94"/>
    <mergeCell ref="A94:A95"/>
    <mergeCell ref="B94:B95"/>
    <mergeCell ref="D94:D95"/>
    <mergeCell ref="E94:E95"/>
    <mergeCell ref="F94:F95"/>
    <mergeCell ref="H94:H95"/>
    <mergeCell ref="R92:R93"/>
    <mergeCell ref="W92:W93"/>
    <mergeCell ref="AD92:AD93"/>
    <mergeCell ref="G93:G94"/>
    <mergeCell ref="I93:I94"/>
    <mergeCell ref="J93:J94"/>
    <mergeCell ref="K93:K94"/>
    <mergeCell ref="L93:L94"/>
    <mergeCell ref="M93:M94"/>
    <mergeCell ref="N93:N94"/>
    <mergeCell ref="P91:P92"/>
    <mergeCell ref="U91:U92"/>
    <mergeCell ref="V91:V92"/>
    <mergeCell ref="A92:A93"/>
    <mergeCell ref="B92:B93"/>
    <mergeCell ref="D92:D93"/>
    <mergeCell ref="E92:E93"/>
    <mergeCell ref="F92:F93"/>
    <mergeCell ref="Q101:Q104"/>
    <mergeCell ref="R101:R104"/>
    <mergeCell ref="U101:U104"/>
    <mergeCell ref="W101:W104"/>
    <mergeCell ref="AB101:AB104"/>
    <mergeCell ref="AD101:AD104"/>
    <mergeCell ref="H96:H97"/>
    <mergeCell ref="Q96:Q97"/>
    <mergeCell ref="R96:R97"/>
    <mergeCell ref="W96:W97"/>
    <mergeCell ref="A98:AD100"/>
    <mergeCell ref="A101:A104"/>
    <mergeCell ref="B101:C104"/>
    <mergeCell ref="N101:N104"/>
    <mergeCell ref="O101:O104"/>
    <mergeCell ref="P101:P104"/>
    <mergeCell ref="N95:N96"/>
    <mergeCell ref="O95:O96"/>
    <mergeCell ref="P95:P96"/>
    <mergeCell ref="U95:U96"/>
    <mergeCell ref="V95:V96"/>
    <mergeCell ref="A96:A97"/>
    <mergeCell ref="B96:B97"/>
    <mergeCell ref="D96:D97"/>
    <mergeCell ref="E96:E97"/>
    <mergeCell ref="F96:F97"/>
    <mergeCell ref="Q94:Q95"/>
    <mergeCell ref="R94:R95"/>
    <mergeCell ref="W94:W95"/>
    <mergeCell ref="AD94:AD97"/>
    <mergeCell ref="G95:G96"/>
    <mergeCell ref="I95:I96"/>
    <mergeCell ref="W105:W106"/>
    <mergeCell ref="AD105:AD106"/>
    <mergeCell ref="G106:G107"/>
    <mergeCell ref="I106:I107"/>
    <mergeCell ref="J106:J107"/>
    <mergeCell ref="K106:K107"/>
    <mergeCell ref="L106:L107"/>
    <mergeCell ref="M106:M107"/>
    <mergeCell ref="A105:A106"/>
    <mergeCell ref="B105:B106"/>
    <mergeCell ref="D105:D106"/>
    <mergeCell ref="E105:E106"/>
    <mergeCell ref="F105:F106"/>
    <mergeCell ref="H105:H106"/>
    <mergeCell ref="N108:N109"/>
    <mergeCell ref="O108:O109"/>
    <mergeCell ref="P108:P109"/>
    <mergeCell ref="U108:U109"/>
    <mergeCell ref="V108:V109"/>
    <mergeCell ref="Q109:Q110"/>
    <mergeCell ref="R109:R110"/>
    <mergeCell ref="P110:P111"/>
    <mergeCell ref="U110:U111"/>
    <mergeCell ref="H107:H108"/>
    <mergeCell ref="Q107:Q108"/>
    <mergeCell ref="K108:K109"/>
    <mergeCell ref="L108:L109"/>
    <mergeCell ref="N106:N107"/>
    <mergeCell ref="O106:O107"/>
    <mergeCell ref="P106:P107"/>
    <mergeCell ref="U106:U107"/>
    <mergeCell ref="V106:V107"/>
    <mergeCell ref="K112:K113"/>
    <mergeCell ref="L112:L113"/>
    <mergeCell ref="M112:M113"/>
    <mergeCell ref="N112:N113"/>
    <mergeCell ref="O112:O113"/>
    <mergeCell ref="V110:V111"/>
    <mergeCell ref="A107:A108"/>
    <mergeCell ref="B107:B108"/>
    <mergeCell ref="D107:D108"/>
    <mergeCell ref="E107:E108"/>
    <mergeCell ref="F107:F108"/>
    <mergeCell ref="Q105:Q106"/>
    <mergeCell ref="R105:R106"/>
    <mergeCell ref="A111:A112"/>
    <mergeCell ref="B111:B112"/>
    <mergeCell ref="D111:D112"/>
    <mergeCell ref="E111:E112"/>
    <mergeCell ref="F111:F112"/>
    <mergeCell ref="H111:H112"/>
    <mergeCell ref="Q111:Q112"/>
    <mergeCell ref="R111:R112"/>
    <mergeCell ref="P112:P113"/>
    <mergeCell ref="W109:W110"/>
    <mergeCell ref="AD109:AD110"/>
    <mergeCell ref="G110:G111"/>
    <mergeCell ref="I110:I111"/>
    <mergeCell ref="J110:J111"/>
    <mergeCell ref="K110:K111"/>
    <mergeCell ref="L110:L111"/>
    <mergeCell ref="M110:M111"/>
    <mergeCell ref="N110:N111"/>
    <mergeCell ref="O110:O111"/>
    <mergeCell ref="A109:A110"/>
    <mergeCell ref="B109:B110"/>
    <mergeCell ref="D109:D110"/>
    <mergeCell ref="E109:E110"/>
    <mergeCell ref="F109:F110"/>
    <mergeCell ref="H109:H110"/>
    <mergeCell ref="M108:M109"/>
    <mergeCell ref="R107:R108"/>
    <mergeCell ref="W107:W108"/>
    <mergeCell ref="AD107:AD108"/>
    <mergeCell ref="G108:G109"/>
    <mergeCell ref="I108:I109"/>
    <mergeCell ref="J108:J109"/>
    <mergeCell ref="A115:A116"/>
    <mergeCell ref="B115:B116"/>
    <mergeCell ref="D115:D116"/>
    <mergeCell ref="E115:E116"/>
    <mergeCell ref="F115:F116"/>
    <mergeCell ref="H115:H116"/>
    <mergeCell ref="Q115:Q116"/>
    <mergeCell ref="W113:W114"/>
    <mergeCell ref="AD113:AD114"/>
    <mergeCell ref="G114:G115"/>
    <mergeCell ref="I114:I115"/>
    <mergeCell ref="J114:J115"/>
    <mergeCell ref="K114:K115"/>
    <mergeCell ref="L114:L115"/>
    <mergeCell ref="M114:M115"/>
    <mergeCell ref="N114:N115"/>
    <mergeCell ref="O114:O115"/>
    <mergeCell ref="U112:U113"/>
    <mergeCell ref="V112:V113"/>
    <mergeCell ref="A113:A114"/>
    <mergeCell ref="B113:B114"/>
    <mergeCell ref="D113:D114"/>
    <mergeCell ref="E113:E114"/>
    <mergeCell ref="F113:F114"/>
    <mergeCell ref="H113:H114"/>
    <mergeCell ref="Q113:Q114"/>
    <mergeCell ref="R113:R114"/>
    <mergeCell ref="W111:W112"/>
    <mergeCell ref="AD111:AD112"/>
    <mergeCell ref="G112:G113"/>
    <mergeCell ref="I112:I113"/>
    <mergeCell ref="J112:J113"/>
    <mergeCell ref="D117:D118"/>
    <mergeCell ref="E117:E118"/>
    <mergeCell ref="F117:F118"/>
    <mergeCell ref="H117:H118"/>
    <mergeCell ref="R115:R116"/>
    <mergeCell ref="W115:W116"/>
    <mergeCell ref="AD115:AD116"/>
    <mergeCell ref="G116:G117"/>
    <mergeCell ref="I116:I117"/>
    <mergeCell ref="J116:J117"/>
    <mergeCell ref="K116:K117"/>
    <mergeCell ref="L116:L117"/>
    <mergeCell ref="M116:M117"/>
    <mergeCell ref="N116:N117"/>
    <mergeCell ref="P114:P115"/>
    <mergeCell ref="U114:U115"/>
    <mergeCell ref="V114:V115"/>
    <mergeCell ref="AD119:AD120"/>
    <mergeCell ref="G120:G121"/>
    <mergeCell ref="I120:I121"/>
    <mergeCell ref="J120:J121"/>
    <mergeCell ref="K120:K121"/>
    <mergeCell ref="L120:L121"/>
    <mergeCell ref="N118:N119"/>
    <mergeCell ref="O118:O119"/>
    <mergeCell ref="P118:P119"/>
    <mergeCell ref="U118:U119"/>
    <mergeCell ref="V118:V119"/>
    <mergeCell ref="A119:A120"/>
    <mergeCell ref="B119:B120"/>
    <mergeCell ref="D119:D120"/>
    <mergeCell ref="E119:E120"/>
    <mergeCell ref="F119:F120"/>
    <mergeCell ref="Q117:Q118"/>
    <mergeCell ref="R117:R118"/>
    <mergeCell ref="W117:W118"/>
    <mergeCell ref="AD117:AD118"/>
    <mergeCell ref="G118:G119"/>
    <mergeCell ref="I118:I119"/>
    <mergeCell ref="J118:J119"/>
    <mergeCell ref="K118:K119"/>
    <mergeCell ref="L118:L119"/>
    <mergeCell ref="M118:M119"/>
    <mergeCell ref="O116:O117"/>
    <mergeCell ref="P116:P117"/>
    <mergeCell ref="U116:U117"/>
    <mergeCell ref="V116:V117"/>
    <mergeCell ref="A117:A118"/>
    <mergeCell ref="B117:B118"/>
    <mergeCell ref="E121:E122"/>
    <mergeCell ref="F121:F122"/>
    <mergeCell ref="H121:H122"/>
    <mergeCell ref="M120:M121"/>
    <mergeCell ref="N120:N121"/>
    <mergeCell ref="O120:O121"/>
    <mergeCell ref="P120:P121"/>
    <mergeCell ref="U120:U121"/>
    <mergeCell ref="V120:V121"/>
    <mergeCell ref="Q121:Q122"/>
    <mergeCell ref="R121:R122"/>
    <mergeCell ref="P122:P123"/>
    <mergeCell ref="U122:U123"/>
    <mergeCell ref="H119:H120"/>
    <mergeCell ref="Q119:Q120"/>
    <mergeCell ref="R119:R120"/>
    <mergeCell ref="W119:W120"/>
    <mergeCell ref="AD123:AD124"/>
    <mergeCell ref="G124:G125"/>
    <mergeCell ref="I124:I125"/>
    <mergeCell ref="J124:J125"/>
    <mergeCell ref="K124:K125"/>
    <mergeCell ref="L124:L125"/>
    <mergeCell ref="M124:M125"/>
    <mergeCell ref="N124:N125"/>
    <mergeCell ref="O124:O125"/>
    <mergeCell ref="V122:V123"/>
    <mergeCell ref="A123:A124"/>
    <mergeCell ref="B123:B124"/>
    <mergeCell ref="D123:D124"/>
    <mergeCell ref="E123:E124"/>
    <mergeCell ref="F123:F124"/>
    <mergeCell ref="H123:H124"/>
    <mergeCell ref="Q123:Q124"/>
    <mergeCell ref="R123:R124"/>
    <mergeCell ref="P124:P125"/>
    <mergeCell ref="W121:W122"/>
    <mergeCell ref="AD121:AD122"/>
    <mergeCell ref="G122:G123"/>
    <mergeCell ref="I122:I123"/>
    <mergeCell ref="J122:J123"/>
    <mergeCell ref="K122:K123"/>
    <mergeCell ref="L122:L123"/>
    <mergeCell ref="M122:M123"/>
    <mergeCell ref="N122:N123"/>
    <mergeCell ref="O122:O123"/>
    <mergeCell ref="A121:A122"/>
    <mergeCell ref="B121:B122"/>
    <mergeCell ref="D121:D122"/>
    <mergeCell ref="J126:J127"/>
    <mergeCell ref="K126:K127"/>
    <mergeCell ref="L126:L127"/>
    <mergeCell ref="M126:M127"/>
    <mergeCell ref="N126:N127"/>
    <mergeCell ref="O126:O127"/>
    <mergeCell ref="U124:U125"/>
    <mergeCell ref="V124:V125"/>
    <mergeCell ref="A125:A126"/>
    <mergeCell ref="B125:B126"/>
    <mergeCell ref="D125:D126"/>
    <mergeCell ref="E125:E126"/>
    <mergeCell ref="F125:F126"/>
    <mergeCell ref="H125:H126"/>
    <mergeCell ref="Q125:Q126"/>
    <mergeCell ref="R125:R126"/>
    <mergeCell ref="W123:W124"/>
    <mergeCell ref="U128:U129"/>
    <mergeCell ref="V128:V129"/>
    <mergeCell ref="A129:A130"/>
    <mergeCell ref="B129:B130"/>
    <mergeCell ref="D129:D130"/>
    <mergeCell ref="E129:E130"/>
    <mergeCell ref="F129:F130"/>
    <mergeCell ref="H129:H130"/>
    <mergeCell ref="R127:R128"/>
    <mergeCell ref="W127:W128"/>
    <mergeCell ref="AD127:AD128"/>
    <mergeCell ref="G128:G129"/>
    <mergeCell ref="I128:I129"/>
    <mergeCell ref="J128:J129"/>
    <mergeCell ref="K128:K129"/>
    <mergeCell ref="L128:L129"/>
    <mergeCell ref="M128:M129"/>
    <mergeCell ref="N128:N129"/>
    <mergeCell ref="P126:P127"/>
    <mergeCell ref="U126:U127"/>
    <mergeCell ref="V126:V127"/>
    <mergeCell ref="A127:A128"/>
    <mergeCell ref="B127:B128"/>
    <mergeCell ref="D127:D128"/>
    <mergeCell ref="E127:E128"/>
    <mergeCell ref="F127:F128"/>
    <mergeCell ref="H127:H128"/>
    <mergeCell ref="Q127:Q128"/>
    <mergeCell ref="W125:W126"/>
    <mergeCell ref="AD125:AD126"/>
    <mergeCell ref="G126:G127"/>
    <mergeCell ref="I126:I127"/>
    <mergeCell ref="H131:H132"/>
    <mergeCell ref="Q131:Q132"/>
    <mergeCell ref="R131:R132"/>
    <mergeCell ref="W131:W132"/>
    <mergeCell ref="AD131:AD132"/>
    <mergeCell ref="G132:G133"/>
    <mergeCell ref="I132:I133"/>
    <mergeCell ref="J132:J133"/>
    <mergeCell ref="K132:K133"/>
    <mergeCell ref="L132:L133"/>
    <mergeCell ref="N130:N131"/>
    <mergeCell ref="O130:O131"/>
    <mergeCell ref="P130:P131"/>
    <mergeCell ref="U130:U131"/>
    <mergeCell ref="V130:V131"/>
    <mergeCell ref="A131:A132"/>
    <mergeCell ref="B131:B132"/>
    <mergeCell ref="D131:D132"/>
    <mergeCell ref="E131:E132"/>
    <mergeCell ref="F131:F132"/>
    <mergeCell ref="Q129:Q130"/>
    <mergeCell ref="R129:R130"/>
    <mergeCell ref="W129:W130"/>
    <mergeCell ref="AD129:AD130"/>
    <mergeCell ref="G130:G131"/>
    <mergeCell ref="I130:I131"/>
    <mergeCell ref="J130:J131"/>
    <mergeCell ref="K130:K131"/>
    <mergeCell ref="L130:L131"/>
    <mergeCell ref="M130:M131"/>
    <mergeCell ref="O128:O129"/>
    <mergeCell ref="P128:P129"/>
    <mergeCell ref="A135:A136"/>
    <mergeCell ref="B135:B136"/>
    <mergeCell ref="D135:D136"/>
    <mergeCell ref="E135:E136"/>
    <mergeCell ref="F135:F136"/>
    <mergeCell ref="H135:H136"/>
    <mergeCell ref="Q135:Q136"/>
    <mergeCell ref="R135:R136"/>
    <mergeCell ref="P136:P137"/>
    <mergeCell ref="W133:W134"/>
    <mergeCell ref="AD133:AD134"/>
    <mergeCell ref="G134:G135"/>
    <mergeCell ref="I134:I135"/>
    <mergeCell ref="J134:J135"/>
    <mergeCell ref="K134:K135"/>
    <mergeCell ref="L134:L135"/>
    <mergeCell ref="M134:M135"/>
    <mergeCell ref="N134:N135"/>
    <mergeCell ref="O134:O135"/>
    <mergeCell ref="A133:A134"/>
    <mergeCell ref="B133:B134"/>
    <mergeCell ref="D133:D134"/>
    <mergeCell ref="E133:E134"/>
    <mergeCell ref="F133:F134"/>
    <mergeCell ref="H133:H134"/>
    <mergeCell ref="M132:M133"/>
    <mergeCell ref="N132:N133"/>
    <mergeCell ref="O132:O133"/>
    <mergeCell ref="P132:P133"/>
    <mergeCell ref="U132:U133"/>
    <mergeCell ref="V132:V133"/>
    <mergeCell ref="Q133:Q134"/>
    <mergeCell ref="D137:D138"/>
    <mergeCell ref="E137:E138"/>
    <mergeCell ref="F137:F138"/>
    <mergeCell ref="H137:H138"/>
    <mergeCell ref="Q137:Q138"/>
    <mergeCell ref="R137:R138"/>
    <mergeCell ref="W135:W136"/>
    <mergeCell ref="AD135:AD136"/>
    <mergeCell ref="G136:G137"/>
    <mergeCell ref="I136:I137"/>
    <mergeCell ref="J136:J137"/>
    <mergeCell ref="K136:K137"/>
    <mergeCell ref="L136:L137"/>
    <mergeCell ref="M136:M137"/>
    <mergeCell ref="N136:N137"/>
    <mergeCell ref="O136:O137"/>
    <mergeCell ref="V134:V135"/>
    <mergeCell ref="R133:R134"/>
    <mergeCell ref="P134:P135"/>
    <mergeCell ref="U134:U135"/>
    <mergeCell ref="AD139:AD140"/>
    <mergeCell ref="G140:G141"/>
    <mergeCell ref="I140:I141"/>
    <mergeCell ref="J140:J141"/>
    <mergeCell ref="K140:K141"/>
    <mergeCell ref="L140:L141"/>
    <mergeCell ref="M140:M141"/>
    <mergeCell ref="N140:N141"/>
    <mergeCell ref="P138:P139"/>
    <mergeCell ref="U138:U139"/>
    <mergeCell ref="V138:V139"/>
    <mergeCell ref="A139:A140"/>
    <mergeCell ref="B139:B140"/>
    <mergeCell ref="D139:D140"/>
    <mergeCell ref="E139:E140"/>
    <mergeCell ref="F139:F140"/>
    <mergeCell ref="H139:H140"/>
    <mergeCell ref="Q139:Q140"/>
    <mergeCell ref="W137:W138"/>
    <mergeCell ref="AD137:AD138"/>
    <mergeCell ref="G138:G139"/>
    <mergeCell ref="I138:I139"/>
    <mergeCell ref="J138:J139"/>
    <mergeCell ref="K138:K139"/>
    <mergeCell ref="L138:L139"/>
    <mergeCell ref="M138:M139"/>
    <mergeCell ref="N138:N139"/>
    <mergeCell ref="O138:O139"/>
    <mergeCell ref="U136:U137"/>
    <mergeCell ref="V136:V137"/>
    <mergeCell ref="A137:A138"/>
    <mergeCell ref="B137:B138"/>
    <mergeCell ref="I142:I143"/>
    <mergeCell ref="J142:J143"/>
    <mergeCell ref="K142:K143"/>
    <mergeCell ref="L142:L143"/>
    <mergeCell ref="M142:M143"/>
    <mergeCell ref="O140:O141"/>
    <mergeCell ref="P140:P141"/>
    <mergeCell ref="U140:U141"/>
    <mergeCell ref="V140:V141"/>
    <mergeCell ref="A141:A142"/>
    <mergeCell ref="B141:B142"/>
    <mergeCell ref="D141:D142"/>
    <mergeCell ref="E141:E142"/>
    <mergeCell ref="F141:F142"/>
    <mergeCell ref="H141:H142"/>
    <mergeCell ref="R139:R140"/>
    <mergeCell ref="W139:W140"/>
    <mergeCell ref="H152:H153"/>
    <mergeCell ref="Q148:Q151"/>
    <mergeCell ref="R148:R151"/>
    <mergeCell ref="U148:U151"/>
    <mergeCell ref="W148:W151"/>
    <mergeCell ref="AB148:AB151"/>
    <mergeCell ref="AD148:AD151"/>
    <mergeCell ref="H143:H144"/>
    <mergeCell ref="Q143:Q144"/>
    <mergeCell ref="R143:R144"/>
    <mergeCell ref="W143:W144"/>
    <mergeCell ref="A145:AD147"/>
    <mergeCell ref="A148:A151"/>
    <mergeCell ref="B148:C151"/>
    <mergeCell ref="N148:N151"/>
    <mergeCell ref="O148:O151"/>
    <mergeCell ref="P148:P151"/>
    <mergeCell ref="N142:N143"/>
    <mergeCell ref="O142:O143"/>
    <mergeCell ref="P142:P143"/>
    <mergeCell ref="U142:U143"/>
    <mergeCell ref="V142:V143"/>
    <mergeCell ref="A143:A144"/>
    <mergeCell ref="B143:B144"/>
    <mergeCell ref="D143:D144"/>
    <mergeCell ref="E143:E144"/>
    <mergeCell ref="F143:F144"/>
    <mergeCell ref="Q141:Q142"/>
    <mergeCell ref="R141:R142"/>
    <mergeCell ref="W141:W142"/>
    <mergeCell ref="AD141:AD144"/>
    <mergeCell ref="G142:G143"/>
    <mergeCell ref="W154:W155"/>
    <mergeCell ref="AD154:AD155"/>
    <mergeCell ref="G155:G156"/>
    <mergeCell ref="I155:I156"/>
    <mergeCell ref="J155:J156"/>
    <mergeCell ref="K155:K156"/>
    <mergeCell ref="L155:L156"/>
    <mergeCell ref="N153:N154"/>
    <mergeCell ref="O153:O154"/>
    <mergeCell ref="P153:P154"/>
    <mergeCell ref="U153:U154"/>
    <mergeCell ref="V153:V154"/>
    <mergeCell ref="A154:A155"/>
    <mergeCell ref="B154:B155"/>
    <mergeCell ref="D154:D155"/>
    <mergeCell ref="E154:E155"/>
    <mergeCell ref="F154:F155"/>
    <mergeCell ref="Q152:Q153"/>
    <mergeCell ref="R152:R153"/>
    <mergeCell ref="W152:W153"/>
    <mergeCell ref="AD152:AD153"/>
    <mergeCell ref="G153:G154"/>
    <mergeCell ref="I153:I154"/>
    <mergeCell ref="J153:J154"/>
    <mergeCell ref="K153:K154"/>
    <mergeCell ref="L153:L154"/>
    <mergeCell ref="M153:M154"/>
    <mergeCell ref="A152:A153"/>
    <mergeCell ref="B152:B153"/>
    <mergeCell ref="D152:D153"/>
    <mergeCell ref="E152:E153"/>
    <mergeCell ref="F152:F153"/>
    <mergeCell ref="D156:D157"/>
    <mergeCell ref="E156:E157"/>
    <mergeCell ref="F156:F157"/>
    <mergeCell ref="H156:H157"/>
    <mergeCell ref="M155:M156"/>
    <mergeCell ref="N155:N156"/>
    <mergeCell ref="O155:O156"/>
    <mergeCell ref="P155:P156"/>
    <mergeCell ref="U155:U156"/>
    <mergeCell ref="V155:V156"/>
    <mergeCell ref="Q156:Q157"/>
    <mergeCell ref="R156:R157"/>
    <mergeCell ref="P157:P158"/>
    <mergeCell ref="U157:U158"/>
    <mergeCell ref="H154:H155"/>
    <mergeCell ref="Q154:Q155"/>
    <mergeCell ref="R154:R155"/>
    <mergeCell ref="W158:W159"/>
    <mergeCell ref="AD158:AD159"/>
    <mergeCell ref="G159:G160"/>
    <mergeCell ref="I159:I160"/>
    <mergeCell ref="J159:J160"/>
    <mergeCell ref="K159:K160"/>
    <mergeCell ref="L159:L160"/>
    <mergeCell ref="M159:M160"/>
    <mergeCell ref="N159:N160"/>
    <mergeCell ref="O159:O160"/>
    <mergeCell ref="V157:V158"/>
    <mergeCell ref="A158:A159"/>
    <mergeCell ref="B158:B159"/>
    <mergeCell ref="D158:D159"/>
    <mergeCell ref="E158:E159"/>
    <mergeCell ref="F158:F159"/>
    <mergeCell ref="H158:H159"/>
    <mergeCell ref="Q158:Q159"/>
    <mergeCell ref="R158:R159"/>
    <mergeCell ref="P159:P160"/>
    <mergeCell ref="W156:W157"/>
    <mergeCell ref="AD156:AD157"/>
    <mergeCell ref="G157:G158"/>
    <mergeCell ref="I157:I158"/>
    <mergeCell ref="J157:J158"/>
    <mergeCell ref="K157:K158"/>
    <mergeCell ref="L157:L158"/>
    <mergeCell ref="M157:M158"/>
    <mergeCell ref="N157:N158"/>
    <mergeCell ref="O157:O158"/>
    <mergeCell ref="A156:A157"/>
    <mergeCell ref="B156:B157"/>
    <mergeCell ref="I161:I162"/>
    <mergeCell ref="J161:J162"/>
    <mergeCell ref="K161:K162"/>
    <mergeCell ref="L161:L162"/>
    <mergeCell ref="M161:M162"/>
    <mergeCell ref="N161:N162"/>
    <mergeCell ref="O161:O162"/>
    <mergeCell ref="U159:U160"/>
    <mergeCell ref="V159:V160"/>
    <mergeCell ref="A160:A161"/>
    <mergeCell ref="B160:B161"/>
    <mergeCell ref="D160:D161"/>
    <mergeCell ref="E160:E161"/>
    <mergeCell ref="F160:F161"/>
    <mergeCell ref="H160:H161"/>
    <mergeCell ref="Q160:Q161"/>
    <mergeCell ref="R160:R161"/>
    <mergeCell ref="P163:P164"/>
    <mergeCell ref="U163:U164"/>
    <mergeCell ref="V163:V164"/>
    <mergeCell ref="A164:A165"/>
    <mergeCell ref="B164:B165"/>
    <mergeCell ref="D164:D165"/>
    <mergeCell ref="E164:E165"/>
    <mergeCell ref="F164:F165"/>
    <mergeCell ref="H164:H165"/>
    <mergeCell ref="R162:R163"/>
    <mergeCell ref="W162:W163"/>
    <mergeCell ref="AD162:AD163"/>
    <mergeCell ref="G163:G164"/>
    <mergeCell ref="I163:I164"/>
    <mergeCell ref="J163:J164"/>
    <mergeCell ref="K163:K164"/>
    <mergeCell ref="L163:L164"/>
    <mergeCell ref="M163:M164"/>
    <mergeCell ref="N163:N164"/>
    <mergeCell ref="P161:P162"/>
    <mergeCell ref="U161:U162"/>
    <mergeCell ref="V161:V162"/>
    <mergeCell ref="A162:A163"/>
    <mergeCell ref="B162:B163"/>
    <mergeCell ref="D162:D163"/>
    <mergeCell ref="E162:E163"/>
    <mergeCell ref="F162:F163"/>
    <mergeCell ref="H162:H163"/>
    <mergeCell ref="Q162:Q163"/>
    <mergeCell ref="W160:W161"/>
    <mergeCell ref="AD160:AD161"/>
    <mergeCell ref="G161:G162"/>
    <mergeCell ref="U167:U168"/>
    <mergeCell ref="V167:V168"/>
    <mergeCell ref="Q168:Q169"/>
    <mergeCell ref="R168:R169"/>
    <mergeCell ref="P169:P170"/>
    <mergeCell ref="U169:U170"/>
    <mergeCell ref="H166:H167"/>
    <mergeCell ref="Q166:Q167"/>
    <mergeCell ref="R166:R167"/>
    <mergeCell ref="W166:W167"/>
    <mergeCell ref="AD166:AD167"/>
    <mergeCell ref="G167:G168"/>
    <mergeCell ref="I167:I168"/>
    <mergeCell ref="J167:J168"/>
    <mergeCell ref="K167:K168"/>
    <mergeCell ref="L167:L168"/>
    <mergeCell ref="N165:N166"/>
    <mergeCell ref="O165:O166"/>
    <mergeCell ref="P165:P166"/>
    <mergeCell ref="U165:U166"/>
    <mergeCell ref="V165:V166"/>
    <mergeCell ref="Q164:Q165"/>
    <mergeCell ref="R164:R165"/>
    <mergeCell ref="W164:W165"/>
    <mergeCell ref="AD164:AD165"/>
    <mergeCell ref="G165:G166"/>
    <mergeCell ref="I165:I166"/>
    <mergeCell ref="J165:J166"/>
    <mergeCell ref="K165:K166"/>
    <mergeCell ref="L165:L166"/>
    <mergeCell ref="M165:M166"/>
    <mergeCell ref="O163:O164"/>
    <mergeCell ref="I169:I170"/>
    <mergeCell ref="J169:J170"/>
    <mergeCell ref="K169:K170"/>
    <mergeCell ref="L169:L170"/>
    <mergeCell ref="M169:M170"/>
    <mergeCell ref="N169:N170"/>
    <mergeCell ref="O169:O170"/>
    <mergeCell ref="A168:A169"/>
    <mergeCell ref="B168:B169"/>
    <mergeCell ref="D168:D169"/>
    <mergeCell ref="E168:E169"/>
    <mergeCell ref="F168:F169"/>
    <mergeCell ref="H168:H169"/>
    <mergeCell ref="M167:M168"/>
    <mergeCell ref="N167:N168"/>
    <mergeCell ref="O167:O168"/>
    <mergeCell ref="P167:P168"/>
    <mergeCell ref="A166:A167"/>
    <mergeCell ref="B166:B167"/>
    <mergeCell ref="D166:D167"/>
    <mergeCell ref="E166:E167"/>
    <mergeCell ref="F166:F167"/>
    <mergeCell ref="V171:V172"/>
    <mergeCell ref="A172:A173"/>
    <mergeCell ref="B172:B173"/>
    <mergeCell ref="D172:D173"/>
    <mergeCell ref="E172:E173"/>
    <mergeCell ref="F172:F173"/>
    <mergeCell ref="H172:H173"/>
    <mergeCell ref="Q172:Q173"/>
    <mergeCell ref="R172:R173"/>
    <mergeCell ref="W170:W171"/>
    <mergeCell ref="AD170:AD171"/>
    <mergeCell ref="G171:G172"/>
    <mergeCell ref="I171:I172"/>
    <mergeCell ref="J171:J172"/>
    <mergeCell ref="K171:K172"/>
    <mergeCell ref="L171:L172"/>
    <mergeCell ref="M171:M172"/>
    <mergeCell ref="N171:N172"/>
    <mergeCell ref="O171:O172"/>
    <mergeCell ref="V169:V170"/>
    <mergeCell ref="A170:A171"/>
    <mergeCell ref="B170:B171"/>
    <mergeCell ref="D170:D171"/>
    <mergeCell ref="E170:E171"/>
    <mergeCell ref="F170:F171"/>
    <mergeCell ref="H170:H171"/>
    <mergeCell ref="Q170:Q171"/>
    <mergeCell ref="R170:R171"/>
    <mergeCell ref="P171:P172"/>
    <mergeCell ref="W168:W169"/>
    <mergeCell ref="AD168:AD169"/>
    <mergeCell ref="G169:G170"/>
    <mergeCell ref="H176:H177"/>
    <mergeCell ref="R174:R175"/>
    <mergeCell ref="W174:W175"/>
    <mergeCell ref="AD174:AD175"/>
    <mergeCell ref="G175:G176"/>
    <mergeCell ref="I175:I176"/>
    <mergeCell ref="J175:J176"/>
    <mergeCell ref="K175:K176"/>
    <mergeCell ref="L175:L176"/>
    <mergeCell ref="M175:M176"/>
    <mergeCell ref="N175:N176"/>
    <mergeCell ref="P173:P174"/>
    <mergeCell ref="U173:U174"/>
    <mergeCell ref="V173:V174"/>
    <mergeCell ref="A174:A175"/>
    <mergeCell ref="B174:B175"/>
    <mergeCell ref="D174:D175"/>
    <mergeCell ref="E174:E175"/>
    <mergeCell ref="F174:F175"/>
    <mergeCell ref="H174:H175"/>
    <mergeCell ref="Q174:Q175"/>
    <mergeCell ref="W172:W173"/>
    <mergeCell ref="AD172:AD173"/>
    <mergeCell ref="G173:G174"/>
    <mergeCell ref="I173:I174"/>
    <mergeCell ref="J173:J174"/>
    <mergeCell ref="K173:K174"/>
    <mergeCell ref="L173:L174"/>
    <mergeCell ref="M173:M174"/>
    <mergeCell ref="N173:N174"/>
    <mergeCell ref="O173:O174"/>
    <mergeCell ref="U171:U172"/>
    <mergeCell ref="J179:J180"/>
    <mergeCell ref="K179:K180"/>
    <mergeCell ref="L179:L180"/>
    <mergeCell ref="N177:N178"/>
    <mergeCell ref="O177:O178"/>
    <mergeCell ref="P177:P178"/>
    <mergeCell ref="U177:U178"/>
    <mergeCell ref="V177:V178"/>
    <mergeCell ref="A178:A179"/>
    <mergeCell ref="B178:B179"/>
    <mergeCell ref="D178:D179"/>
    <mergeCell ref="E178:E179"/>
    <mergeCell ref="F178:F179"/>
    <mergeCell ref="Q176:Q177"/>
    <mergeCell ref="R176:R177"/>
    <mergeCell ref="W176:W177"/>
    <mergeCell ref="AD176:AD177"/>
    <mergeCell ref="G177:G178"/>
    <mergeCell ref="I177:I178"/>
    <mergeCell ref="J177:J178"/>
    <mergeCell ref="K177:K178"/>
    <mergeCell ref="L177:L178"/>
    <mergeCell ref="M177:M178"/>
    <mergeCell ref="O175:O176"/>
    <mergeCell ref="P175:P176"/>
    <mergeCell ref="U175:U176"/>
    <mergeCell ref="V175:V176"/>
    <mergeCell ref="A176:A177"/>
    <mergeCell ref="B176:B177"/>
    <mergeCell ref="D176:D177"/>
    <mergeCell ref="E176:E177"/>
    <mergeCell ref="F176:F177"/>
    <mergeCell ref="AD180:AD181"/>
    <mergeCell ref="G181:G182"/>
    <mergeCell ref="I181:I182"/>
    <mergeCell ref="J181:J182"/>
    <mergeCell ref="K181:K182"/>
    <mergeCell ref="L181:L182"/>
    <mergeCell ref="M181:M182"/>
    <mergeCell ref="N181:N182"/>
    <mergeCell ref="O181:O182"/>
    <mergeCell ref="A180:A181"/>
    <mergeCell ref="B180:B181"/>
    <mergeCell ref="D180:D181"/>
    <mergeCell ref="E180:E181"/>
    <mergeCell ref="F180:F181"/>
    <mergeCell ref="H180:H181"/>
    <mergeCell ref="M179:M180"/>
    <mergeCell ref="N179:N180"/>
    <mergeCell ref="O179:O180"/>
    <mergeCell ref="P179:P180"/>
    <mergeCell ref="U179:U180"/>
    <mergeCell ref="V179:V180"/>
    <mergeCell ref="Q180:Q181"/>
    <mergeCell ref="R180:R181"/>
    <mergeCell ref="P181:P182"/>
    <mergeCell ref="U181:U182"/>
    <mergeCell ref="H178:H179"/>
    <mergeCell ref="Q178:Q179"/>
    <mergeCell ref="R178:R179"/>
    <mergeCell ref="W178:W179"/>
    <mergeCell ref="AD178:AD179"/>
    <mergeCell ref="G179:G180"/>
    <mergeCell ref="I179:I180"/>
    <mergeCell ref="O185:O186"/>
    <mergeCell ref="U183:U184"/>
    <mergeCell ref="V183:V184"/>
    <mergeCell ref="A184:A185"/>
    <mergeCell ref="B184:B185"/>
    <mergeCell ref="D184:D185"/>
    <mergeCell ref="E184:E185"/>
    <mergeCell ref="F184:F185"/>
    <mergeCell ref="H184:H185"/>
    <mergeCell ref="Q184:Q185"/>
    <mergeCell ref="R184:R185"/>
    <mergeCell ref="W182:W183"/>
    <mergeCell ref="AD182:AD183"/>
    <mergeCell ref="G183:G184"/>
    <mergeCell ref="I183:I184"/>
    <mergeCell ref="J183:J184"/>
    <mergeCell ref="K183:K184"/>
    <mergeCell ref="L183:L184"/>
    <mergeCell ref="M183:M184"/>
    <mergeCell ref="N183:N184"/>
    <mergeCell ref="O183:O184"/>
    <mergeCell ref="V181:V182"/>
    <mergeCell ref="A182:A183"/>
    <mergeCell ref="B182:B183"/>
    <mergeCell ref="D182:D183"/>
    <mergeCell ref="E182:E183"/>
    <mergeCell ref="F182:F183"/>
    <mergeCell ref="H182:H183"/>
    <mergeCell ref="Q182:Q183"/>
    <mergeCell ref="R182:R183"/>
    <mergeCell ref="P183:P184"/>
    <mergeCell ref="W180:W181"/>
    <mergeCell ref="E188:E189"/>
    <mergeCell ref="F188:F189"/>
    <mergeCell ref="H188:H189"/>
    <mergeCell ref="R186:R187"/>
    <mergeCell ref="W186:W187"/>
    <mergeCell ref="AD186:AD187"/>
    <mergeCell ref="G187:G188"/>
    <mergeCell ref="I187:I188"/>
    <mergeCell ref="J187:J188"/>
    <mergeCell ref="K187:K188"/>
    <mergeCell ref="L187:L188"/>
    <mergeCell ref="M187:M188"/>
    <mergeCell ref="N187:N188"/>
    <mergeCell ref="P185:P186"/>
    <mergeCell ref="U185:U186"/>
    <mergeCell ref="V185:V186"/>
    <mergeCell ref="A186:A187"/>
    <mergeCell ref="B186:B187"/>
    <mergeCell ref="D186:D187"/>
    <mergeCell ref="E186:E187"/>
    <mergeCell ref="F186:F187"/>
    <mergeCell ref="H186:H187"/>
    <mergeCell ref="Q186:Q187"/>
    <mergeCell ref="W184:W185"/>
    <mergeCell ref="AD184:AD185"/>
    <mergeCell ref="G185:G186"/>
    <mergeCell ref="I185:I186"/>
    <mergeCell ref="J185:J186"/>
    <mergeCell ref="K185:K186"/>
    <mergeCell ref="L185:L186"/>
    <mergeCell ref="M185:M186"/>
    <mergeCell ref="N185:N186"/>
    <mergeCell ref="H190:H191"/>
    <mergeCell ref="Q190:Q191"/>
    <mergeCell ref="R190:R191"/>
    <mergeCell ref="W190:W191"/>
    <mergeCell ref="A192:AD194"/>
    <mergeCell ref="N189:N190"/>
    <mergeCell ref="O189:O190"/>
    <mergeCell ref="P189:P190"/>
    <mergeCell ref="U189:U190"/>
    <mergeCell ref="V189:V190"/>
    <mergeCell ref="A190:A191"/>
    <mergeCell ref="B190:B191"/>
    <mergeCell ref="D190:D191"/>
    <mergeCell ref="E190:E191"/>
    <mergeCell ref="F190:F191"/>
    <mergeCell ref="Q188:Q189"/>
    <mergeCell ref="R188:R189"/>
    <mergeCell ref="W188:W189"/>
    <mergeCell ref="AD188:AD191"/>
    <mergeCell ref="G189:G190"/>
    <mergeCell ref="I189:I190"/>
    <mergeCell ref="J189:J190"/>
    <mergeCell ref="K189:K190"/>
    <mergeCell ref="L189:L190"/>
    <mergeCell ref="M189:M190"/>
    <mergeCell ref="O187:O188"/>
    <mergeCell ref="P187:P188"/>
    <mergeCell ref="U187:U188"/>
    <mergeCell ref="V187:V188"/>
    <mergeCell ref="A188:A189"/>
    <mergeCell ref="B188:B189"/>
    <mergeCell ref="D188:D189"/>
  </mergeCells>
  <printOptions horizontalCentered="1" verticalCentered="1"/>
  <pageMargins left="0" right="0" top="0" bottom="0" header="0.3" footer="0.3"/>
  <pageSetup paperSize="9" scale="65" orientation="landscape" horizontalDpi="4294967293" verticalDpi="360" r:id="rId1"/>
  <rowBreaks count="2" manualBreakCount="2">
    <brk id="53" max="29" man="1"/>
    <brk id="100" max="2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"/>
  <sheetViews>
    <sheetView topLeftCell="A22" zoomScale="90" zoomScaleNormal="90" workbookViewId="0">
      <selection activeCell="AB43" sqref="AB43:AB44"/>
    </sheetView>
  </sheetViews>
  <sheetFormatPr defaultColWidth="9" defaultRowHeight="13.5"/>
  <cols>
    <col min="1" max="1" width="5.25" style="13" customWidth="1"/>
    <col min="2" max="2" width="20.25" style="13" customWidth="1"/>
    <col min="3" max="3" width="12.875" style="89" customWidth="1"/>
    <col min="4" max="4" width="9.875" style="39" hidden="1" customWidth="1"/>
    <col min="5" max="5" width="9.375" style="39" hidden="1" customWidth="1"/>
    <col min="6" max="6" width="7.125" style="39" hidden="1" customWidth="1"/>
    <col min="7" max="7" width="16.25" style="39" hidden="1" customWidth="1"/>
    <col min="8" max="9" width="15.375" style="39" hidden="1" customWidth="1"/>
    <col min="10" max="10" width="8.625" style="39" hidden="1" customWidth="1"/>
    <col min="11" max="11" width="7.25" style="39" hidden="1" customWidth="1"/>
    <col min="12" max="13" width="9.375" style="39" hidden="1" customWidth="1"/>
    <col min="14" max="14" width="7.25" style="40" customWidth="1"/>
    <col min="15" max="15" width="8.375" style="41" customWidth="1"/>
    <col min="16" max="16" width="6.625" style="41" customWidth="1"/>
    <col min="17" max="17" width="8.375" style="42" customWidth="1"/>
    <col min="18" max="18" width="8" style="42" customWidth="1"/>
    <col min="19" max="19" width="13.75" style="89" customWidth="1"/>
    <col min="20" max="20" width="0.25" style="89" hidden="1" customWidth="1"/>
    <col min="21" max="21" width="8.375" style="24" customWidth="1"/>
    <col min="22" max="22" width="0.375" style="43" hidden="1" customWidth="1"/>
    <col min="23" max="23" width="15.5" style="47" customWidth="1"/>
    <col min="24" max="25" width="9.625" style="89" customWidth="1"/>
    <col min="26" max="27" width="5.875" style="89" customWidth="1"/>
    <col min="28" max="28" width="8.5" style="89" customWidth="1"/>
    <col min="29" max="29" width="7.875" style="89" customWidth="1"/>
    <col min="30" max="30" width="52.75" style="13" customWidth="1"/>
    <col min="31" max="16384" width="9" style="13"/>
  </cols>
  <sheetData>
    <row r="1" spans="1:30" s="1" customFormat="1" ht="30.75" customHeight="1">
      <c r="A1" s="525" t="s">
        <v>31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</row>
    <row r="2" spans="1:30" s="1" customFormat="1" ht="23.25" customHeight="1">
      <c r="A2" s="526" t="s">
        <v>50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</row>
    <row r="3" spans="1:30" s="1" customFormat="1" ht="15.95" customHeight="1">
      <c r="A3" s="527" t="s">
        <v>191</v>
      </c>
      <c r="B3" s="527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528" t="s">
        <v>190</v>
      </c>
      <c r="O3" s="528"/>
      <c r="P3" s="5"/>
      <c r="Q3" s="50"/>
      <c r="R3" s="529" t="s">
        <v>152</v>
      </c>
      <c r="S3" s="529"/>
      <c r="T3" s="529"/>
      <c r="U3" s="529"/>
      <c r="V3" s="530" t="s">
        <v>153</v>
      </c>
      <c r="W3" s="530"/>
      <c r="X3" s="530"/>
      <c r="Y3" s="530"/>
      <c r="Z3" s="530"/>
      <c r="AA3" s="531" t="s">
        <v>154</v>
      </c>
      <c r="AB3" s="531"/>
      <c r="AC3" s="531"/>
      <c r="AD3" s="67" t="s">
        <v>146</v>
      </c>
    </row>
    <row r="4" spans="1:30" s="1" customFormat="1" ht="4.5" customHeight="1">
      <c r="A4" s="8"/>
      <c r="B4" s="9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5"/>
      <c r="P4" s="5"/>
      <c r="Q4" s="50"/>
      <c r="R4" s="50"/>
      <c r="S4" s="10"/>
      <c r="T4" s="10"/>
      <c r="U4" s="6"/>
      <c r="V4" s="10"/>
      <c r="W4" s="44"/>
      <c r="X4" s="10"/>
      <c r="Y4" s="10"/>
      <c r="Z4" s="10"/>
      <c r="AA4" s="10"/>
      <c r="AB4" s="87"/>
      <c r="AC4" s="87"/>
      <c r="AD4" s="7"/>
    </row>
    <row r="5" spans="1:30" ht="14.1" customHeight="1">
      <c r="A5" s="490" t="s">
        <v>11</v>
      </c>
      <c r="B5" s="493" t="s">
        <v>12</v>
      </c>
      <c r="C5" s="494"/>
      <c r="D5" s="11"/>
      <c r="E5" s="11"/>
      <c r="F5" s="11"/>
      <c r="G5" s="11"/>
      <c r="H5" s="11"/>
      <c r="I5" s="11"/>
      <c r="J5" s="11"/>
      <c r="K5" s="11"/>
      <c r="L5" s="11"/>
      <c r="M5" s="11"/>
      <c r="N5" s="499" t="s">
        <v>4</v>
      </c>
      <c r="O5" s="500" t="s">
        <v>5</v>
      </c>
      <c r="P5" s="500" t="s">
        <v>13</v>
      </c>
      <c r="Q5" s="484" t="s">
        <v>14</v>
      </c>
      <c r="R5" s="484" t="s">
        <v>6</v>
      </c>
      <c r="S5" s="76" t="s">
        <v>52</v>
      </c>
      <c r="T5" s="82" t="s">
        <v>33</v>
      </c>
      <c r="U5" s="485" t="s">
        <v>15</v>
      </c>
      <c r="V5" s="12"/>
      <c r="W5" s="486" t="s">
        <v>16</v>
      </c>
      <c r="X5" s="82" t="s">
        <v>34</v>
      </c>
      <c r="Y5" s="82" t="s">
        <v>33</v>
      </c>
      <c r="Z5" s="82" t="s">
        <v>35</v>
      </c>
      <c r="AA5" s="82" t="s">
        <v>36</v>
      </c>
      <c r="AB5" s="487" t="s">
        <v>37</v>
      </c>
      <c r="AC5" s="82" t="s">
        <v>58</v>
      </c>
      <c r="AD5" s="533" t="s">
        <v>38</v>
      </c>
    </row>
    <row r="6" spans="1:30" ht="14.1" customHeight="1">
      <c r="A6" s="491"/>
      <c r="B6" s="495"/>
      <c r="C6" s="496"/>
      <c r="D6" s="11"/>
      <c r="E6" s="11"/>
      <c r="F6" s="11"/>
      <c r="G6" s="11"/>
      <c r="H6" s="11"/>
      <c r="I6" s="11"/>
      <c r="J6" s="11"/>
      <c r="K6" s="11"/>
      <c r="L6" s="11"/>
      <c r="M6" s="11"/>
      <c r="N6" s="499"/>
      <c r="O6" s="500"/>
      <c r="P6" s="500"/>
      <c r="Q6" s="484"/>
      <c r="R6" s="484"/>
      <c r="S6" s="77" t="s">
        <v>53</v>
      </c>
      <c r="T6" s="83" t="s">
        <v>39</v>
      </c>
      <c r="U6" s="485"/>
      <c r="V6" s="12"/>
      <c r="W6" s="486"/>
      <c r="X6" s="83" t="s">
        <v>40</v>
      </c>
      <c r="Y6" s="83" t="s">
        <v>41</v>
      </c>
      <c r="Z6" s="83" t="s">
        <v>42</v>
      </c>
      <c r="AA6" s="83" t="s">
        <v>43</v>
      </c>
      <c r="AB6" s="488"/>
      <c r="AC6" s="83" t="s">
        <v>59</v>
      </c>
      <c r="AD6" s="534"/>
    </row>
    <row r="7" spans="1:30" s="89" customFormat="1" ht="14.1" customHeight="1">
      <c r="A7" s="491"/>
      <c r="B7" s="495"/>
      <c r="C7" s="496"/>
      <c r="D7" s="14" t="s">
        <v>17</v>
      </c>
      <c r="E7" s="14" t="s">
        <v>18</v>
      </c>
      <c r="F7" s="15" t="s">
        <v>0</v>
      </c>
      <c r="G7" s="15" t="s">
        <v>1</v>
      </c>
      <c r="H7" s="85" t="s">
        <v>19</v>
      </c>
      <c r="I7" s="16" t="s">
        <v>2</v>
      </c>
      <c r="J7" s="15" t="s">
        <v>3</v>
      </c>
      <c r="K7" s="85"/>
      <c r="L7" s="15" t="s">
        <v>20</v>
      </c>
      <c r="M7" s="15" t="s">
        <v>21</v>
      </c>
      <c r="N7" s="499"/>
      <c r="O7" s="500"/>
      <c r="P7" s="500"/>
      <c r="Q7" s="484"/>
      <c r="R7" s="484"/>
      <c r="S7" s="77" t="s">
        <v>54</v>
      </c>
      <c r="T7" s="83" t="s">
        <v>44</v>
      </c>
      <c r="U7" s="485"/>
      <c r="V7" s="12"/>
      <c r="W7" s="486"/>
      <c r="X7" s="83" t="s">
        <v>44</v>
      </c>
      <c r="Y7" s="83" t="s">
        <v>45</v>
      </c>
      <c r="Z7" s="83" t="s">
        <v>46</v>
      </c>
      <c r="AA7" s="83" t="s">
        <v>72</v>
      </c>
      <c r="AB7" s="488"/>
      <c r="AC7" s="83" t="s">
        <v>73</v>
      </c>
      <c r="AD7" s="534"/>
    </row>
    <row r="8" spans="1:30" ht="14.1" customHeight="1">
      <c r="A8" s="492"/>
      <c r="B8" s="497"/>
      <c r="C8" s="498"/>
      <c r="D8" s="11"/>
      <c r="E8" s="11"/>
      <c r="F8" s="17"/>
      <c r="G8" s="17"/>
      <c r="H8" s="17"/>
      <c r="I8" s="86"/>
      <c r="J8" s="17"/>
      <c r="K8" s="17"/>
      <c r="L8" s="17"/>
      <c r="M8" s="17"/>
      <c r="N8" s="499"/>
      <c r="O8" s="500"/>
      <c r="P8" s="500"/>
      <c r="Q8" s="484"/>
      <c r="R8" s="484"/>
      <c r="S8" s="78" t="s">
        <v>55</v>
      </c>
      <c r="T8" s="84" t="s">
        <v>47</v>
      </c>
      <c r="U8" s="485"/>
      <c r="V8" s="12"/>
      <c r="W8" s="486"/>
      <c r="X8" s="84" t="s">
        <v>47</v>
      </c>
      <c r="Y8" s="84" t="s">
        <v>48</v>
      </c>
      <c r="Z8" s="84" t="s">
        <v>49</v>
      </c>
      <c r="AA8" s="84"/>
      <c r="AB8" s="489"/>
      <c r="AC8" s="84" t="s">
        <v>60</v>
      </c>
      <c r="AD8" s="535"/>
    </row>
    <row r="9" spans="1:30" ht="15" customHeight="1">
      <c r="A9" s="471">
        <f>IF(B9="","",1)</f>
        <v>1</v>
      </c>
      <c r="B9" s="308" t="s">
        <v>155</v>
      </c>
      <c r="C9" s="71">
        <v>34.003500000000003</v>
      </c>
      <c r="D9" s="472">
        <f>TRUNC(C9)+((C9-TRUNC(C9))/0.6)</f>
        <v>34.005833333333335</v>
      </c>
      <c r="E9" s="472">
        <f>TRUNC(C10)+((C10-TRUNC(C10))/0.6)</f>
        <v>131.559</v>
      </c>
      <c r="F9" s="473">
        <f>ROUND(((LOG10(TAN(PI()/4+(D9/2*PI()/180)))*7915.7046)-(3437.7468*((0.0816968^2*SIN(D9*PI()/180))+(0.0816968^4/3*((SIN(D9*PI()/180))^3))+(0.0816968^6/5*((SIN(D9*PI()/180))^5))))),2)</f>
        <v>2159.06</v>
      </c>
      <c r="G9" s="58"/>
      <c r="H9" s="464">
        <f>IF(E9&lt;0,E9+360,E9)</f>
        <v>131.559</v>
      </c>
      <c r="I9" s="88"/>
      <c r="J9" s="58"/>
      <c r="K9" s="58"/>
      <c r="L9" s="58"/>
      <c r="M9" s="58"/>
      <c r="N9" s="59"/>
      <c r="O9" s="60"/>
      <c r="P9" s="60"/>
      <c r="Q9" s="501">
        <f>IF(O10="","",0)</f>
        <v>0</v>
      </c>
      <c r="R9" s="501">
        <v>533.10000000000014</v>
      </c>
      <c r="S9" s="61"/>
      <c r="T9" s="61" t="s">
        <v>7</v>
      </c>
      <c r="U9" s="62"/>
      <c r="V9" s="63"/>
      <c r="W9" s="482">
        <v>43148.666666666664</v>
      </c>
      <c r="X9" s="61" t="s">
        <v>87</v>
      </c>
      <c r="Y9" s="92"/>
      <c r="Z9" s="61"/>
      <c r="AA9" s="61"/>
      <c r="AB9" s="57"/>
      <c r="AC9" s="57"/>
      <c r="AD9" s="532" t="s">
        <v>147</v>
      </c>
    </row>
    <row r="10" spans="1:30" ht="15" customHeight="1">
      <c r="A10" s="471"/>
      <c r="B10" s="309"/>
      <c r="C10" s="72">
        <v>131.33539999999999</v>
      </c>
      <c r="D10" s="472"/>
      <c r="E10" s="472"/>
      <c r="F10" s="473"/>
      <c r="G10" s="464">
        <f>ABS(D9-D11)*60</f>
        <v>0.14999999999986358</v>
      </c>
      <c r="H10" s="464"/>
      <c r="I10" s="477">
        <f>ABS(H9-H11)*60</f>
        <v>3.0000000000995897E-2</v>
      </c>
      <c r="J10" s="478">
        <f>ABS(F9-F11)</f>
        <v>0.17999999999983629</v>
      </c>
      <c r="K10" s="479">
        <f>IF(AND(D9&lt;D11,H9=H11),0,IF(AND(D9&gt;D11,H9=H11),180,IF(AND(D9=D11,H9&lt;H11),90,IF(AND(D9=D11,H9&gt;H11),270,(ATAN(I10/J10)*180/PI())))))</f>
        <v>9.4623222083425027</v>
      </c>
      <c r="L10" s="472">
        <f>IF(OR(K10=0,K10=90,K10=180,K10=270),K10,IF(AND(D9&lt;D11,H9&lt;H11),K10,IF(AND(D9&lt;D11,H9&gt;H11),360-K10,IF(AND(D9&gt;D11,H9&lt;H11),180-K10,IF(AND(D9&gt;D11,H9&gt;H11),180+K10)))))</f>
        <v>170.5376777916575</v>
      </c>
      <c r="M10" s="472">
        <f>(IF(I10=0,G10,IF(G10=0,COS(D11*PI()/180)*I10,G10/COS(K10*PI()/180))))</f>
        <v>0.15206906325745737</v>
      </c>
      <c r="N10" s="468">
        <f>IF(C12="","",ROUND(L10,1))</f>
        <v>170.5</v>
      </c>
      <c r="O10" s="469">
        <f>IF(C12="","",ROUND(M10,1))</f>
        <v>0.2</v>
      </c>
      <c r="P10" s="353">
        <v>2</v>
      </c>
      <c r="Q10" s="501"/>
      <c r="R10" s="501"/>
      <c r="S10" s="64">
        <v>4.9000000000000004</v>
      </c>
      <c r="T10" s="64" t="s">
        <v>23</v>
      </c>
      <c r="U10" s="358"/>
      <c r="V10" s="470">
        <f>(O10/P10+U10/60)/24</f>
        <v>4.1666666666666666E-3</v>
      </c>
      <c r="W10" s="482"/>
      <c r="X10" s="64" t="s">
        <v>88</v>
      </c>
      <c r="Y10" s="65" t="s">
        <v>89</v>
      </c>
      <c r="Z10" s="64" t="s">
        <v>32</v>
      </c>
      <c r="AA10" s="64">
        <v>3</v>
      </c>
      <c r="AB10" s="56">
        <v>1134</v>
      </c>
      <c r="AC10" s="56" t="s">
        <v>83</v>
      </c>
      <c r="AD10" s="505"/>
    </row>
    <row r="11" spans="1:30" ht="15" customHeight="1">
      <c r="A11" s="471">
        <f>IF(B11="","",A9+1)</f>
        <v>2</v>
      </c>
      <c r="B11" s="348" t="s">
        <v>57</v>
      </c>
      <c r="C11" s="54">
        <v>34.002000000000002</v>
      </c>
      <c r="D11" s="472">
        <f>TRUNC(C11)+((C11-TRUNC(C11))/0.6)</f>
        <v>34.003333333333337</v>
      </c>
      <c r="E11" s="472">
        <f>TRUNC(C12)+((C12-TRUNC(C12))/0.6)</f>
        <v>131.55950000000001</v>
      </c>
      <c r="F11" s="473">
        <f>ROUND(((LOG10(TAN(PI()/4+(D11/2*PI()/180)))*7915.7046)-(3437.7468*((0.0816968^2*SIN(D11*PI()/180))+(0.0816968^4/3*((SIN(D11*PI()/180))^3))+(0.0816968^6/5*((SIN(D11*PI()/180))^5))))),2)</f>
        <v>2158.88</v>
      </c>
      <c r="G11" s="464"/>
      <c r="H11" s="464">
        <f>IF(E11&lt;0,E11+360,E11)</f>
        <v>131.55950000000001</v>
      </c>
      <c r="I11" s="477"/>
      <c r="J11" s="478"/>
      <c r="K11" s="479"/>
      <c r="L11" s="472"/>
      <c r="M11" s="472"/>
      <c r="N11" s="468"/>
      <c r="O11" s="469"/>
      <c r="P11" s="353"/>
      <c r="Q11" s="465">
        <f>IF(O10="","",Q9+O10)</f>
        <v>0.2</v>
      </c>
      <c r="R11" s="465">
        <f>IF(O10="","",R9-O10)</f>
        <v>532.90000000000009</v>
      </c>
      <c r="S11" s="61"/>
      <c r="T11" s="61" t="s">
        <v>7</v>
      </c>
      <c r="U11" s="355"/>
      <c r="V11" s="470"/>
      <c r="W11" s="466">
        <f>IF(P10="","",W9+V10)</f>
        <v>43148.67083333333</v>
      </c>
      <c r="X11" s="61" t="s">
        <v>87</v>
      </c>
      <c r="Y11" s="92"/>
      <c r="Z11" s="61"/>
      <c r="AA11" s="61"/>
      <c r="AB11" s="57"/>
      <c r="AC11" s="57"/>
      <c r="AD11" s="504" t="s">
        <v>97</v>
      </c>
    </row>
    <row r="12" spans="1:30" ht="15" customHeight="1">
      <c r="A12" s="471"/>
      <c r="B12" s="349"/>
      <c r="C12" s="55">
        <v>131.3357</v>
      </c>
      <c r="D12" s="472"/>
      <c r="E12" s="472"/>
      <c r="F12" s="473"/>
      <c r="G12" s="464">
        <f>ABS(D11-D13)*60</f>
        <v>0.90000000000003411</v>
      </c>
      <c r="H12" s="464"/>
      <c r="I12" s="477">
        <f>ABS(H11-H13)*60</f>
        <v>0.81000000000130967</v>
      </c>
      <c r="J12" s="478">
        <f>ABS(F11-F13)</f>
        <v>1.0799999999999272</v>
      </c>
      <c r="K12" s="479">
        <f>IF(AND(D11&lt;D13,H11=H13),0,IF(AND(D11&gt;D13,H11=H13),180,IF(AND(D11=D13,H11&lt;H13),90,IF(AND(D11=D13,H11&gt;H13),270,(ATAN(I12/J12)*180/PI())))))</f>
        <v>36.869897645890347</v>
      </c>
      <c r="L12" s="472">
        <f>IF(OR(K12=0,K12=90,K12=180,K12=270),K12,IF(AND(D11&lt;D13,H11&lt;H13),K12,IF(AND(D11&lt;D13,H11&gt;H13),360-K12,IF(AND(D11&gt;D13,H11&lt;H13),180-K12,IF(AND(D11&gt;D13,H11&gt;H13),180+K12)))))</f>
        <v>216.86989764589035</v>
      </c>
      <c r="M12" s="472">
        <f>(IF(I12=0,G12,IF(G12=0,COS(D13*PI()/180)*I12,G12/COS(K12*PI()/180))))</f>
        <v>1.1250000000007248</v>
      </c>
      <c r="N12" s="468">
        <f>IF(C14="","",ROUND(L12,1))</f>
        <v>216.9</v>
      </c>
      <c r="O12" s="469">
        <f>IF(C14="","",ROUND(M12,1))</f>
        <v>1.1000000000000001</v>
      </c>
      <c r="P12" s="353">
        <v>5</v>
      </c>
      <c r="Q12" s="465"/>
      <c r="R12" s="465"/>
      <c r="S12" s="64">
        <v>6.1</v>
      </c>
      <c r="T12" s="64" t="s">
        <v>23</v>
      </c>
      <c r="U12" s="358"/>
      <c r="V12" s="470">
        <f>(O12/P12+U12/60)/24</f>
        <v>9.1666666666666684E-3</v>
      </c>
      <c r="W12" s="466"/>
      <c r="X12" s="64" t="s">
        <v>88</v>
      </c>
      <c r="Y12" s="65" t="s">
        <v>89</v>
      </c>
      <c r="Z12" s="64" t="s">
        <v>32</v>
      </c>
      <c r="AA12" s="64">
        <v>3</v>
      </c>
      <c r="AB12" s="56">
        <v>1134</v>
      </c>
      <c r="AC12" s="56" t="s">
        <v>83</v>
      </c>
      <c r="AD12" s="505"/>
    </row>
    <row r="13" spans="1:30" ht="15" customHeight="1">
      <c r="A13" s="471">
        <f>IF(B13="","",A11+1)</f>
        <v>3</v>
      </c>
      <c r="B13" s="392" t="s">
        <v>156</v>
      </c>
      <c r="C13" s="54">
        <v>33.593000000000004</v>
      </c>
      <c r="D13" s="472">
        <f>TRUNC(C13)+((C13-TRUNC(C13))/0.6)</f>
        <v>33.988333333333337</v>
      </c>
      <c r="E13" s="472">
        <f>TRUNC(C14)+((C14-TRUNC(C14))/0.6)</f>
        <v>131.54599999999999</v>
      </c>
      <c r="F13" s="473">
        <f>ROUND(((LOG10(TAN(PI()/4+(D13/2*PI()/180)))*7915.7046)-(3437.7468*((0.0816968^2*SIN(D13*PI()/180))+(0.0816968^4/3*((SIN(D13*PI()/180))^3))+(0.0816968^6/5*((SIN(D13*PI()/180))^5))))),2)</f>
        <v>2157.8000000000002</v>
      </c>
      <c r="G13" s="464"/>
      <c r="H13" s="464">
        <f>IF(E13&lt;0,E13+360,E13)</f>
        <v>131.54599999999999</v>
      </c>
      <c r="I13" s="477"/>
      <c r="J13" s="478"/>
      <c r="K13" s="479"/>
      <c r="L13" s="472"/>
      <c r="M13" s="472"/>
      <c r="N13" s="468"/>
      <c r="O13" s="469"/>
      <c r="P13" s="353"/>
      <c r="Q13" s="465">
        <f>IF(O12="","",Q11+O12)</f>
        <v>1.3</v>
      </c>
      <c r="R13" s="465">
        <f>IF(O12="","",R11-O12)</f>
        <v>531.80000000000007</v>
      </c>
      <c r="S13" s="61"/>
      <c r="T13" s="61" t="s">
        <v>7</v>
      </c>
      <c r="U13" s="355"/>
      <c r="V13" s="470"/>
      <c r="W13" s="466">
        <f>IF(P12="","",W11+V12)</f>
        <v>43148.679999999993</v>
      </c>
      <c r="X13" s="61" t="s">
        <v>87</v>
      </c>
      <c r="Y13" s="92"/>
      <c r="Z13" s="61"/>
      <c r="AA13" s="61"/>
      <c r="AB13" s="57"/>
      <c r="AC13" s="57"/>
      <c r="AD13" s="514" t="s">
        <v>192</v>
      </c>
    </row>
    <row r="14" spans="1:30" ht="15" customHeight="1">
      <c r="A14" s="471"/>
      <c r="B14" s="392"/>
      <c r="C14" s="55">
        <v>131.32759999999999</v>
      </c>
      <c r="D14" s="472"/>
      <c r="E14" s="472"/>
      <c r="F14" s="473"/>
      <c r="G14" s="464">
        <f>ABS(D13-D15)*60</f>
        <v>13.699999999999903</v>
      </c>
      <c r="H14" s="464"/>
      <c r="I14" s="477">
        <f>ABS(H13-H15)*60</f>
        <v>9.4399999999995998</v>
      </c>
      <c r="J14" s="478">
        <f>ABS(F13-F15)</f>
        <v>16.420000000000073</v>
      </c>
      <c r="K14" s="479">
        <f>IF(AND(D13&lt;D15,H13=H15),0,IF(AND(D13&gt;D15,H13=H15),180,IF(AND(D13=D15,H13&lt;H15),90,IF(AND(D13=D15,H13&gt;H15),270,(ATAN(I14/J14)*180/PI())))))</f>
        <v>29.894968129846717</v>
      </c>
      <c r="L14" s="472">
        <f>IF(OR(K14=0,K14=90,K14=180,K14=270),K14,IF(AND(D13&lt;D15,H13&lt;H15),K14,IF(AND(D13&lt;D15,H13&gt;H15),360-K14,IF(AND(D13&gt;D15,H13&lt;H15),180-K14,IF(AND(D13&gt;D15,H13&gt;H15),180+K14)))))</f>
        <v>150.10503187015328</v>
      </c>
      <c r="M14" s="472">
        <f>(IF(I14=0,G14,IF(G14=0,COS(D15*PI()/180)*I14,G14/COS(K14*PI()/180))))</f>
        <v>15.802698822631028</v>
      </c>
      <c r="N14" s="468">
        <f>IF(C16="","",ROUND(L14,1))</f>
        <v>150.1</v>
      </c>
      <c r="O14" s="469">
        <f>IF(C16="","",ROUND(M14,1))</f>
        <v>15.8</v>
      </c>
      <c r="P14" s="353">
        <v>12</v>
      </c>
      <c r="Q14" s="465"/>
      <c r="R14" s="465"/>
      <c r="S14" s="64">
        <v>6.1</v>
      </c>
      <c r="T14" s="64" t="s">
        <v>23</v>
      </c>
      <c r="U14" s="358"/>
      <c r="V14" s="470">
        <f>(O14/P14+U14/60)/24</f>
        <v>5.486111111111111E-2</v>
      </c>
      <c r="W14" s="466"/>
      <c r="X14" s="64" t="s">
        <v>88</v>
      </c>
      <c r="Y14" s="65" t="s">
        <v>89</v>
      </c>
      <c r="Z14" s="64" t="s">
        <v>32</v>
      </c>
      <c r="AA14" s="64">
        <v>3</v>
      </c>
      <c r="AB14" s="56" t="s">
        <v>157</v>
      </c>
      <c r="AC14" s="56" t="s">
        <v>83</v>
      </c>
      <c r="AD14" s="515"/>
    </row>
    <row r="15" spans="1:30" ht="15" customHeight="1">
      <c r="A15" s="471">
        <f>IF(B15="","",A13+1)</f>
        <v>4</v>
      </c>
      <c r="B15" s="392" t="s">
        <v>158</v>
      </c>
      <c r="C15" s="54">
        <v>33.456000000000003</v>
      </c>
      <c r="D15" s="472">
        <f>TRUNC(C15)+((C15-TRUNC(C15))/0.6)</f>
        <v>33.760000000000005</v>
      </c>
      <c r="E15" s="472">
        <f>TRUNC(C16)+((C16-TRUNC(C16))/0.6)</f>
        <v>131.70333333333332</v>
      </c>
      <c r="F15" s="473">
        <f>ROUND(((LOG10(TAN(PI()/4+(D15/2*PI()/180)))*7915.7046)-(3437.7468*((0.0816968^2*SIN(D15*PI()/180))+(0.0816968^4/3*((SIN(D15*PI()/180))^3))+(0.0816968^6/5*((SIN(D15*PI()/180))^5))))),2)</f>
        <v>2141.38</v>
      </c>
      <c r="G15" s="464"/>
      <c r="H15" s="464">
        <f>IF(E15&lt;0,E15+360,E15)</f>
        <v>131.70333333333332</v>
      </c>
      <c r="I15" s="477"/>
      <c r="J15" s="478"/>
      <c r="K15" s="479"/>
      <c r="L15" s="472"/>
      <c r="M15" s="472"/>
      <c r="N15" s="468"/>
      <c r="O15" s="469"/>
      <c r="P15" s="353"/>
      <c r="Q15" s="465">
        <f>IF(O14="","",Q13+O14)</f>
        <v>17.100000000000001</v>
      </c>
      <c r="R15" s="465">
        <f>IF(O14="","",R13-O14)</f>
        <v>516.00000000000011</v>
      </c>
      <c r="S15" s="61"/>
      <c r="T15" s="61" t="s">
        <v>7</v>
      </c>
      <c r="U15" s="355"/>
      <c r="V15" s="470"/>
      <c r="W15" s="466">
        <f>IF(P14="","",W13+V14)</f>
        <v>43148.734861111101</v>
      </c>
      <c r="X15" s="61" t="s">
        <v>87</v>
      </c>
      <c r="Y15" s="92"/>
      <c r="Z15" s="61"/>
      <c r="AA15" s="61"/>
      <c r="AB15" s="57"/>
      <c r="AC15" s="57"/>
      <c r="AD15" s="504" t="s">
        <v>159</v>
      </c>
    </row>
    <row r="16" spans="1:30" ht="15" customHeight="1">
      <c r="A16" s="471"/>
      <c r="B16" s="392"/>
      <c r="C16" s="55">
        <v>131.422</v>
      </c>
      <c r="D16" s="472"/>
      <c r="E16" s="472"/>
      <c r="F16" s="473"/>
      <c r="G16" s="464">
        <f>ABS(D15-D17)*60</f>
        <v>28.900000000000148</v>
      </c>
      <c r="H16" s="464"/>
      <c r="I16" s="477">
        <f>ABS(H15-H17)*60</f>
        <v>17.800000000000864</v>
      </c>
      <c r="J16" s="478">
        <f>ABS(F15-F17)</f>
        <v>34.510000000000218</v>
      </c>
      <c r="K16" s="479">
        <f>IF(AND(D15&lt;D17,H15=H17),0,IF(AND(D15&gt;D17,H15=H17),180,IF(AND(D15=D17,H15&lt;H17),90,IF(AND(D15=D17,H15&gt;H17),270,(ATAN(I16/J16)*180/PI())))))</f>
        <v>27.284345334122559</v>
      </c>
      <c r="L16" s="472">
        <f>IF(OR(K16=0,K16=90,K16=180,K16=270),K16,IF(AND(D15&lt;D17,H15&lt;H17),K16,IF(AND(D15&lt;D17,H15&gt;H17),360-K16,IF(AND(D15&gt;D17,H15&lt;H17),180-K16,IF(AND(D15&gt;D17,H15&gt;H17),180+K16)))))</f>
        <v>152.71565466587745</v>
      </c>
      <c r="M16" s="472">
        <f>(IF(I16=0,G16,IF(G16=0,COS(D17*PI()/180)*I16,G16/COS(K16*PI()/180))))</f>
        <v>32.517854763943333</v>
      </c>
      <c r="N16" s="468">
        <f>IF(C18="","",ROUND(L16,1))</f>
        <v>152.69999999999999</v>
      </c>
      <c r="O16" s="469">
        <f>IF(C18="","",ROUND(M16,1))</f>
        <v>32.5</v>
      </c>
      <c r="P16" s="353">
        <v>12</v>
      </c>
      <c r="Q16" s="465"/>
      <c r="R16" s="465"/>
      <c r="S16" s="64" t="s">
        <v>56</v>
      </c>
      <c r="T16" s="64" t="s">
        <v>23</v>
      </c>
      <c r="U16" s="358"/>
      <c r="V16" s="470">
        <f>(O16/P16+U16/60)/24</f>
        <v>0.11284722222222222</v>
      </c>
      <c r="W16" s="466"/>
      <c r="X16" s="64" t="s">
        <v>88</v>
      </c>
      <c r="Y16" s="65" t="s">
        <v>89</v>
      </c>
      <c r="Z16" s="64" t="s">
        <v>32</v>
      </c>
      <c r="AA16" s="64">
        <v>3</v>
      </c>
      <c r="AB16" s="56" t="s">
        <v>160</v>
      </c>
      <c r="AC16" s="56" t="s">
        <v>83</v>
      </c>
      <c r="AD16" s="505"/>
    </row>
    <row r="17" spans="1:30" ht="15" customHeight="1">
      <c r="A17" s="471">
        <f>IF(B17="","",A15+1)</f>
        <v>5</v>
      </c>
      <c r="B17" s="392" t="s">
        <v>161</v>
      </c>
      <c r="C17" s="54">
        <v>33.167000000000002</v>
      </c>
      <c r="D17" s="472">
        <f>TRUNC(C17)+((C17-TRUNC(C17))/0.6)</f>
        <v>33.278333333333336</v>
      </c>
      <c r="E17" s="472">
        <f>TRUNC(C18)+((C18-TRUNC(C18))/0.6)</f>
        <v>132</v>
      </c>
      <c r="F17" s="473">
        <f>ROUND(((LOG10(TAN(PI()/4+(D17/2*PI()/180)))*7915.7046)-(3437.7468*((0.0816968^2*SIN(D17*PI()/180))+(0.0816968^4/3*((SIN(D17*PI()/180))^3))+(0.0816968^6/5*((SIN(D17*PI()/180))^5))))),2)</f>
        <v>2106.87</v>
      </c>
      <c r="G17" s="464"/>
      <c r="H17" s="464">
        <f>IF(E17&lt;0,E17+360,E17)</f>
        <v>132</v>
      </c>
      <c r="I17" s="477"/>
      <c r="J17" s="478"/>
      <c r="K17" s="479"/>
      <c r="L17" s="472"/>
      <c r="M17" s="472"/>
      <c r="N17" s="468"/>
      <c r="O17" s="469"/>
      <c r="P17" s="353"/>
      <c r="Q17" s="465">
        <f>IF(O16="","",Q15+O16)</f>
        <v>49.6</v>
      </c>
      <c r="R17" s="465">
        <f>IF(O16="","",R15-O16)</f>
        <v>483.50000000000011</v>
      </c>
      <c r="S17" s="61"/>
      <c r="T17" s="61" t="s">
        <v>7</v>
      </c>
      <c r="U17" s="355"/>
      <c r="V17" s="470"/>
      <c r="W17" s="466">
        <f>IF(P16="","",W15+V16)</f>
        <v>43148.84770833332</v>
      </c>
      <c r="X17" s="61" t="s">
        <v>87</v>
      </c>
      <c r="Y17" s="92"/>
      <c r="Z17" s="61"/>
      <c r="AA17" s="61"/>
      <c r="AB17" s="57"/>
      <c r="AC17" s="57"/>
      <c r="AD17" s="504" t="s">
        <v>96</v>
      </c>
    </row>
    <row r="18" spans="1:30" ht="15" customHeight="1">
      <c r="A18" s="471"/>
      <c r="B18" s="392"/>
      <c r="C18" s="55">
        <v>132</v>
      </c>
      <c r="D18" s="472"/>
      <c r="E18" s="472"/>
      <c r="F18" s="473"/>
      <c r="G18" s="464">
        <f>ABS(D17-D19)*60</f>
        <v>3.5000000000002274</v>
      </c>
      <c r="H18" s="464"/>
      <c r="I18" s="477">
        <f>ABS(H17-H19)*60</f>
        <v>1.999999999998181</v>
      </c>
      <c r="J18" s="478">
        <f>ABS(F17-F19)</f>
        <v>4.1599999999998545</v>
      </c>
      <c r="K18" s="479">
        <f>IF(AND(D17&lt;D19,H17=H19),0,IF(AND(D17&gt;D19,H17=H19),180,IF(AND(D17=D19,H17&lt;H19),90,IF(AND(D17=D19,H17&gt;H19),270,(ATAN(I18/J18)*180/PI())))))</f>
        <v>25.676815681818653</v>
      </c>
      <c r="L18" s="472">
        <f>IF(OR(K18=0,K18=90,K18=180,K18=270),K18,IF(AND(D17&lt;D19,H17&lt;H19),K18,IF(AND(D17&lt;D19,H17&gt;H19),360-K18,IF(AND(D17&gt;D19,H17&lt;H19),180-K18,IF(AND(D17&gt;D19,H17&gt;H19),180+K18)))))</f>
        <v>205.67681568181865</v>
      </c>
      <c r="M18" s="472">
        <f>(IF(I18=0,G18,IF(G18=0,COS(D19*PI()/180)*I18,G18/COS(K18*PI()/180))))</f>
        <v>3.8834846983558302</v>
      </c>
      <c r="N18" s="468">
        <f>IF(C20="","",ROUND(L18,1))</f>
        <v>205.7</v>
      </c>
      <c r="O18" s="469">
        <f>IF(C20="","",ROUND(M18,1))</f>
        <v>3.9</v>
      </c>
      <c r="P18" s="353">
        <v>12</v>
      </c>
      <c r="Q18" s="465"/>
      <c r="R18" s="465"/>
      <c r="S18" s="64" t="s">
        <v>56</v>
      </c>
      <c r="T18" s="64" t="s">
        <v>24</v>
      </c>
      <c r="U18" s="358"/>
      <c r="V18" s="470">
        <f>(O18/P18+U18/60)/24</f>
        <v>1.3541666666666667E-2</v>
      </c>
      <c r="W18" s="466"/>
      <c r="X18" s="64" t="s">
        <v>88</v>
      </c>
      <c r="Y18" s="65" t="s">
        <v>89</v>
      </c>
      <c r="Z18" s="64" t="s">
        <v>32</v>
      </c>
      <c r="AA18" s="64">
        <v>3</v>
      </c>
      <c r="AB18" s="56" t="s">
        <v>160</v>
      </c>
      <c r="AC18" s="56" t="s">
        <v>83</v>
      </c>
      <c r="AD18" s="505"/>
    </row>
    <row r="19" spans="1:30" ht="15" customHeight="1">
      <c r="A19" s="471">
        <f>IF(B19="","",A17+1)</f>
        <v>6</v>
      </c>
      <c r="B19" s="518" t="s">
        <v>162</v>
      </c>
      <c r="C19" s="74">
        <v>33.131999999999998</v>
      </c>
      <c r="D19" s="472">
        <f>TRUNC(C19)+((C19-TRUNC(C19))/0.6)</f>
        <v>33.22</v>
      </c>
      <c r="E19" s="472">
        <f>TRUNC(C20)+((C20-TRUNC(C20))/0.6)</f>
        <v>131.9666666666667</v>
      </c>
      <c r="F19" s="473">
        <f>ROUND(((LOG10(TAN(PI()/4+(D19/2*PI()/180)))*7915.7046)-(3437.7468*((0.0816968^2*SIN(D19*PI()/180))+(0.0816968^4/3*((SIN(D19*PI()/180))^3))+(0.0816968^6/5*((SIN(D19*PI()/180))^5))))),2)</f>
        <v>2102.71</v>
      </c>
      <c r="G19" s="464"/>
      <c r="H19" s="464">
        <f>IF(E19&lt;0,E19+360,E19)</f>
        <v>131.9666666666667</v>
      </c>
      <c r="I19" s="477"/>
      <c r="J19" s="478"/>
      <c r="K19" s="479"/>
      <c r="L19" s="472"/>
      <c r="M19" s="472"/>
      <c r="N19" s="468"/>
      <c r="O19" s="469"/>
      <c r="P19" s="353"/>
      <c r="Q19" s="513">
        <f>IF(O18="","",Q17+O18)</f>
        <v>53.5</v>
      </c>
      <c r="R19" s="513">
        <f>IF(O18="","",R17-O18)</f>
        <v>479.60000000000014</v>
      </c>
      <c r="S19" s="61"/>
      <c r="T19" s="61" t="s">
        <v>7</v>
      </c>
      <c r="U19" s="355"/>
      <c r="V19" s="470"/>
      <c r="W19" s="466">
        <f>IF(P18="","",W17+V18)</f>
        <v>43148.861249999987</v>
      </c>
      <c r="X19" s="61" t="s">
        <v>87</v>
      </c>
      <c r="Y19" s="92"/>
      <c r="Z19" s="61"/>
      <c r="AA19" s="61"/>
      <c r="AB19" s="57"/>
      <c r="AC19" s="57"/>
      <c r="AD19" s="504" t="s">
        <v>163</v>
      </c>
    </row>
    <row r="20" spans="1:30" ht="15" customHeight="1">
      <c r="A20" s="471"/>
      <c r="B20" s="518"/>
      <c r="C20" s="75">
        <v>131.58000000000001</v>
      </c>
      <c r="D20" s="472"/>
      <c r="E20" s="472"/>
      <c r="F20" s="473"/>
      <c r="G20" s="464">
        <f>ABS(D19-D21)*60</f>
        <v>1.8000000000000682</v>
      </c>
      <c r="H20" s="464"/>
      <c r="I20" s="477">
        <f>ABS(H19-H21)*60</f>
        <v>3.9999999999997726</v>
      </c>
      <c r="J20" s="478">
        <f>ABS(F19-F21)</f>
        <v>2.1399999999998727</v>
      </c>
      <c r="K20" s="479">
        <f>IF(AND(D19&lt;D21,H19=H21),0,IF(AND(D19&gt;D21,H19=H21),180,IF(AND(D19=D21,H19&lt;H21),90,IF(AND(D19=D21,H19&gt;H21),270,(ATAN(I20/J20)*180/PI())))))</f>
        <v>61.853218785878028</v>
      </c>
      <c r="L20" s="472">
        <f>IF(OR(K20=0,K20=90,K20=180,K20=270),K20,IF(AND(D19&lt;D21,H19&lt;H21),K20,IF(AND(D19&lt;D21,H19&gt;H21),360-K20,IF(AND(D19&gt;D21,H19&lt;H21),180-K20,IF(AND(D19&gt;D21,H19&gt;H21),180+K20)))))</f>
        <v>118.14678121412197</v>
      </c>
      <c r="M20" s="472">
        <f>(IF(I20=0,G20,IF(G20=0,COS(D21*PI()/180)*I20,G20/COS(K20*PI()/180))))</f>
        <v>3.8157261325234</v>
      </c>
      <c r="N20" s="468">
        <f>IF(C22="","",ROUND(L20,1))</f>
        <v>118.1</v>
      </c>
      <c r="O20" s="469">
        <f>IF(C22="","",ROUND(M20,1))</f>
        <v>3.8</v>
      </c>
      <c r="P20" s="353">
        <v>16</v>
      </c>
      <c r="Q20" s="513"/>
      <c r="R20" s="513"/>
      <c r="S20" s="64" t="s">
        <v>56</v>
      </c>
      <c r="T20" s="64" t="s">
        <v>23</v>
      </c>
      <c r="U20" s="358"/>
      <c r="V20" s="470">
        <f>(O20/P20+U20/60)/24</f>
        <v>9.8958333333333329E-3</v>
      </c>
      <c r="W20" s="466"/>
      <c r="X20" s="64" t="s">
        <v>88</v>
      </c>
      <c r="Y20" s="65" t="s">
        <v>89</v>
      </c>
      <c r="Z20" s="64" t="s">
        <v>32</v>
      </c>
      <c r="AA20" s="64">
        <v>2</v>
      </c>
      <c r="AB20" s="56" t="s">
        <v>164</v>
      </c>
      <c r="AC20" s="56" t="s">
        <v>83</v>
      </c>
      <c r="AD20" s="505"/>
    </row>
    <row r="21" spans="1:30" ht="15" customHeight="1">
      <c r="A21" s="471">
        <f>IF(B21="","",A19+1)</f>
        <v>7</v>
      </c>
      <c r="B21" s="392" t="s">
        <v>165</v>
      </c>
      <c r="C21" s="54">
        <v>33.113999999999997</v>
      </c>
      <c r="D21" s="472">
        <f>TRUNC(C21)+((C21-TRUNC(C21))/0.6)</f>
        <v>33.19</v>
      </c>
      <c r="E21" s="472">
        <f>TRUNC(C22)+((C22-TRUNC(C22))/0.6)</f>
        <v>132.03333333333336</v>
      </c>
      <c r="F21" s="473">
        <f>ROUND(((LOG10(TAN(PI()/4+(D21/2*PI()/180)))*7915.7046)-(3437.7468*((0.0816968^2*SIN(D21*PI()/180))+(0.0816968^4/3*((SIN(D21*PI()/180))^3))+(0.0816968^6/5*((SIN(D21*PI()/180))^5))))),2)</f>
        <v>2100.5700000000002</v>
      </c>
      <c r="G21" s="464"/>
      <c r="H21" s="464">
        <f>IF(E21&lt;0,E21+360,E21)</f>
        <v>132.03333333333336</v>
      </c>
      <c r="I21" s="477"/>
      <c r="J21" s="478"/>
      <c r="K21" s="479"/>
      <c r="L21" s="472"/>
      <c r="M21" s="472"/>
      <c r="N21" s="468"/>
      <c r="O21" s="469"/>
      <c r="P21" s="353"/>
      <c r="Q21" s="465">
        <f>IF(O20="","",Q19+O20)</f>
        <v>57.3</v>
      </c>
      <c r="R21" s="465">
        <f>IF(O20="","",R19-O20)</f>
        <v>475.80000000000013</v>
      </c>
      <c r="S21" s="61"/>
      <c r="T21" s="61" t="s">
        <v>25</v>
      </c>
      <c r="U21" s="355"/>
      <c r="V21" s="470"/>
      <c r="W21" s="466">
        <f>IF(P20="","",W19+V20)</f>
        <v>43148.87114583332</v>
      </c>
      <c r="X21" s="61" t="s">
        <v>87</v>
      </c>
      <c r="Y21" s="92"/>
      <c r="Z21" s="61"/>
      <c r="AA21" s="61"/>
      <c r="AB21" s="57"/>
      <c r="AC21" s="57"/>
      <c r="AD21" s="504" t="s">
        <v>166</v>
      </c>
    </row>
    <row r="22" spans="1:30" ht="15" customHeight="1">
      <c r="A22" s="471"/>
      <c r="B22" s="392"/>
      <c r="C22" s="55">
        <v>132.02000000000001</v>
      </c>
      <c r="D22" s="472"/>
      <c r="E22" s="472"/>
      <c r="F22" s="473"/>
      <c r="G22" s="464">
        <f>ABS(D21-D23)*60</f>
        <v>9.3999999999995509</v>
      </c>
      <c r="H22" s="464"/>
      <c r="I22" s="477">
        <f>ABS(H21-H23)*60</f>
        <v>7.4999999999982947</v>
      </c>
      <c r="J22" s="478">
        <f>ABS(F21-F23)</f>
        <v>11.170000000000073</v>
      </c>
      <c r="K22" s="479">
        <f>IF(AND(D21&lt;D23,H21=H23),0,IF(AND(D21&gt;D23,H21=H23),180,IF(AND(D21=D23,H21&lt;H23),90,IF(AND(D21=D23,H21&gt;H23),270,(ATAN(I22/J22)*180/PI())))))</f>
        <v>33.879044880733836</v>
      </c>
      <c r="L22" s="472">
        <f>IF(OR(K22=0,K22=90,K22=180,K22=270),K22,IF(AND(D21&lt;D23,H21&lt;H23),K22,IF(AND(D21&lt;D23,H21&gt;H23),360-K22,IF(AND(D21&gt;D23,H21&lt;H23),180-K22,IF(AND(D21&gt;D23,H21&gt;H23),180+K22)))))</f>
        <v>146.12095511926617</v>
      </c>
      <c r="M22" s="472">
        <f>(IF(I22=0,G22,IF(G22=0,COS(D23*PI()/180)*I22,G22/COS(K22*PI()/180))))</f>
        <v>11.322351705642339</v>
      </c>
      <c r="N22" s="468">
        <f>IF(C24="","",ROUND(L22,1))</f>
        <v>146.1</v>
      </c>
      <c r="O22" s="469">
        <f>IF(C24="","",ROUND(M22,1))</f>
        <v>11.3</v>
      </c>
      <c r="P22" s="353">
        <v>16</v>
      </c>
      <c r="Q22" s="465"/>
      <c r="R22" s="465"/>
      <c r="S22" s="64" t="s">
        <v>56</v>
      </c>
      <c r="T22" s="64" t="s">
        <v>24</v>
      </c>
      <c r="U22" s="358"/>
      <c r="V22" s="470">
        <f>(O22/P22+U22/60)/24</f>
        <v>2.9427083333333336E-2</v>
      </c>
      <c r="W22" s="466"/>
      <c r="X22" s="64" t="s">
        <v>88</v>
      </c>
      <c r="Y22" s="65" t="s">
        <v>89</v>
      </c>
      <c r="Z22" s="64" t="s">
        <v>83</v>
      </c>
      <c r="AA22" s="64">
        <v>2</v>
      </c>
      <c r="AB22" s="56" t="s">
        <v>164</v>
      </c>
      <c r="AC22" s="56" t="s">
        <v>83</v>
      </c>
      <c r="AD22" s="505"/>
    </row>
    <row r="23" spans="1:30" ht="15" customHeight="1">
      <c r="A23" s="471">
        <f>IF(B23="","",A21+1)</f>
        <v>8</v>
      </c>
      <c r="B23" s="392" t="s">
        <v>167</v>
      </c>
      <c r="C23" s="54">
        <v>33.020000000000003</v>
      </c>
      <c r="D23" s="472">
        <f>TRUNC(C23)+((C23-TRUNC(C23))/0.6)</f>
        <v>33.033333333333339</v>
      </c>
      <c r="E23" s="472">
        <f>TRUNC(C24)+((C24-TRUNC(C24))/0.6)</f>
        <v>132.15833333333333</v>
      </c>
      <c r="F23" s="473">
        <f>ROUND(((LOG10(TAN(PI()/4+(D23/2*PI()/180)))*7915.7046)-(3437.7468*((0.0816968^2*SIN(D23*PI()/180))+(0.0816968^4/3*((SIN(D23*PI()/180))^3))+(0.0816968^6/5*((SIN(D23*PI()/180))^5))))),2)</f>
        <v>2089.4</v>
      </c>
      <c r="G23" s="464"/>
      <c r="H23" s="464">
        <f>IF(E23&lt;0,E23+360,E23)</f>
        <v>132.15833333333333</v>
      </c>
      <c r="I23" s="477"/>
      <c r="J23" s="478"/>
      <c r="K23" s="479"/>
      <c r="L23" s="472"/>
      <c r="M23" s="472"/>
      <c r="N23" s="468"/>
      <c r="O23" s="469"/>
      <c r="P23" s="353"/>
      <c r="Q23" s="465">
        <f>IF(O22="","",Q21+O22)</f>
        <v>68.599999999999994</v>
      </c>
      <c r="R23" s="465">
        <f>IF(O22="","",R21-O22)</f>
        <v>464.50000000000011</v>
      </c>
      <c r="S23" s="61"/>
      <c r="T23" s="61" t="s">
        <v>25</v>
      </c>
      <c r="U23" s="355"/>
      <c r="V23" s="470"/>
      <c r="W23" s="466">
        <f>IF(P22="","",W21+V22)</f>
        <v>43148.900572916653</v>
      </c>
      <c r="X23" s="61" t="s">
        <v>87</v>
      </c>
      <c r="Y23" s="92"/>
      <c r="Z23" s="61"/>
      <c r="AA23" s="61"/>
      <c r="AB23" s="57"/>
      <c r="AC23" s="57"/>
      <c r="AD23" s="504" t="s">
        <v>168</v>
      </c>
    </row>
    <row r="24" spans="1:30" ht="15" customHeight="1">
      <c r="A24" s="471"/>
      <c r="B24" s="392"/>
      <c r="C24" s="55">
        <v>132.095</v>
      </c>
      <c r="D24" s="472"/>
      <c r="E24" s="472"/>
      <c r="F24" s="473"/>
      <c r="G24" s="464">
        <f>ABS(D23-D25)*60</f>
        <v>22.400000000000091</v>
      </c>
      <c r="H24" s="464"/>
      <c r="I24" s="477">
        <f>ABS(H23-H25)*60</f>
        <v>18.600000000000136</v>
      </c>
      <c r="J24" s="478">
        <f>ABS(F23-F25)</f>
        <v>26.539999999999964</v>
      </c>
      <c r="K24" s="479">
        <f>IF(AND(D23&lt;D25,H23=H25),0,IF(AND(D23&gt;D25,H23=H25),180,IF(AND(D23=D25,H23&lt;H25),90,IF(AND(D23=D25,H23&gt;H25),270,(ATAN(I24/J24)*180/PI())))))</f>
        <v>35.023883368916422</v>
      </c>
      <c r="L24" s="472">
        <f>IF(OR(K24=0,K24=90,K24=180,K24=270),K24,IF(AND(D23&lt;D25,H23&lt;H25),K24,IF(AND(D23&lt;D25,H23&gt;H25),360-K24,IF(AND(D23&gt;D25,H23&lt;H25),180-K24,IF(AND(D23&gt;D25,H23&gt;H25),180+K24)))))</f>
        <v>144.97611663108358</v>
      </c>
      <c r="M24" s="472">
        <f>(IF(I24=0,G24,IF(G24=0,COS(D25*PI()/180)*I24,G24/COS(K24*PI()/180))))</f>
        <v>27.353336971874882</v>
      </c>
      <c r="N24" s="468">
        <f>IF(C26="","",ROUND(L24,1))</f>
        <v>145</v>
      </c>
      <c r="O24" s="469">
        <f>IF(C26="","",ROUND(M24,1))</f>
        <v>27.4</v>
      </c>
      <c r="P24" s="353">
        <v>16</v>
      </c>
      <c r="Q24" s="465"/>
      <c r="R24" s="465"/>
      <c r="S24" s="64" t="s">
        <v>56</v>
      </c>
      <c r="T24" s="64" t="s">
        <v>24</v>
      </c>
      <c r="U24" s="358"/>
      <c r="V24" s="470">
        <f>(O24/P24+U24/60)/24</f>
        <v>7.1354166666666663E-2</v>
      </c>
      <c r="W24" s="466"/>
      <c r="X24" s="64" t="s">
        <v>88</v>
      </c>
      <c r="Y24" s="65" t="s">
        <v>89</v>
      </c>
      <c r="Z24" s="64" t="s">
        <v>83</v>
      </c>
      <c r="AA24" s="64">
        <v>2</v>
      </c>
      <c r="AB24" s="56" t="s">
        <v>169</v>
      </c>
      <c r="AC24" s="56" t="s">
        <v>83</v>
      </c>
      <c r="AD24" s="505"/>
    </row>
    <row r="25" spans="1:30" ht="15" customHeight="1">
      <c r="A25" s="471">
        <f>IF(B25="","",A23+1)</f>
        <v>9</v>
      </c>
      <c r="B25" s="392" t="s">
        <v>170</v>
      </c>
      <c r="C25" s="54">
        <v>32.396000000000001</v>
      </c>
      <c r="D25" s="472">
        <f>TRUNC(C25)+((C25-TRUNC(C25))/0.6)</f>
        <v>32.660000000000004</v>
      </c>
      <c r="E25" s="472">
        <f>TRUNC(C26)+((C26-TRUNC(C26))/0.6)</f>
        <v>132.46833333333333</v>
      </c>
      <c r="F25" s="473">
        <f>ROUND(((LOG10(TAN(PI()/4+(D25/2*PI()/180)))*7915.7046)-(3437.7468*((0.0816968^2*SIN(D25*PI()/180))+(0.0816968^4/3*((SIN(D25*PI()/180))^3))+(0.0816968^6/5*((SIN(D25*PI()/180))^5))))),2)</f>
        <v>2062.86</v>
      </c>
      <c r="G25" s="464"/>
      <c r="H25" s="464">
        <f>IF(E25&lt;0,E25+360,E25)</f>
        <v>132.46833333333333</v>
      </c>
      <c r="I25" s="477"/>
      <c r="J25" s="478"/>
      <c r="K25" s="479"/>
      <c r="L25" s="472"/>
      <c r="M25" s="472"/>
      <c r="N25" s="468"/>
      <c r="O25" s="469"/>
      <c r="P25" s="353"/>
      <c r="Q25" s="465">
        <f>IF(O24="","",Q23+O24)</f>
        <v>96</v>
      </c>
      <c r="R25" s="465">
        <f>IF(O24="","",R23-O24)</f>
        <v>437.10000000000014</v>
      </c>
      <c r="S25" s="61"/>
      <c r="T25" s="61" t="s">
        <v>30</v>
      </c>
      <c r="U25" s="355"/>
      <c r="V25" s="470"/>
      <c r="W25" s="466">
        <f>IF(P24="","",W23+V24)</f>
        <v>43148.971927083323</v>
      </c>
      <c r="X25" s="61" t="s">
        <v>87</v>
      </c>
      <c r="Y25" s="92"/>
      <c r="Z25" s="61"/>
      <c r="AA25" s="61"/>
      <c r="AB25" s="57"/>
      <c r="AC25" s="57"/>
      <c r="AD25" s="504" t="s">
        <v>171</v>
      </c>
    </row>
    <row r="26" spans="1:30" ht="15" customHeight="1">
      <c r="A26" s="471"/>
      <c r="B26" s="392"/>
      <c r="C26" s="55">
        <v>132.28100000000001</v>
      </c>
      <c r="D26" s="472"/>
      <c r="E26" s="472"/>
      <c r="F26" s="473"/>
      <c r="G26" s="464">
        <f>ABS(D25-D27)*60</f>
        <v>0</v>
      </c>
      <c r="H26" s="464"/>
      <c r="I26" s="477">
        <f>ABS(H25-H27)*60</f>
        <v>55.900000000000318</v>
      </c>
      <c r="J26" s="478">
        <f>ABS(F25-F27)</f>
        <v>0</v>
      </c>
      <c r="K26" s="479">
        <f>IF(AND(D25&lt;D27,H25=H27),0,IF(AND(D25&gt;D27,H25=H27),180,IF(AND(D25=D27,H25&lt;H27),90,IF(AND(D25=D27,H25&gt;H27),270,(ATAN(I26/J26)*180/PI())))))</f>
        <v>90</v>
      </c>
      <c r="L26" s="472">
        <f>IF(OR(K26=0,K26=90,K26=180,K26=270),K26,IF(AND(D25&lt;D27,H25&lt;H27),K26,IF(AND(D25&lt;D27,H25&gt;H27),360-K26,IF(AND(D25&gt;D27,H25&lt;H27),180-K26,IF(AND(D25&gt;D27,H25&gt;H27),180+K26)))))</f>
        <v>90</v>
      </c>
      <c r="M26" s="472">
        <f>(IF(I26=0,G26,IF(G26=0,COS(D27*PI()/180)*I26,G26/COS(K26*PI()/180))))</f>
        <v>47.061524427719668</v>
      </c>
      <c r="N26" s="468">
        <f>IF(C28="","",ROUND(L26,1))</f>
        <v>90</v>
      </c>
      <c r="O26" s="469">
        <f>IF(C28="","",ROUND(M26,1))</f>
        <v>47.1</v>
      </c>
      <c r="P26" s="353">
        <v>16</v>
      </c>
      <c r="Q26" s="465"/>
      <c r="R26" s="465"/>
      <c r="S26" s="64" t="s">
        <v>56</v>
      </c>
      <c r="T26" s="64" t="s">
        <v>24</v>
      </c>
      <c r="U26" s="358"/>
      <c r="V26" s="470">
        <f>(O26/P26+U26/60)/24</f>
        <v>0.12265625000000001</v>
      </c>
      <c r="W26" s="466"/>
      <c r="X26" s="64" t="s">
        <v>88</v>
      </c>
      <c r="Y26" s="65" t="s">
        <v>89</v>
      </c>
      <c r="Z26" s="64" t="s">
        <v>83</v>
      </c>
      <c r="AA26" s="64">
        <v>2</v>
      </c>
      <c r="AB26" s="56" t="s">
        <v>169</v>
      </c>
      <c r="AC26" s="56" t="s">
        <v>83</v>
      </c>
      <c r="AD26" s="505"/>
    </row>
    <row r="27" spans="1:30" ht="15" customHeight="1">
      <c r="A27" s="471">
        <f>IF(B27="","",A25+1)</f>
        <v>10</v>
      </c>
      <c r="B27" s="392" t="s">
        <v>172</v>
      </c>
      <c r="C27" s="54">
        <v>32.396000000000001</v>
      </c>
      <c r="D27" s="472">
        <f>TRUNC(C27)+((C27-TRUNC(C27))/0.6)</f>
        <v>32.660000000000004</v>
      </c>
      <c r="E27" s="472">
        <f>TRUNC(C28)+((C28-TRUNC(C28))/0.6)</f>
        <v>133.4</v>
      </c>
      <c r="F27" s="473">
        <f>ROUND(((LOG10(TAN(PI()/4+(D27/2*PI()/180)))*7915.7046)-(3437.7468*((0.0816968^2*SIN(D27*PI()/180))+(0.0816968^4/3*((SIN(D27*PI()/180))^3))+(0.0816968^6/5*((SIN(D27*PI()/180))^5))))),2)</f>
        <v>2062.86</v>
      </c>
      <c r="G27" s="464"/>
      <c r="H27" s="464">
        <f>IF(E27&lt;0,E27+360,E27)</f>
        <v>133.4</v>
      </c>
      <c r="I27" s="477"/>
      <c r="J27" s="478"/>
      <c r="K27" s="479"/>
      <c r="L27" s="472"/>
      <c r="M27" s="472"/>
      <c r="N27" s="468"/>
      <c r="O27" s="469"/>
      <c r="P27" s="353"/>
      <c r="Q27" s="465">
        <f>IF(O26="","",Q25+O26)</f>
        <v>143.1</v>
      </c>
      <c r="R27" s="465">
        <f>IF(O26="","",R25-O26)</f>
        <v>390.00000000000011</v>
      </c>
      <c r="S27" s="61"/>
      <c r="T27" s="61" t="s">
        <v>25</v>
      </c>
      <c r="U27" s="355"/>
      <c r="V27" s="470"/>
      <c r="W27" s="466">
        <f>IF(P26="","",W25+V26)</f>
        <v>43149.094583333324</v>
      </c>
      <c r="X27" s="61" t="s">
        <v>87</v>
      </c>
      <c r="Y27" s="92"/>
      <c r="Z27" s="61"/>
      <c r="AA27" s="61"/>
      <c r="AB27" s="57"/>
      <c r="AC27" s="57"/>
      <c r="AD27" s="504" t="s">
        <v>173</v>
      </c>
    </row>
    <row r="28" spans="1:30" ht="15" customHeight="1">
      <c r="A28" s="471"/>
      <c r="B28" s="392"/>
      <c r="C28" s="55">
        <v>133.24</v>
      </c>
      <c r="D28" s="472"/>
      <c r="E28" s="472"/>
      <c r="F28" s="473"/>
      <c r="G28" s="464">
        <f>ABS(D27-D29)*60</f>
        <v>34.999999999999716</v>
      </c>
      <c r="H28" s="464"/>
      <c r="I28" s="477">
        <f>ABS(H27-H29)*60</f>
        <v>141.400000000001</v>
      </c>
      <c r="J28" s="478">
        <f>ABS(F27-F29)</f>
        <v>41.509999999999764</v>
      </c>
      <c r="K28" s="479">
        <f>IF(AND(D27&lt;D29,H27=H29),0,IF(AND(D27&gt;D29,H27=H29),180,IF(AND(D27=D29,H27&lt;H29),90,IF(AND(D27=D29,H27&gt;H29),270,(ATAN(I28/J28)*180/PI())))))</f>
        <v>73.639641269413175</v>
      </c>
      <c r="L28" s="472">
        <f>IF(OR(K28=0,K28=90,K28=180,K28=270),K28,IF(AND(D27&lt;D29,H27&lt;H29),K28,IF(AND(D27&lt;D29,H27&gt;H29),360-K28,IF(AND(D27&gt;D29,H27&lt;H29),180-K28,IF(AND(D27&gt;D29,H27&gt;H29),180+K28)))))</f>
        <v>73.639641269413175</v>
      </c>
      <c r="M28" s="472">
        <f>(IF(I28=0,G28,IF(G28=0,COS(D29*PI()/180)*I28,G28/COS(K28*PI()/180))))</f>
        <v>124.25550180835174</v>
      </c>
      <c r="N28" s="468">
        <f>IF(C30="","",ROUND(L28,1))</f>
        <v>73.599999999999994</v>
      </c>
      <c r="O28" s="469">
        <f>IF(C30="","",ROUND(M28,1))</f>
        <v>124.3</v>
      </c>
      <c r="P28" s="353">
        <v>16</v>
      </c>
      <c r="Q28" s="465"/>
      <c r="R28" s="465"/>
      <c r="S28" s="64" t="s">
        <v>56</v>
      </c>
      <c r="T28" s="64" t="s">
        <v>23</v>
      </c>
      <c r="U28" s="358"/>
      <c r="V28" s="470">
        <f>(O28/P28+U28/60)/24</f>
        <v>0.32369791666666664</v>
      </c>
      <c r="W28" s="466"/>
      <c r="X28" s="64" t="s">
        <v>88</v>
      </c>
      <c r="Y28" s="65" t="s">
        <v>61</v>
      </c>
      <c r="Z28" s="64" t="s">
        <v>83</v>
      </c>
      <c r="AA28" s="64">
        <v>2</v>
      </c>
      <c r="AB28" s="56">
        <v>996</v>
      </c>
      <c r="AC28" s="56" t="s">
        <v>73</v>
      </c>
      <c r="AD28" s="505"/>
    </row>
    <row r="29" spans="1:30" ht="15" customHeight="1">
      <c r="A29" s="471">
        <f>IF(B29="","",A27+1)</f>
        <v>11</v>
      </c>
      <c r="B29" s="392" t="s">
        <v>174</v>
      </c>
      <c r="C29" s="54">
        <v>33.146000000000001</v>
      </c>
      <c r="D29" s="472">
        <f>TRUNC(C29)+((C29-TRUNC(C29))/0.6)</f>
        <v>33.243333333333332</v>
      </c>
      <c r="E29" s="472">
        <f>TRUNC(C30)+((C30-TRUNC(C30))/0.6)</f>
        <v>135.75666666666669</v>
      </c>
      <c r="F29" s="473">
        <f>ROUND(((LOG10(TAN(PI()/4+(D29/2*PI()/180)))*7915.7046)-(3437.7468*((0.0816968^2*SIN(D29*PI()/180))+(0.0816968^4/3*((SIN(D29*PI()/180))^3))+(0.0816968^6/5*((SIN(D29*PI()/180))^5))))),2)</f>
        <v>2104.37</v>
      </c>
      <c r="G29" s="464"/>
      <c r="H29" s="464">
        <f>IF(E29&lt;0,E29+360,E29)</f>
        <v>135.75666666666669</v>
      </c>
      <c r="I29" s="477"/>
      <c r="J29" s="478"/>
      <c r="K29" s="479"/>
      <c r="L29" s="472"/>
      <c r="M29" s="472"/>
      <c r="N29" s="468"/>
      <c r="O29" s="469"/>
      <c r="P29" s="353"/>
      <c r="Q29" s="465">
        <f>IF(O28="","",Q27+O28)</f>
        <v>267.39999999999998</v>
      </c>
      <c r="R29" s="465">
        <f>IF(O28="","",R27-O28)</f>
        <v>265.7000000000001</v>
      </c>
      <c r="S29" s="61"/>
      <c r="T29" s="61" t="s">
        <v>25</v>
      </c>
      <c r="U29" s="355"/>
      <c r="V29" s="470"/>
      <c r="W29" s="466">
        <f>IF(P28="","",W27+V28)</f>
        <v>43149.418281249993</v>
      </c>
      <c r="X29" s="61" t="s">
        <v>87</v>
      </c>
      <c r="Y29" s="92"/>
      <c r="Z29" s="61"/>
      <c r="AA29" s="61"/>
      <c r="AB29" s="57"/>
      <c r="AC29" s="57"/>
      <c r="AD29" s="504" t="s">
        <v>175</v>
      </c>
    </row>
    <row r="30" spans="1:30" ht="15" customHeight="1">
      <c r="A30" s="471"/>
      <c r="B30" s="392"/>
      <c r="C30" s="55">
        <v>135.45400000000001</v>
      </c>
      <c r="D30" s="472"/>
      <c r="E30" s="472"/>
      <c r="F30" s="473"/>
      <c r="G30" s="464">
        <f>ABS(D29-D31)*60</f>
        <v>66.400000000000148</v>
      </c>
      <c r="H30" s="464"/>
      <c r="I30" s="477">
        <f>ABS(H29-H31)*60</f>
        <v>187.5999999999982</v>
      </c>
      <c r="J30" s="478">
        <f>ABS(F29-F31)</f>
        <v>79.539999999999964</v>
      </c>
      <c r="K30" s="479">
        <f>IF(AND(D29&lt;D31,H29=H31),0,IF(AND(D29&gt;D31,H29=H31),180,IF(AND(D29=D31,H29&lt;H31),90,IF(AND(D29=D31,H29&gt;H31),270,(ATAN(I30/J30)*180/PI())))))</f>
        <v>67.023676799852637</v>
      </c>
      <c r="L30" s="472">
        <f>IF(OR(K30=0,K30=90,K30=180,K30=270),K30,IF(AND(D29&lt;D31,H29&lt;H31),K30,IF(AND(D29&lt;D31,H29&gt;H31),360-K30,IF(AND(D29&gt;D31,H29&lt;H31),180-K30,IF(AND(D29&gt;D31,H29&gt;H31),180+K30)))))</f>
        <v>67.023676799852637</v>
      </c>
      <c r="M30" s="472">
        <f>(IF(I30=0,G30,IF(G30=0,COS(D31*PI()/180)*I30,G30/COS(K30*PI()/180))))</f>
        <v>170.1034447559563</v>
      </c>
      <c r="N30" s="468">
        <f>IF(C32="","",ROUND(L30,1))</f>
        <v>67</v>
      </c>
      <c r="O30" s="469">
        <f>IF(C32="","",ROUND(M30,1))</f>
        <v>170.1</v>
      </c>
      <c r="P30" s="353">
        <v>16</v>
      </c>
      <c r="Q30" s="465"/>
      <c r="R30" s="465"/>
      <c r="S30" s="64" t="s">
        <v>56</v>
      </c>
      <c r="T30" s="64" t="s">
        <v>22</v>
      </c>
      <c r="U30" s="358"/>
      <c r="V30" s="470">
        <f>(O30/P30+U30/60)/24</f>
        <v>0.44296874999999997</v>
      </c>
      <c r="W30" s="466"/>
      <c r="X30" s="64" t="s">
        <v>88</v>
      </c>
      <c r="Y30" s="65" t="s">
        <v>61</v>
      </c>
      <c r="Z30" s="64" t="s">
        <v>83</v>
      </c>
      <c r="AA30" s="64">
        <v>2</v>
      </c>
      <c r="AB30" s="56">
        <v>996</v>
      </c>
      <c r="AC30" s="56" t="s">
        <v>73</v>
      </c>
      <c r="AD30" s="505"/>
    </row>
    <row r="31" spans="1:30" ht="15" customHeight="1">
      <c r="A31" s="471">
        <f>IF(B31="","",A29+1)</f>
        <v>12</v>
      </c>
      <c r="B31" s="392" t="s">
        <v>176</v>
      </c>
      <c r="C31" s="54">
        <v>34.21</v>
      </c>
      <c r="D31" s="472">
        <f>TRUNC(C31)+((C31-TRUNC(C31))/0.6)</f>
        <v>34.35</v>
      </c>
      <c r="E31" s="472">
        <f>TRUNC(C32)+((C32-TRUNC(C32))/0.6)</f>
        <v>138.88333333333333</v>
      </c>
      <c r="F31" s="473">
        <f>ROUND(((LOG10(TAN(PI()/4+(D31/2*PI()/180)))*7915.7046)-(3437.7468*((0.0816968^2*SIN(D31*PI()/180))+(0.0816968^4/3*((SIN(D31*PI()/180))^3))+(0.0816968^6/5*((SIN(D31*PI()/180))^5))))),2)</f>
        <v>2183.91</v>
      </c>
      <c r="G31" s="464"/>
      <c r="H31" s="464">
        <f>IF(E31&lt;0,E31+360,E31)</f>
        <v>138.88333333333333</v>
      </c>
      <c r="I31" s="477"/>
      <c r="J31" s="478"/>
      <c r="K31" s="479"/>
      <c r="L31" s="472"/>
      <c r="M31" s="472"/>
      <c r="N31" s="468"/>
      <c r="O31" s="469"/>
      <c r="P31" s="353"/>
      <c r="Q31" s="465">
        <f>IF(O30="","",Q29+O30)</f>
        <v>437.5</v>
      </c>
      <c r="R31" s="465">
        <f>IF(O30="","",R29-O30)</f>
        <v>95.600000000000108</v>
      </c>
      <c r="S31" s="61"/>
      <c r="T31" s="61" t="s">
        <v>25</v>
      </c>
      <c r="U31" s="355"/>
      <c r="V31" s="470"/>
      <c r="W31" s="466">
        <f>IF(P30="","",W29+V30)</f>
        <v>43149.861249999994</v>
      </c>
      <c r="X31" s="61" t="s">
        <v>87</v>
      </c>
      <c r="Y31" s="92"/>
      <c r="Z31" s="61"/>
      <c r="AA31" s="61"/>
      <c r="AB31" s="57"/>
      <c r="AC31" s="57"/>
      <c r="AD31" s="514" t="s">
        <v>177</v>
      </c>
    </row>
    <row r="32" spans="1:30" ht="15" customHeight="1">
      <c r="A32" s="471"/>
      <c r="B32" s="392"/>
      <c r="C32" s="55">
        <v>138.53</v>
      </c>
      <c r="D32" s="472"/>
      <c r="E32" s="472"/>
      <c r="F32" s="473"/>
      <c r="G32" s="464">
        <f>ABS(D31-D33)*60</f>
        <v>13.000000000000114</v>
      </c>
      <c r="H32" s="464"/>
      <c r="I32" s="477">
        <f>ABS(H31-H33)*60</f>
        <v>22.000000000000455</v>
      </c>
      <c r="J32" s="478">
        <f>ABS(F31-F33)</f>
        <v>15.690000000000055</v>
      </c>
      <c r="K32" s="479">
        <f>IF(AND(D31&lt;D33,H31=H33),0,IF(AND(D31&gt;D33,H31=H33),180,IF(AND(D31=D33,H31&lt;H33),90,IF(AND(D31=D33,H31&gt;H33),270,(ATAN(I32/J32)*180/PI())))))</f>
        <v>54.504224900134794</v>
      </c>
      <c r="L32" s="472">
        <f>IF(OR(K32=0,K32=90,K32=180,K32=270),K32,IF(AND(D31&lt;D33,H31&lt;H33),K32,IF(AND(D31&lt;D33,H31&gt;H33),360-K32,IF(AND(D31&gt;D33,H31&lt;H33),180-K32,IF(AND(D31&gt;D33,H31&gt;H33),180+K32)))))</f>
        <v>54.504224900134794</v>
      </c>
      <c r="M32" s="472">
        <f>(IF(I32=0,G32,IF(G32=0,COS(D33*PI()/180)*I32,G32/COS(K32*PI()/180))))</f>
        <v>22.388975212319941</v>
      </c>
      <c r="N32" s="468">
        <f>IF(C34="","",ROUND(L32,1))</f>
        <v>54.5</v>
      </c>
      <c r="O32" s="469">
        <f>IF(C34="","",ROUND(M32,1))</f>
        <v>22.4</v>
      </c>
      <c r="P32" s="353">
        <v>16</v>
      </c>
      <c r="Q32" s="465"/>
      <c r="R32" s="465"/>
      <c r="S32" s="64" t="s">
        <v>56</v>
      </c>
      <c r="T32" s="64" t="s">
        <v>22</v>
      </c>
      <c r="U32" s="358"/>
      <c r="V32" s="470">
        <f>(O32/P32+U32/60)/24</f>
        <v>5.8333333333333327E-2</v>
      </c>
      <c r="W32" s="466"/>
      <c r="X32" s="64" t="s">
        <v>88</v>
      </c>
      <c r="Y32" s="65" t="s">
        <v>61</v>
      </c>
      <c r="Z32" s="64" t="s">
        <v>83</v>
      </c>
      <c r="AA32" s="64">
        <v>2</v>
      </c>
      <c r="AB32" s="56" t="s">
        <v>63</v>
      </c>
      <c r="AC32" s="56" t="s">
        <v>73</v>
      </c>
      <c r="AD32" s="515"/>
    </row>
    <row r="33" spans="1:30" ht="15" customHeight="1">
      <c r="A33" s="471">
        <f>IF(B33="","",A31+1)</f>
        <v>13</v>
      </c>
      <c r="B33" s="392" t="s">
        <v>178</v>
      </c>
      <c r="C33" s="54">
        <v>34.340000000000003</v>
      </c>
      <c r="D33" s="472">
        <f>TRUNC(C33)+((C33-TRUNC(C33))/0.6)</f>
        <v>34.56666666666667</v>
      </c>
      <c r="E33" s="472">
        <f>TRUNC(C34)+((C34-TRUNC(C34))/0.6)</f>
        <v>139.25</v>
      </c>
      <c r="F33" s="473">
        <f>ROUND(((LOG10(TAN(PI()/4+(D33/2*PI()/180)))*7915.7046)-(3437.7468*((0.0816968^2*SIN(D33*PI()/180))+(0.0816968^4/3*((SIN(D33*PI()/180))^3))+(0.0816968^6/5*((SIN(D33*PI()/180))^5))))),2)</f>
        <v>2199.6</v>
      </c>
      <c r="G33" s="464"/>
      <c r="H33" s="464">
        <f>IF(E33&lt;0,E33+360,E33)</f>
        <v>139.25</v>
      </c>
      <c r="I33" s="477"/>
      <c r="J33" s="478"/>
      <c r="K33" s="479"/>
      <c r="L33" s="472"/>
      <c r="M33" s="472"/>
      <c r="N33" s="468"/>
      <c r="O33" s="469"/>
      <c r="P33" s="353"/>
      <c r="Q33" s="465">
        <f>IF(O32="","",Q31+O32)</f>
        <v>459.9</v>
      </c>
      <c r="R33" s="465">
        <f>IF(O32="","",R31-O32)</f>
        <v>73.200000000000102</v>
      </c>
      <c r="S33" s="61"/>
      <c r="T33" s="61" t="s">
        <v>25</v>
      </c>
      <c r="U33" s="355"/>
      <c r="V33" s="470"/>
      <c r="W33" s="466">
        <f>IF(P32="","",W31+V32)</f>
        <v>43149.919583333329</v>
      </c>
      <c r="X33" s="61" t="s">
        <v>87</v>
      </c>
      <c r="Y33" s="92"/>
      <c r="Z33" s="61"/>
      <c r="AA33" s="61"/>
      <c r="AB33" s="57"/>
      <c r="AC33" s="57"/>
      <c r="AD33" s="504" t="s">
        <v>179</v>
      </c>
    </row>
    <row r="34" spans="1:30" ht="15" customHeight="1">
      <c r="A34" s="471"/>
      <c r="B34" s="392"/>
      <c r="C34" s="55">
        <v>139.15</v>
      </c>
      <c r="D34" s="472"/>
      <c r="E34" s="472"/>
      <c r="F34" s="473"/>
      <c r="G34" s="464">
        <f>ABS(D33-D35)*60</f>
        <v>4.3999999999998352</v>
      </c>
      <c r="H34" s="464"/>
      <c r="I34" s="477">
        <f>ABS(H33-H35)*60</f>
        <v>21.000000000001364</v>
      </c>
      <c r="J34" s="478">
        <f>ABS(F33-F35)</f>
        <v>5.3200000000001637</v>
      </c>
      <c r="K34" s="479">
        <f>IF(AND(D33&lt;D35,H33=H35),0,IF(AND(D33&gt;D35,H33=H35),180,IF(AND(D33=D35,H33&lt;H35),90,IF(AND(D33=D35,H33&gt;H35),270,(ATAN(I34/J34)*180/PI())))))</f>
        <v>75.784146526326921</v>
      </c>
      <c r="L34" s="472">
        <f>IF(OR(K34=0,K34=90,K34=180,K34=270),K34,IF(AND(D33&lt;D35,H33&lt;H35),K34,IF(AND(D33&lt;D35,H33&gt;H35),360-K34,IF(AND(D33&gt;D35,H33&lt;H35),180-K34,IF(AND(D33&gt;D35,H33&gt;H35),180+K34)))))</f>
        <v>75.784146526326921</v>
      </c>
      <c r="M34" s="472">
        <f>(IF(I34=0,G34,IF(G34=0,COS(D35*PI()/180)*I34,G34/COS(K34*PI()/180))))</f>
        <v>17.917088208229945</v>
      </c>
      <c r="N34" s="468">
        <f>IF(C36="","",ROUND(L34,1))</f>
        <v>75.8</v>
      </c>
      <c r="O34" s="469">
        <f>IF(C36="","",ROUND(M34,1))</f>
        <v>17.899999999999999</v>
      </c>
      <c r="P34" s="353">
        <v>16</v>
      </c>
      <c r="Q34" s="465"/>
      <c r="R34" s="465"/>
      <c r="S34" s="64" t="s">
        <v>56</v>
      </c>
      <c r="T34" s="64" t="s">
        <v>27</v>
      </c>
      <c r="U34" s="358"/>
      <c r="V34" s="470">
        <f>(O34/P34+U34/60)/24</f>
        <v>4.6614583333333327E-2</v>
      </c>
      <c r="W34" s="466"/>
      <c r="X34" s="64" t="s">
        <v>88</v>
      </c>
      <c r="Y34" s="65" t="s">
        <v>61</v>
      </c>
      <c r="Z34" s="64" t="s">
        <v>83</v>
      </c>
      <c r="AA34" s="64">
        <v>2</v>
      </c>
      <c r="AB34" s="56" t="s">
        <v>63</v>
      </c>
      <c r="AC34" s="56" t="s">
        <v>73</v>
      </c>
      <c r="AD34" s="505"/>
    </row>
    <row r="35" spans="1:30" ht="15" customHeight="1">
      <c r="A35" s="471">
        <f>IF(B35="","",A33+1)</f>
        <v>14</v>
      </c>
      <c r="B35" s="392" t="s">
        <v>67</v>
      </c>
      <c r="C35" s="54">
        <v>34.384</v>
      </c>
      <c r="D35" s="472">
        <f>TRUNC(C35)+((C35-TRUNC(C35))/0.6)</f>
        <v>34.64</v>
      </c>
      <c r="E35" s="472">
        <f>TRUNC(C36)+((C36-TRUNC(C36))/0.6)</f>
        <v>139.60000000000002</v>
      </c>
      <c r="F35" s="473">
        <f>ROUND(((LOG10(TAN(PI()/4+(D35/2*PI()/180)))*7915.7046)-(3437.7468*((0.0816968^2*SIN(D35*PI()/180))+(0.0816968^4/3*((SIN(D35*PI()/180))^3))+(0.0816968^6/5*((SIN(D35*PI()/180))^5))))),2)</f>
        <v>2204.92</v>
      </c>
      <c r="G35" s="464"/>
      <c r="H35" s="464">
        <f>IF(E35&lt;0,E35+360,E35)</f>
        <v>139.60000000000002</v>
      </c>
      <c r="I35" s="477"/>
      <c r="J35" s="478"/>
      <c r="K35" s="479"/>
      <c r="L35" s="472"/>
      <c r="M35" s="472"/>
      <c r="N35" s="468"/>
      <c r="O35" s="469"/>
      <c r="P35" s="353"/>
      <c r="Q35" s="465">
        <f>IF(O34="","",Q33+O34)</f>
        <v>477.79999999999995</v>
      </c>
      <c r="R35" s="465">
        <f>IF(O34="","",R33-O34)</f>
        <v>55.300000000000104</v>
      </c>
      <c r="S35" s="61"/>
      <c r="T35" s="61" t="s">
        <v>25</v>
      </c>
      <c r="U35" s="355"/>
      <c r="V35" s="470"/>
      <c r="W35" s="466">
        <f>IF(P34="","",W33+V34)</f>
        <v>43149.966197916663</v>
      </c>
      <c r="X35" s="61" t="s">
        <v>87</v>
      </c>
      <c r="Y35" s="92"/>
      <c r="Z35" s="61"/>
      <c r="AA35" s="61"/>
      <c r="AB35" s="57"/>
      <c r="AC35" s="57"/>
      <c r="AD35" s="504" t="s">
        <v>180</v>
      </c>
    </row>
    <row r="36" spans="1:30" ht="15" customHeight="1">
      <c r="A36" s="471"/>
      <c r="B36" s="392"/>
      <c r="C36" s="55">
        <v>139.36000000000001</v>
      </c>
      <c r="D36" s="472"/>
      <c r="E36" s="472"/>
      <c r="F36" s="473"/>
      <c r="G36" s="464">
        <f>ABS(D35-D37)*60</f>
        <v>20.100000000000051</v>
      </c>
      <c r="H36" s="464"/>
      <c r="I36" s="477">
        <f>ABS(H35-H37)*60</f>
        <v>5.9999999999979536</v>
      </c>
      <c r="J36" s="478">
        <f>ABS(F35-F37)</f>
        <v>24.369999999999891</v>
      </c>
      <c r="K36" s="479">
        <f>IF(AND(D35&lt;D37,H35=H37),0,IF(AND(D35&gt;D37,H35=H37),180,IF(AND(D35=D37,H35&lt;H37),90,IF(AND(D35=D37,H35&gt;H37),270,(ATAN(I36/J36)*180/PI())))))</f>
        <v>13.831379261527534</v>
      </c>
      <c r="L36" s="472">
        <f>IF(OR(K36=0,K36=90,K36=180,K36=270),K36,IF(AND(D35&lt;D37,H35&lt;H37),K36,IF(AND(D35&lt;D37,H35&gt;H37),360-K36,IF(AND(D35&gt;D37,H35&lt;H37),180-K36,IF(AND(D35&gt;D37,H35&gt;H37),180+K36)))))</f>
        <v>13.831379261527534</v>
      </c>
      <c r="M36" s="472">
        <f>(IF(I36=0,G36,IF(G36=0,COS(D37*PI()/180)*I36,G36/COS(K36*PI()/180))))</f>
        <v>20.700234423785137</v>
      </c>
      <c r="N36" s="468">
        <f>IF(C38="","",ROUND(L36,1))</f>
        <v>13.8</v>
      </c>
      <c r="O36" s="469">
        <f>IF(C38="","",ROUND(M36,1))</f>
        <v>20.7</v>
      </c>
      <c r="P36" s="353">
        <v>16</v>
      </c>
      <c r="Q36" s="465"/>
      <c r="R36" s="465"/>
      <c r="S36" s="64" t="s">
        <v>56</v>
      </c>
      <c r="T36" s="64" t="s">
        <v>27</v>
      </c>
      <c r="U36" s="358"/>
      <c r="V36" s="470">
        <f>(O36/P36+U36/60)/24</f>
        <v>5.3906249999999996E-2</v>
      </c>
      <c r="W36" s="466"/>
      <c r="X36" s="64" t="s">
        <v>88</v>
      </c>
      <c r="Y36" s="65" t="s">
        <v>61</v>
      </c>
      <c r="Z36" s="64" t="s">
        <v>83</v>
      </c>
      <c r="AA36" s="64">
        <v>2</v>
      </c>
      <c r="AB36" s="56" t="s">
        <v>64</v>
      </c>
      <c r="AC36" s="56" t="s">
        <v>73</v>
      </c>
      <c r="AD36" s="505"/>
    </row>
    <row r="37" spans="1:30" ht="15" customHeight="1">
      <c r="A37" s="471">
        <f>IF(B37="","",A35+1)</f>
        <v>15</v>
      </c>
      <c r="B37" s="392" t="s">
        <v>78</v>
      </c>
      <c r="C37" s="54">
        <v>34.585000000000001</v>
      </c>
      <c r="D37" s="472">
        <f>TRUNC(C37)+((C37-TRUNC(C37))/0.6)</f>
        <v>34.975000000000001</v>
      </c>
      <c r="E37" s="472">
        <f>TRUNC(C38)+((C38-TRUNC(C38))/0.6)</f>
        <v>139.69999999999999</v>
      </c>
      <c r="F37" s="473">
        <f>ROUND(((LOG10(TAN(PI()/4+(D37/2*PI()/180)))*7915.7046)-(3437.7468*((0.0816968^2*SIN(D37*PI()/180))+(0.0816968^4/3*((SIN(D37*PI()/180))^3))+(0.0816968^6/5*((SIN(D37*PI()/180))^5))))),2)</f>
        <v>2229.29</v>
      </c>
      <c r="G37" s="464"/>
      <c r="H37" s="464">
        <f>IF(E37&lt;0,E37+360,E37)</f>
        <v>139.69999999999999</v>
      </c>
      <c r="I37" s="477"/>
      <c r="J37" s="478"/>
      <c r="K37" s="479"/>
      <c r="L37" s="472"/>
      <c r="M37" s="472"/>
      <c r="N37" s="468"/>
      <c r="O37" s="469"/>
      <c r="P37" s="353"/>
      <c r="Q37" s="465">
        <f>IF(O36="","",Q35+O36)</f>
        <v>498.49999999999994</v>
      </c>
      <c r="R37" s="465">
        <f>IF(O36="","",R35-O36)</f>
        <v>34.600000000000108</v>
      </c>
      <c r="S37" s="61"/>
      <c r="T37" s="61" t="s">
        <v>26</v>
      </c>
      <c r="U37" s="355"/>
      <c r="V37" s="470"/>
      <c r="W37" s="466">
        <f>IF(P36="","",W35+V36)</f>
        <v>43150.020104166666</v>
      </c>
      <c r="X37" s="61" t="s">
        <v>87</v>
      </c>
      <c r="Y37" s="92"/>
      <c r="Z37" s="61"/>
      <c r="AA37" s="61"/>
      <c r="AB37" s="57"/>
      <c r="AC37" s="57"/>
      <c r="AD37" s="504" t="s">
        <v>181</v>
      </c>
    </row>
    <row r="38" spans="1:30" ht="15" customHeight="1">
      <c r="A38" s="471"/>
      <c r="B38" s="392"/>
      <c r="C38" s="55">
        <v>139.41999999999999</v>
      </c>
      <c r="D38" s="472"/>
      <c r="E38" s="472"/>
      <c r="F38" s="473"/>
      <c r="G38" s="464">
        <f>ABS(D37-D39)*60</f>
        <v>11.799999999999926</v>
      </c>
      <c r="H38" s="464"/>
      <c r="I38" s="477">
        <f>ABS(H37-H39)*60</f>
        <v>4.799999999999045</v>
      </c>
      <c r="J38" s="478">
        <f>ABS(F37-F39)</f>
        <v>14.360000000000127</v>
      </c>
      <c r="K38" s="479">
        <f>IF(AND(D37&lt;D39,H37=H39),0,IF(AND(D37&gt;D39,H37=H39),180,IF(AND(D37=D39,H37&lt;H39),90,IF(AND(D37=D39,H37&gt;H39),270,(ATAN(I38/J38)*180/PI())))))</f>
        <v>18.482814960081015</v>
      </c>
      <c r="L38" s="472">
        <f>IF(OR(K38=0,K38=90,K38=180,K38=270),K38,IF(AND(D37&lt;D39,H37&lt;H39),K38,IF(AND(D37&lt;D39,H37&gt;H39),360-K38,IF(AND(D37&gt;D39,H37&lt;H39),180-K38,IF(AND(D37&gt;D39,H37&gt;H39),180+K38)))))</f>
        <v>18.482814960081015</v>
      </c>
      <c r="M38" s="472">
        <f>(IF(I38=0,G38,IF(G38=0,COS(D39*PI()/180)*I38,G38/COS(K38*PI()/180))))</f>
        <v>12.441761177059222</v>
      </c>
      <c r="N38" s="468">
        <f>IF(C40="","",ROUND(L38,1))</f>
        <v>18.5</v>
      </c>
      <c r="O38" s="469">
        <f>IF(C40="","",ROUND(M38,1))</f>
        <v>12.4</v>
      </c>
      <c r="P38" s="353">
        <v>12</v>
      </c>
      <c r="Q38" s="465"/>
      <c r="R38" s="465"/>
      <c r="S38" s="64" t="s">
        <v>56</v>
      </c>
      <c r="T38" s="64" t="s">
        <v>29</v>
      </c>
      <c r="U38" s="358"/>
      <c r="V38" s="470">
        <f>(O38/P38+U38/60)/24</f>
        <v>4.3055555555555562E-2</v>
      </c>
      <c r="W38" s="466"/>
      <c r="X38" s="64" t="s">
        <v>88</v>
      </c>
      <c r="Y38" s="65" t="s">
        <v>61</v>
      </c>
      <c r="Z38" s="64" t="s">
        <v>83</v>
      </c>
      <c r="AA38" s="64">
        <v>2</v>
      </c>
      <c r="AB38" s="56" t="s">
        <v>64</v>
      </c>
      <c r="AC38" s="56" t="s">
        <v>83</v>
      </c>
      <c r="AD38" s="505"/>
    </row>
    <row r="39" spans="1:30" ht="15" customHeight="1">
      <c r="A39" s="471">
        <f>IF(B39="","",A37+1)</f>
        <v>16</v>
      </c>
      <c r="B39" s="536" t="s">
        <v>151</v>
      </c>
      <c r="C39" s="74">
        <v>35.103000000000002</v>
      </c>
      <c r="D39" s="472">
        <f>TRUNC(C39)+((C39-TRUNC(C39))/0.6)</f>
        <v>35.171666666666667</v>
      </c>
      <c r="E39" s="472">
        <f>TRUNC(C40)+((C40-TRUNC(C40))/0.6)</f>
        <v>139.77999999999997</v>
      </c>
      <c r="F39" s="473">
        <f>ROUND(((LOG10(TAN(PI()/4+(D39/2*PI()/180)))*7915.7046)-(3437.7468*((0.0816968^2*SIN(D39*PI()/180))+(0.0816968^4/3*((SIN(D39*PI()/180))^3))+(0.0816968^6/5*((SIN(D39*PI()/180))^5))))),2)</f>
        <v>2243.65</v>
      </c>
      <c r="G39" s="464"/>
      <c r="H39" s="464">
        <f>IF(E39&lt;0,E39+360,E39)</f>
        <v>139.77999999999997</v>
      </c>
      <c r="I39" s="477"/>
      <c r="J39" s="478"/>
      <c r="K39" s="479"/>
      <c r="L39" s="472"/>
      <c r="M39" s="472"/>
      <c r="N39" s="468"/>
      <c r="O39" s="469"/>
      <c r="P39" s="353"/>
      <c r="Q39" s="513">
        <f>IF(O38="","",Q37+O38)</f>
        <v>510.89999999999992</v>
      </c>
      <c r="R39" s="513">
        <f>IF(O38="","",R37-O38)</f>
        <v>22.200000000000109</v>
      </c>
      <c r="S39" s="61"/>
      <c r="T39" s="61" t="s">
        <v>26</v>
      </c>
      <c r="U39" s="355"/>
      <c r="V39" s="470"/>
      <c r="W39" s="466">
        <f>IF(P38="","",W37+V38)</f>
        <v>43150.063159722224</v>
      </c>
      <c r="X39" s="61" t="s">
        <v>87</v>
      </c>
      <c r="Y39" s="92"/>
      <c r="Z39" s="61"/>
      <c r="AA39" s="61"/>
      <c r="AB39" s="57"/>
      <c r="AC39" s="57"/>
      <c r="AD39" s="504" t="s">
        <v>182</v>
      </c>
    </row>
    <row r="40" spans="1:30" ht="15" customHeight="1">
      <c r="A40" s="471"/>
      <c r="B40" s="537"/>
      <c r="C40" s="75">
        <v>139.46799999999999</v>
      </c>
      <c r="D40" s="472"/>
      <c r="E40" s="472"/>
      <c r="F40" s="473"/>
      <c r="G40" s="464">
        <f>ABS(D39-D41)*60</f>
        <v>2.4000000000003752</v>
      </c>
      <c r="H40" s="464"/>
      <c r="I40" s="477">
        <f>ABS(H39-H41)*60</f>
        <v>0.10000000000161435</v>
      </c>
      <c r="J40" s="478">
        <f>ABS(F39-F41)</f>
        <v>2.9200000000000728</v>
      </c>
      <c r="K40" s="479">
        <f>IF(AND(D39&lt;D41,H39=H41),0,IF(AND(D39&gt;D41,H39=H41),180,IF(AND(D39=D41,H39&lt;H41),90,IF(AND(D39=D41,H39&gt;H41),270,(ATAN(I40/J40)*180/PI())))))</f>
        <v>1.9614176678019311</v>
      </c>
      <c r="L40" s="472">
        <f>IF(OR(K40=0,K40=90,K40=180,K40=270),K40,IF(AND(D39&lt;D41,H39&lt;H41),K40,IF(AND(D39&lt;D41,H39&gt;H41),360-K40,IF(AND(D39&gt;D41,H39&lt;H41),180-K40,IF(AND(D39&gt;D41,H39&gt;H41),180+K40)))))</f>
        <v>1.9614176678019311</v>
      </c>
      <c r="M40" s="472">
        <f>(IF(I40=0,G40,IF(G40=0,COS(D41*PI()/180)*I40,G40/COS(K40*PI()/180))))</f>
        <v>2.4014069810918555</v>
      </c>
      <c r="N40" s="468">
        <f>IF(C42="","",ROUND(L40,1))</f>
        <v>2</v>
      </c>
      <c r="O40" s="469">
        <f>IF(C42="","",ROUND(M40,1))</f>
        <v>2.4</v>
      </c>
      <c r="P40" s="353">
        <v>12</v>
      </c>
      <c r="Q40" s="513"/>
      <c r="R40" s="513"/>
      <c r="S40" s="64" t="s">
        <v>56</v>
      </c>
      <c r="T40" s="64" t="s">
        <v>29</v>
      </c>
      <c r="U40" s="358"/>
      <c r="V40" s="470">
        <f>(O40/P40+U40/60)/24</f>
        <v>8.3333333333333332E-3</v>
      </c>
      <c r="W40" s="466"/>
      <c r="X40" s="64" t="s">
        <v>88</v>
      </c>
      <c r="Y40" s="65" t="s">
        <v>89</v>
      </c>
      <c r="Z40" s="64" t="s">
        <v>32</v>
      </c>
      <c r="AA40" s="64">
        <v>3</v>
      </c>
      <c r="AB40" s="56" t="s">
        <v>64</v>
      </c>
      <c r="AC40" s="56" t="s">
        <v>83</v>
      </c>
      <c r="AD40" s="505"/>
    </row>
    <row r="41" spans="1:30" ht="15" customHeight="1">
      <c r="A41" s="471">
        <f>IF(B41="","",A39+1)</f>
        <v>17</v>
      </c>
      <c r="B41" s="348" t="s">
        <v>183</v>
      </c>
      <c r="C41" s="54">
        <v>35.127000000000002</v>
      </c>
      <c r="D41" s="472">
        <f>TRUNC(C41)+((C41-TRUNC(C41))/0.6)</f>
        <v>35.211666666666673</v>
      </c>
      <c r="E41" s="472">
        <f>TRUNC(C42)+((C42-TRUNC(C42))/0.6)</f>
        <v>139.78166666666667</v>
      </c>
      <c r="F41" s="473">
        <f>ROUND(((LOG10(TAN(PI()/4+(D41/2*PI()/180)))*7915.7046)-(3437.7468*((0.0816968^2*SIN(D41*PI()/180))+(0.0816968^4/3*((SIN(D41*PI()/180))^3))+(0.0816968^6/5*((SIN(D41*PI()/180))^5))))),2)</f>
        <v>2246.5700000000002</v>
      </c>
      <c r="G41" s="464"/>
      <c r="H41" s="464">
        <f>IF(E41&lt;0,E41+360,E41)</f>
        <v>139.78166666666667</v>
      </c>
      <c r="I41" s="477"/>
      <c r="J41" s="478"/>
      <c r="K41" s="479"/>
      <c r="L41" s="472"/>
      <c r="M41" s="472"/>
      <c r="N41" s="468"/>
      <c r="O41" s="469"/>
      <c r="P41" s="353"/>
      <c r="Q41" s="465">
        <f>IF(O40="","",Q39+O40)</f>
        <v>513.29999999999995</v>
      </c>
      <c r="R41" s="465">
        <f>IF(O40="","",R39-O40)</f>
        <v>19.800000000000111</v>
      </c>
      <c r="S41" s="61"/>
      <c r="T41" s="61" t="s">
        <v>25</v>
      </c>
      <c r="U41" s="355"/>
      <c r="V41" s="470"/>
      <c r="W41" s="466">
        <f>IF(P40="","",W39+V40)</f>
        <v>43150.071493055555</v>
      </c>
      <c r="X41" s="61" t="s">
        <v>87</v>
      </c>
      <c r="Y41" s="92"/>
      <c r="Z41" s="61"/>
      <c r="AA41" s="61"/>
      <c r="AB41" s="57"/>
      <c r="AC41" s="57"/>
      <c r="AD41" s="504" t="s">
        <v>184</v>
      </c>
    </row>
    <row r="42" spans="1:30" ht="15" customHeight="1">
      <c r="A42" s="471"/>
      <c r="B42" s="349"/>
      <c r="C42" s="55">
        <v>139.46899999999999</v>
      </c>
      <c r="D42" s="472"/>
      <c r="E42" s="472"/>
      <c r="F42" s="473"/>
      <c r="G42" s="464">
        <f>ABS(D41-D43)*60</f>
        <v>2.6599999999992008</v>
      </c>
      <c r="H42" s="464"/>
      <c r="I42" s="477">
        <f>ABS(H41-H43)*60</f>
        <v>0</v>
      </c>
      <c r="J42" s="478">
        <f>ABS(F41-F43)</f>
        <v>3.2399999999997817</v>
      </c>
      <c r="K42" s="479">
        <f>IF(AND(D41&lt;D43,H41=H43),0,IF(AND(D41&gt;D43,H41=H43),180,IF(AND(D41=D43,H41&lt;H43),90,IF(AND(D41=D43,H41&gt;H43),270,(ATAN(I42/J42)*180/PI())))))</f>
        <v>0</v>
      </c>
      <c r="L42" s="472">
        <f>IF(OR(K42=0,K42=90,K42=180,K42=270),K42,IF(AND(D41&lt;D43,H41&lt;H43),K42,IF(AND(D41&lt;D43,H41&gt;H43),360-K42,IF(AND(D41&gt;D43,H41&lt;H43),180-K42,IF(AND(D41&gt;D43,H41&gt;H43),180+K42)))))</f>
        <v>0</v>
      </c>
      <c r="M42" s="472">
        <f>(IF(I42=0,G42,IF(G42=0,COS(D43*PI()/180)*I42,G42/COS(K42*PI()/180))))</f>
        <v>2.6599999999992008</v>
      </c>
      <c r="N42" s="468">
        <f>IF(C44="","",ROUND(L42,1))</f>
        <v>0</v>
      </c>
      <c r="O42" s="469">
        <f>IF(C44="","",ROUND(M42,1))</f>
        <v>2.7</v>
      </c>
      <c r="P42" s="353">
        <v>12</v>
      </c>
      <c r="Q42" s="465"/>
      <c r="R42" s="465"/>
      <c r="S42" s="64" t="s">
        <v>56</v>
      </c>
      <c r="T42" s="64" t="s">
        <v>27</v>
      </c>
      <c r="U42" s="358"/>
      <c r="V42" s="470">
        <f>(O42/P42+U42/60)/24</f>
        <v>9.3749999999999997E-3</v>
      </c>
      <c r="W42" s="466"/>
      <c r="X42" s="64" t="s">
        <v>88</v>
      </c>
      <c r="Y42" s="65" t="s">
        <v>89</v>
      </c>
      <c r="Z42" s="64" t="s">
        <v>32</v>
      </c>
      <c r="AA42" s="64">
        <v>3</v>
      </c>
      <c r="AB42" s="56" t="s">
        <v>64</v>
      </c>
      <c r="AC42" s="56" t="s">
        <v>83</v>
      </c>
      <c r="AD42" s="505"/>
    </row>
    <row r="43" spans="1:30" ht="15" customHeight="1">
      <c r="A43" s="471">
        <f t="shared" ref="A43" si="0">IF(B43="","",A41+1)</f>
        <v>18</v>
      </c>
      <c r="B43" s="348" t="s">
        <v>185</v>
      </c>
      <c r="C43" s="54">
        <v>35.153599999999997</v>
      </c>
      <c r="D43" s="472">
        <f>TRUNC(C43)+((C43-TRUNC(C43))/0.6)</f>
        <v>35.255999999999993</v>
      </c>
      <c r="E43" s="472">
        <f>TRUNC(C44)+((C44-TRUNC(C44))/0.6)</f>
        <v>139.78166666666667</v>
      </c>
      <c r="F43" s="473">
        <f>ROUND(((LOG10(TAN(PI()/4+(D43/2*PI()/180)))*7915.7046)-(3437.7468*((0.0816968^2*SIN(D43*PI()/180))+(0.0816968^4/3*((SIN(D43*PI()/180))^3))+(0.0816968^6/5*((SIN(D43*PI()/180))^5))))),2)</f>
        <v>2249.81</v>
      </c>
      <c r="G43" s="464"/>
      <c r="H43" s="464">
        <f>IF(E43&lt;0,E43+360,E43)</f>
        <v>139.78166666666667</v>
      </c>
      <c r="I43" s="477"/>
      <c r="J43" s="478"/>
      <c r="K43" s="479"/>
      <c r="L43" s="472"/>
      <c r="M43" s="472"/>
      <c r="N43" s="468"/>
      <c r="O43" s="469"/>
      <c r="P43" s="353"/>
      <c r="Q43" s="465">
        <f>IF(O42="","",Q41+O42)</f>
        <v>516</v>
      </c>
      <c r="R43" s="465">
        <f>IF(O42="","",R41-O42)</f>
        <v>17.100000000000112</v>
      </c>
      <c r="S43" s="61"/>
      <c r="T43" s="61" t="s">
        <v>25</v>
      </c>
      <c r="U43" s="355"/>
      <c r="V43" s="470"/>
      <c r="W43" s="466">
        <f>IF(P42="","",W41+V42)</f>
        <v>43150.080868055556</v>
      </c>
      <c r="X43" s="61" t="s">
        <v>87</v>
      </c>
      <c r="Y43" s="92"/>
      <c r="Z43" s="61"/>
      <c r="AA43" s="61"/>
      <c r="AB43" s="57" t="s">
        <v>65</v>
      </c>
      <c r="AC43" s="57"/>
      <c r="AD43" s="506" t="s">
        <v>84</v>
      </c>
    </row>
    <row r="44" spans="1:30" ht="15" customHeight="1">
      <c r="A44" s="471"/>
      <c r="B44" s="349"/>
      <c r="C44" s="55">
        <v>139.46899999999999</v>
      </c>
      <c r="D44" s="472"/>
      <c r="E44" s="472"/>
      <c r="F44" s="473"/>
      <c r="G44" s="464">
        <f>ABS(D43-D45)*60</f>
        <v>3.3400000000000318</v>
      </c>
      <c r="H44" s="464"/>
      <c r="I44" s="477">
        <f>ABS(H43-H45)*60</f>
        <v>2.9000000000007731</v>
      </c>
      <c r="J44" s="478">
        <f>ABS(F43-F45)</f>
        <v>4.0799999999999272</v>
      </c>
      <c r="K44" s="479">
        <f>IF(AND(D43&lt;D45,H43=H45),0,IF(AND(D43&gt;D45,H43=H45),180,IF(AND(D43=D45,H43&lt;H45),90,IF(AND(D43=D45,H43&gt;H45),270,(ATAN(I44/J44)*180/PI())))))</f>
        <v>35.404617697904982</v>
      </c>
      <c r="L44" s="472">
        <f>IF(OR(K44=0,K44=90,K44=180,K44=270),K44,IF(AND(D43&lt;D45,H43&lt;H45),K44,IF(AND(D43&lt;D45,H43&gt;H45),360-K44,IF(AND(D43&gt;D45,H43&lt;H45),180-K44,IF(AND(D43&gt;D45,H43&gt;H45),180+K44)))))</f>
        <v>324.595382302095</v>
      </c>
      <c r="M44" s="472">
        <f>(IF(I44=0,G44,IF(G44=0,COS(D45*PI()/180)*I44,G44/COS(K44*PI()/180))))</f>
        <v>4.0977517126379448</v>
      </c>
      <c r="N44" s="468">
        <f>IF(C46="","",ROUND(L44,1))</f>
        <v>324.60000000000002</v>
      </c>
      <c r="O44" s="469">
        <f>IF(C46="","",ROUND(M44,1))</f>
        <v>4.0999999999999996</v>
      </c>
      <c r="P44" s="353">
        <v>12</v>
      </c>
      <c r="Q44" s="465"/>
      <c r="R44" s="465"/>
      <c r="S44" s="64" t="s">
        <v>56</v>
      </c>
      <c r="T44" s="64" t="s">
        <v>22</v>
      </c>
      <c r="U44" s="358"/>
      <c r="V44" s="470">
        <f>(O44/P44+U44/60)/24</f>
        <v>1.4236111111111109E-2</v>
      </c>
      <c r="W44" s="466"/>
      <c r="X44" s="64" t="s">
        <v>88</v>
      </c>
      <c r="Y44" s="65" t="s">
        <v>89</v>
      </c>
      <c r="Z44" s="64" t="s">
        <v>32</v>
      </c>
      <c r="AA44" s="64">
        <v>3</v>
      </c>
      <c r="AB44" s="56" t="s">
        <v>86</v>
      </c>
      <c r="AC44" s="56" t="s">
        <v>83</v>
      </c>
      <c r="AD44" s="507"/>
    </row>
    <row r="45" spans="1:30" ht="15" customHeight="1">
      <c r="A45" s="471">
        <f t="shared" ref="A45" si="1">IF(B45="","",A43+1)</f>
        <v>19</v>
      </c>
      <c r="B45" s="348" t="s">
        <v>79</v>
      </c>
      <c r="C45" s="54">
        <v>35.186999999999998</v>
      </c>
      <c r="D45" s="472">
        <f>TRUNC(C45)+((C45-TRUNC(C45))/0.6)</f>
        <v>35.31166666666666</v>
      </c>
      <c r="E45" s="472">
        <f>TRUNC(C46)+((C46-TRUNC(C46))/0.6)</f>
        <v>139.73333333333332</v>
      </c>
      <c r="F45" s="473">
        <f>ROUND(((LOG10(TAN(PI()/4+(D45/2*PI()/180)))*7915.7046)-(3437.7468*((0.0816968^2*SIN(D45*PI()/180))+(0.0816968^4/3*((SIN(D45*PI()/180))^3))+(0.0816968^6/5*((SIN(D45*PI()/180))^5))))),2)</f>
        <v>2253.89</v>
      </c>
      <c r="G45" s="464"/>
      <c r="H45" s="464">
        <f>IF(E45&lt;0,E45+360,E45)</f>
        <v>139.73333333333332</v>
      </c>
      <c r="I45" s="477"/>
      <c r="J45" s="478"/>
      <c r="K45" s="479"/>
      <c r="L45" s="472"/>
      <c r="M45" s="472"/>
      <c r="N45" s="468"/>
      <c r="O45" s="469"/>
      <c r="P45" s="353"/>
      <c r="Q45" s="465">
        <f>IF(O44="","",Q43+O44)</f>
        <v>520.1</v>
      </c>
      <c r="R45" s="465">
        <f>IF(O44="","",R43-O44)</f>
        <v>13.000000000000112</v>
      </c>
      <c r="S45" s="61"/>
      <c r="T45" s="61" t="s">
        <v>25</v>
      </c>
      <c r="U45" s="355"/>
      <c r="V45" s="470"/>
      <c r="W45" s="466">
        <f>IF(P44="","",W43+V44)</f>
        <v>43150.09510416667</v>
      </c>
      <c r="X45" s="61" t="s">
        <v>87</v>
      </c>
      <c r="Y45" s="92"/>
      <c r="Z45" s="61"/>
      <c r="AA45" s="61"/>
      <c r="AB45" s="57" t="s">
        <v>65</v>
      </c>
      <c r="AC45" s="57"/>
      <c r="AD45" s="474" t="s">
        <v>148</v>
      </c>
    </row>
    <row r="46" spans="1:30" ht="15" customHeight="1">
      <c r="A46" s="471"/>
      <c r="B46" s="349"/>
      <c r="C46" s="55">
        <v>139.44</v>
      </c>
      <c r="D46" s="472"/>
      <c r="E46" s="472"/>
      <c r="F46" s="473"/>
      <c r="G46" s="464">
        <f>ABS(D45-D47)*60</f>
        <v>2.1000000000002217</v>
      </c>
      <c r="H46" s="464"/>
      <c r="I46" s="477">
        <f>ABS(H45-H47)*60</f>
        <v>0.70000000000106866</v>
      </c>
      <c r="J46" s="478">
        <f>ABS(F45-F47)</f>
        <v>2.5599999999999454</v>
      </c>
      <c r="K46" s="479">
        <f>IF(AND(D45&lt;D47,H45=H47),0,IF(AND(D45&gt;D47,H45=H47),180,IF(AND(D45=D47,H45&lt;H47),90,IF(AND(D45=D47,H45&gt;H47),270,(ATAN(I46/J46)*180/PI())))))</f>
        <v>15.292987686008338</v>
      </c>
      <c r="L46" s="472">
        <f>IF(OR(K46=0,K46=90,K46=180,K46=270),K46,IF(AND(D45&lt;D47,H45&lt;H47),K46,IF(AND(D45&lt;D47,H45&gt;H47),360-K46,IF(AND(D45&gt;D47,H45&lt;H47),180-K46,IF(AND(D45&gt;D47,H45&gt;H47),180+K46)))))</f>
        <v>15.292987686008338</v>
      </c>
      <c r="M46" s="472">
        <f>(IF(I46=0,G46,IF(G46=0,COS(D47*PI()/180)*I46,G46/COS(K46*PI()/180))))</f>
        <v>2.1770914479767689</v>
      </c>
      <c r="N46" s="468">
        <f>IF(C48="","",ROUND(L46,1))</f>
        <v>15.3</v>
      </c>
      <c r="O46" s="469">
        <f>IF(C48="","",ROUND(M46,1))</f>
        <v>2.2000000000000002</v>
      </c>
      <c r="P46" s="353">
        <v>12</v>
      </c>
      <c r="Q46" s="465"/>
      <c r="R46" s="465"/>
      <c r="S46" s="64" t="s">
        <v>56</v>
      </c>
      <c r="T46" s="64" t="s">
        <v>23</v>
      </c>
      <c r="U46" s="358"/>
      <c r="V46" s="470">
        <f>(O46/P46+U46/60)/24</f>
        <v>7.6388888888888895E-3</v>
      </c>
      <c r="W46" s="466"/>
      <c r="X46" s="64" t="s">
        <v>88</v>
      </c>
      <c r="Y46" s="65" t="s">
        <v>89</v>
      </c>
      <c r="Z46" s="64" t="s">
        <v>32</v>
      </c>
      <c r="AA46" s="64">
        <v>3</v>
      </c>
      <c r="AB46" s="56" t="s">
        <v>86</v>
      </c>
      <c r="AC46" s="56" t="s">
        <v>83</v>
      </c>
      <c r="AD46" s="475"/>
    </row>
    <row r="47" spans="1:30" ht="15" customHeight="1">
      <c r="A47" s="471">
        <f t="shared" ref="A47" si="2">IF(B47="","",A45+1)</f>
        <v>20</v>
      </c>
      <c r="B47" s="392" t="s">
        <v>85</v>
      </c>
      <c r="C47" s="54">
        <v>35.207999999999998</v>
      </c>
      <c r="D47" s="472">
        <f>TRUNC(C47)+((C47-TRUNC(C47))/0.6)</f>
        <v>35.346666666666664</v>
      </c>
      <c r="E47" s="472">
        <f>TRUNC(C48)+((C48-TRUNC(C48))/0.6)</f>
        <v>139.745</v>
      </c>
      <c r="F47" s="473">
        <f>ROUND(((LOG10(TAN(PI()/4+(D47/2*PI()/180)))*7915.7046)-(3437.7468*((0.0816968^2*SIN(D47*PI()/180))+(0.0816968^4/3*((SIN(D47*PI()/180))^3))+(0.0816968^6/5*((SIN(D47*PI()/180))^5))))),2)</f>
        <v>2256.4499999999998</v>
      </c>
      <c r="G47" s="464"/>
      <c r="H47" s="464">
        <f>IF(E47&lt;0,E47+360,E47)</f>
        <v>139.745</v>
      </c>
      <c r="I47" s="477"/>
      <c r="J47" s="478"/>
      <c r="K47" s="479"/>
      <c r="L47" s="472"/>
      <c r="M47" s="472"/>
      <c r="N47" s="468"/>
      <c r="O47" s="469"/>
      <c r="P47" s="353"/>
      <c r="Q47" s="465">
        <f>IF(O46="","",Q45+O46)</f>
        <v>522.30000000000007</v>
      </c>
      <c r="R47" s="465">
        <f>IF(O46="","",R45-O46)</f>
        <v>10.800000000000111</v>
      </c>
      <c r="S47" s="61"/>
      <c r="T47" s="61"/>
      <c r="U47" s="355"/>
      <c r="V47" s="470"/>
      <c r="W47" s="466">
        <f>IF(P46="","",W45+V46)</f>
        <v>43150.102743055562</v>
      </c>
      <c r="X47" s="61" t="s">
        <v>87</v>
      </c>
      <c r="Y47" s="92"/>
      <c r="Z47" s="61"/>
      <c r="AA47" s="61"/>
      <c r="AB47" s="57" t="s">
        <v>65</v>
      </c>
      <c r="AC47" s="57"/>
      <c r="AD47" s="475"/>
    </row>
    <row r="48" spans="1:30" ht="15" customHeight="1">
      <c r="A48" s="471"/>
      <c r="B48" s="392"/>
      <c r="C48" s="55">
        <v>139.447</v>
      </c>
      <c r="D48" s="472"/>
      <c r="E48" s="472"/>
      <c r="F48" s="473"/>
      <c r="G48" s="66"/>
      <c r="H48" s="464"/>
      <c r="I48" s="66"/>
      <c r="J48" s="66"/>
      <c r="K48" s="66"/>
      <c r="L48" s="66"/>
      <c r="M48" s="66"/>
      <c r="N48" s="59"/>
      <c r="O48" s="60"/>
      <c r="P48" s="60"/>
      <c r="Q48" s="465"/>
      <c r="R48" s="465"/>
      <c r="S48" s="64">
        <v>17</v>
      </c>
      <c r="T48" s="64"/>
      <c r="U48" s="62"/>
      <c r="V48" s="63"/>
      <c r="W48" s="466"/>
      <c r="X48" s="64" t="s">
        <v>88</v>
      </c>
      <c r="Y48" s="65" t="s">
        <v>89</v>
      </c>
      <c r="Z48" s="64" t="s">
        <v>32</v>
      </c>
      <c r="AA48" s="64">
        <v>3</v>
      </c>
      <c r="AB48" s="56" t="s">
        <v>86</v>
      </c>
      <c r="AC48" s="56" t="s">
        <v>83</v>
      </c>
      <c r="AD48" s="476"/>
    </row>
    <row r="49" spans="1:30" s="1" customFormat="1" ht="0.75" hidden="1" customHeight="1">
      <c r="A49" s="19" t="s">
        <v>8</v>
      </c>
      <c r="B49" s="508" t="s">
        <v>62</v>
      </c>
      <c r="C49" s="48">
        <v>35.03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1" t="s">
        <v>9</v>
      </c>
      <c r="Q49" s="22">
        <f>Q1</f>
        <v>0</v>
      </c>
      <c r="R49" s="23"/>
      <c r="S49" s="23"/>
      <c r="T49" s="21">
        <f>T1</f>
        <v>0</v>
      </c>
      <c r="U49" s="24"/>
      <c r="V49" s="20"/>
      <c r="W49" s="45"/>
      <c r="X49" s="20"/>
      <c r="Y49" s="20"/>
      <c r="Z49" s="20"/>
      <c r="AA49" s="20"/>
      <c r="AB49" s="20"/>
      <c r="AC49" s="51"/>
      <c r="AD49" s="18"/>
    </row>
    <row r="50" spans="1:30" s="1" customFormat="1" ht="13.5" hidden="1" customHeight="1">
      <c r="B50" s="509"/>
      <c r="C50" s="49">
        <v>136.51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6"/>
      <c r="P50" s="27" t="s">
        <v>10</v>
      </c>
      <c r="Q50" s="28">
        <f>Q2</f>
        <v>0</v>
      </c>
      <c r="R50" s="29"/>
      <c r="S50" s="30"/>
      <c r="T50" s="21">
        <f>T2</f>
        <v>0</v>
      </c>
      <c r="U50" s="31"/>
      <c r="V50" s="32"/>
      <c r="W50" s="46"/>
      <c r="X50" s="33"/>
      <c r="Y50" s="33"/>
      <c r="Z50" s="33"/>
      <c r="AA50" s="33"/>
      <c r="AB50" s="33"/>
      <c r="AC50" s="33"/>
      <c r="AD50" s="26"/>
    </row>
    <row r="51" spans="1:30" s="1" customFormat="1" ht="49.5" hidden="1" customHeight="1">
      <c r="A51" s="34" t="str">
        <f>A3</f>
        <v>DATE :  17 FEB. 2019</v>
      </c>
      <c r="B51" s="34"/>
      <c r="C51" s="3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5"/>
      <c r="O51" s="36"/>
      <c r="P51" s="36"/>
      <c r="Q51" s="37"/>
      <c r="R51" s="37"/>
      <c r="S51" s="20"/>
      <c r="T51" s="20"/>
      <c r="U51" s="24"/>
      <c r="V51" s="38"/>
      <c r="W51" s="45"/>
      <c r="X51" s="20"/>
      <c r="Y51" s="20"/>
      <c r="Z51" s="20"/>
      <c r="AA51" s="20"/>
      <c r="AB51" s="20"/>
      <c r="AC51" s="20"/>
      <c r="AD51" s="1" t="str">
        <f>AD3</f>
        <v>AVE.SPD.16.00 KTS</v>
      </c>
    </row>
    <row r="52" spans="1:30" s="1" customFormat="1" ht="48" customHeight="1">
      <c r="A52" s="510" t="s">
        <v>51</v>
      </c>
      <c r="B52" s="510"/>
      <c r="C52" s="510"/>
      <c r="D52" s="510"/>
      <c r="E52" s="510"/>
      <c r="F52" s="510"/>
      <c r="G52" s="510"/>
      <c r="H52" s="510"/>
      <c r="I52" s="510"/>
      <c r="J52" s="510"/>
      <c r="K52" s="510"/>
      <c r="L52" s="510"/>
      <c r="M52" s="510"/>
      <c r="N52" s="510"/>
      <c r="O52" s="510"/>
      <c r="P52" s="510"/>
      <c r="Q52" s="510"/>
      <c r="R52" s="510"/>
      <c r="S52" s="510"/>
      <c r="T52" s="510"/>
      <c r="U52" s="510"/>
      <c r="V52" s="510"/>
      <c r="W52" s="510"/>
      <c r="X52" s="510"/>
      <c r="Y52" s="510"/>
      <c r="Z52" s="510"/>
      <c r="AA52" s="510"/>
      <c r="AB52" s="510"/>
      <c r="AC52" s="510"/>
      <c r="AD52" s="510"/>
    </row>
    <row r="53" spans="1:30" ht="26.25" customHeight="1">
      <c r="A53" s="510"/>
      <c r="B53" s="510"/>
      <c r="C53" s="510"/>
      <c r="D53" s="510"/>
      <c r="E53" s="510"/>
      <c r="F53" s="510"/>
      <c r="G53" s="510"/>
      <c r="H53" s="510"/>
      <c r="I53" s="510"/>
      <c r="J53" s="510"/>
      <c r="K53" s="510"/>
      <c r="L53" s="510"/>
      <c r="M53" s="510"/>
      <c r="N53" s="510"/>
      <c r="O53" s="510"/>
      <c r="P53" s="510"/>
      <c r="Q53" s="510"/>
      <c r="R53" s="510"/>
      <c r="S53" s="510"/>
      <c r="T53" s="510"/>
      <c r="U53" s="510"/>
      <c r="V53" s="510"/>
      <c r="W53" s="510"/>
      <c r="X53" s="510"/>
      <c r="Y53" s="510"/>
      <c r="Z53" s="510"/>
      <c r="AA53" s="510"/>
      <c r="AB53" s="510"/>
      <c r="AC53" s="510"/>
      <c r="AD53" s="510"/>
    </row>
    <row r="54" spans="1:30" ht="14.1" customHeight="1">
      <c r="A54" s="490" t="s">
        <v>11</v>
      </c>
      <c r="B54" s="493" t="s">
        <v>12</v>
      </c>
      <c r="C54" s="49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499" t="s">
        <v>4</v>
      </c>
      <c r="O54" s="500" t="s">
        <v>5</v>
      </c>
      <c r="P54" s="500" t="s">
        <v>13</v>
      </c>
      <c r="Q54" s="484" t="s">
        <v>14</v>
      </c>
      <c r="R54" s="484" t="s">
        <v>6</v>
      </c>
      <c r="S54" s="76" t="s">
        <v>52</v>
      </c>
      <c r="T54" s="82" t="s">
        <v>33</v>
      </c>
      <c r="U54" s="485" t="s">
        <v>15</v>
      </c>
      <c r="V54" s="12"/>
      <c r="W54" s="486" t="s">
        <v>16</v>
      </c>
      <c r="X54" s="82" t="s">
        <v>34</v>
      </c>
      <c r="Y54" s="82" t="s">
        <v>33</v>
      </c>
      <c r="Z54" s="82" t="s">
        <v>35</v>
      </c>
      <c r="AA54" s="82" t="s">
        <v>36</v>
      </c>
      <c r="AB54" s="487" t="s">
        <v>37</v>
      </c>
      <c r="AC54" s="82" t="s">
        <v>58</v>
      </c>
      <c r="AD54" s="533" t="s">
        <v>38</v>
      </c>
    </row>
    <row r="55" spans="1:30" s="89" customFormat="1" ht="14.1" customHeight="1">
      <c r="A55" s="491"/>
      <c r="B55" s="495"/>
      <c r="C55" s="496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499"/>
      <c r="O55" s="500"/>
      <c r="P55" s="500"/>
      <c r="Q55" s="484"/>
      <c r="R55" s="484"/>
      <c r="S55" s="77" t="s">
        <v>53</v>
      </c>
      <c r="T55" s="83" t="s">
        <v>39</v>
      </c>
      <c r="U55" s="485"/>
      <c r="V55" s="12"/>
      <c r="W55" s="486"/>
      <c r="X55" s="83" t="s">
        <v>40</v>
      </c>
      <c r="Y55" s="83" t="s">
        <v>41</v>
      </c>
      <c r="Z55" s="83" t="s">
        <v>42</v>
      </c>
      <c r="AA55" s="83" t="s">
        <v>43</v>
      </c>
      <c r="AB55" s="488"/>
      <c r="AC55" s="83" t="s">
        <v>59</v>
      </c>
      <c r="AD55" s="534"/>
    </row>
    <row r="56" spans="1:30" ht="14.1" customHeight="1">
      <c r="A56" s="491"/>
      <c r="B56" s="495"/>
      <c r="C56" s="496"/>
      <c r="D56" s="14" t="s">
        <v>17</v>
      </c>
      <c r="E56" s="14" t="s">
        <v>18</v>
      </c>
      <c r="F56" s="15" t="s">
        <v>0</v>
      </c>
      <c r="G56" s="15" t="s">
        <v>1</v>
      </c>
      <c r="H56" s="85" t="s">
        <v>19</v>
      </c>
      <c r="I56" s="16" t="s">
        <v>2</v>
      </c>
      <c r="J56" s="15" t="s">
        <v>3</v>
      </c>
      <c r="K56" s="85"/>
      <c r="L56" s="15" t="s">
        <v>20</v>
      </c>
      <c r="M56" s="15" t="s">
        <v>21</v>
      </c>
      <c r="N56" s="499"/>
      <c r="O56" s="500"/>
      <c r="P56" s="500"/>
      <c r="Q56" s="484"/>
      <c r="R56" s="484"/>
      <c r="S56" s="77" t="s">
        <v>54</v>
      </c>
      <c r="T56" s="83" t="s">
        <v>44</v>
      </c>
      <c r="U56" s="485"/>
      <c r="V56" s="12"/>
      <c r="W56" s="486"/>
      <c r="X56" s="83" t="s">
        <v>44</v>
      </c>
      <c r="Y56" s="83" t="s">
        <v>45</v>
      </c>
      <c r="Z56" s="83" t="s">
        <v>46</v>
      </c>
      <c r="AA56" s="83" t="s">
        <v>72</v>
      </c>
      <c r="AB56" s="488"/>
      <c r="AC56" s="83" t="s">
        <v>73</v>
      </c>
      <c r="AD56" s="534"/>
    </row>
    <row r="57" spans="1:30" ht="14.1" customHeight="1">
      <c r="A57" s="492"/>
      <c r="B57" s="497"/>
      <c r="C57" s="498"/>
      <c r="D57" s="11"/>
      <c r="E57" s="11"/>
      <c r="F57" s="17"/>
      <c r="G57" s="17"/>
      <c r="H57" s="17"/>
      <c r="I57" s="86"/>
      <c r="J57" s="17"/>
      <c r="K57" s="17"/>
      <c r="L57" s="17"/>
      <c r="M57" s="17"/>
      <c r="N57" s="499"/>
      <c r="O57" s="500"/>
      <c r="P57" s="500"/>
      <c r="Q57" s="484"/>
      <c r="R57" s="484"/>
      <c r="S57" s="78" t="s">
        <v>55</v>
      </c>
      <c r="T57" s="84" t="s">
        <v>47</v>
      </c>
      <c r="U57" s="485"/>
      <c r="V57" s="12"/>
      <c r="W57" s="486"/>
      <c r="X57" s="84" t="s">
        <v>47</v>
      </c>
      <c r="Y57" s="84" t="s">
        <v>48</v>
      </c>
      <c r="Z57" s="84" t="s">
        <v>49</v>
      </c>
      <c r="AA57" s="84"/>
      <c r="AB57" s="489"/>
      <c r="AC57" s="84" t="s">
        <v>60</v>
      </c>
      <c r="AD57" s="535"/>
    </row>
    <row r="58" spans="1:30" ht="15" customHeight="1">
      <c r="A58" s="471">
        <v>20</v>
      </c>
      <c r="B58" s="348" t="s">
        <v>85</v>
      </c>
      <c r="C58" s="54">
        <v>35.207999999999998</v>
      </c>
      <c r="D58" s="472">
        <f>TRUNC(C58)+((C58-TRUNC(C58))/0.6)</f>
        <v>35.346666666666664</v>
      </c>
      <c r="E58" s="472">
        <f>TRUNC(C59)+((C59-TRUNC(C59))/0.6)</f>
        <v>139.745</v>
      </c>
      <c r="F58" s="473">
        <f>ROUND(((LOG10(TAN(PI()/4+(D58/2*PI()/180)))*7915.7046)-(3437.7468*((0.0816968^2*SIN(D58*PI()/180))+(0.0816968^4/3*((SIN(D58*PI()/180))^3))+(0.0816968^6/5*((SIN(D58*PI()/180))^5))))),2)</f>
        <v>2256.4499999999998</v>
      </c>
      <c r="G58" s="58"/>
      <c r="H58" s="464">
        <f>IF(E58&lt;0,E58+360,E58)</f>
        <v>139.745</v>
      </c>
      <c r="I58" s="88"/>
      <c r="J58" s="58"/>
      <c r="K58" s="58"/>
      <c r="L58" s="58"/>
      <c r="M58" s="58"/>
      <c r="N58" s="59"/>
      <c r="O58" s="60"/>
      <c r="P58" s="60"/>
      <c r="Q58" s="465">
        <v>522.30000000000007</v>
      </c>
      <c r="R58" s="465">
        <v>10.800000000000111</v>
      </c>
      <c r="S58" s="61"/>
      <c r="T58" s="61" t="s">
        <v>7</v>
      </c>
      <c r="U58" s="62"/>
      <c r="V58" s="63"/>
      <c r="W58" s="482">
        <v>43150.102743055562</v>
      </c>
      <c r="X58" s="61" t="s">
        <v>87</v>
      </c>
      <c r="Y58" s="92"/>
      <c r="Z58" s="61"/>
      <c r="AA58" s="61"/>
      <c r="AB58" s="57" t="s">
        <v>65</v>
      </c>
      <c r="AC58" s="68"/>
      <c r="AD58" s="532" t="s">
        <v>96</v>
      </c>
    </row>
    <row r="59" spans="1:30" ht="15" customHeight="1">
      <c r="A59" s="471"/>
      <c r="B59" s="349"/>
      <c r="C59" s="55">
        <v>139.447</v>
      </c>
      <c r="D59" s="472"/>
      <c r="E59" s="472"/>
      <c r="F59" s="473"/>
      <c r="G59" s="464">
        <f>ABS(D58-D60)*60</f>
        <v>3.7199999999998568</v>
      </c>
      <c r="H59" s="464"/>
      <c r="I59" s="477">
        <f>ABS(H58-H60)*60</f>
        <v>1.7499999999984084</v>
      </c>
      <c r="J59" s="478">
        <f>ABS(F58-F60)</f>
        <v>4.5399999999999636</v>
      </c>
      <c r="K59" s="479">
        <f>IF(AND(D58&lt;D60,H58=H60),0,IF(AND(D58&gt;D60,H58=H60),180,IF(AND(D58=D60,H58&lt;H60),90,IF(AND(D58=D60,H58&gt;H60),270,(ATAN(I59/J59)*180/PI())))))</f>
        <v>21.079783246975296</v>
      </c>
      <c r="L59" s="472">
        <f>IF(OR(K59=0,K59=90,K59=180,K59=270),K59,IF(AND(D58&lt;D60,H58&lt;H60),K59,IF(AND(D58&lt;D60,H58&gt;H60),360-K59,IF(AND(D58&gt;D60,H58&lt;H60),180-K59,IF(AND(D58&gt;D60,H58&gt;H60),180+K59)))))</f>
        <v>21.079783246975296</v>
      </c>
      <c r="M59" s="472">
        <f>(IF(I59=0,G59,IF(G59=0,COS(D60*PI()/180)*I59,G59/COS(K59*PI()/180))))</f>
        <v>3.9867942745745721</v>
      </c>
      <c r="N59" s="468">
        <f>IF(C61="","",ROUND(L59,1))</f>
        <v>21.1</v>
      </c>
      <c r="O59" s="469">
        <f>IF(C61="","",ROUND(M59,1))</f>
        <v>4</v>
      </c>
      <c r="P59" s="353">
        <v>12</v>
      </c>
      <c r="Q59" s="465"/>
      <c r="R59" s="465"/>
      <c r="S59" s="64">
        <v>17</v>
      </c>
      <c r="T59" s="64" t="s">
        <v>23</v>
      </c>
      <c r="U59" s="358"/>
      <c r="V59" s="470">
        <f>(O59/P59+U59/60)/24</f>
        <v>1.3888888888888888E-2</v>
      </c>
      <c r="W59" s="482"/>
      <c r="X59" s="64" t="s">
        <v>88</v>
      </c>
      <c r="Y59" s="65" t="s">
        <v>89</v>
      </c>
      <c r="Z59" s="64" t="s">
        <v>32</v>
      </c>
      <c r="AA59" s="64">
        <v>3</v>
      </c>
      <c r="AB59" s="56" t="s">
        <v>86</v>
      </c>
      <c r="AC59" s="69" t="s">
        <v>83</v>
      </c>
      <c r="AD59" s="505"/>
    </row>
    <row r="60" spans="1:30" ht="15" customHeight="1">
      <c r="A60" s="471">
        <f>IF(B60="","",A58+1)</f>
        <v>21</v>
      </c>
      <c r="B60" s="348" t="s">
        <v>80</v>
      </c>
      <c r="C60" s="54">
        <v>35.245199999999997</v>
      </c>
      <c r="D60" s="472">
        <f>TRUNC(C60)+((C60-TRUNC(C60))/0.6)</f>
        <v>35.408666666666662</v>
      </c>
      <c r="E60" s="472">
        <f>TRUNC(C61)+((C61-TRUNC(C61))/0.6)</f>
        <v>139.77416666666664</v>
      </c>
      <c r="F60" s="473">
        <f>ROUND(((LOG10(TAN(PI()/4+(D60/2*PI()/180)))*7915.7046)-(3437.7468*((0.0816968^2*SIN(D60*PI()/180))+(0.0816968^4/3*((SIN(D60*PI()/180))^3))+(0.0816968^6/5*((SIN(D60*PI()/180))^5))))),2)</f>
        <v>2260.9899999999998</v>
      </c>
      <c r="G60" s="464"/>
      <c r="H60" s="464">
        <f>IF(E60&lt;0,E60+360,E60)</f>
        <v>139.77416666666664</v>
      </c>
      <c r="I60" s="477"/>
      <c r="J60" s="478"/>
      <c r="K60" s="479"/>
      <c r="L60" s="472"/>
      <c r="M60" s="472"/>
      <c r="N60" s="468"/>
      <c r="O60" s="469"/>
      <c r="P60" s="353"/>
      <c r="Q60" s="465">
        <f>IF(O59="","",Q58+O59)</f>
        <v>526.30000000000007</v>
      </c>
      <c r="R60" s="465">
        <f>IF(O59="","",R58-O59)</f>
        <v>6.8000000000001108</v>
      </c>
      <c r="S60" s="61"/>
      <c r="T60" s="61" t="s">
        <v>7</v>
      </c>
      <c r="U60" s="355"/>
      <c r="V60" s="470"/>
      <c r="W60" s="466">
        <f>IF(P59="","",W58+V59)</f>
        <v>43150.116631944453</v>
      </c>
      <c r="X60" s="61" t="s">
        <v>87</v>
      </c>
      <c r="Y60" s="92"/>
      <c r="Z60" s="61"/>
      <c r="AA60" s="61"/>
      <c r="AB60" s="57"/>
      <c r="AC60" s="68"/>
      <c r="AD60" s="503" t="s">
        <v>186</v>
      </c>
    </row>
    <row r="61" spans="1:30" ht="15" customHeight="1">
      <c r="A61" s="471"/>
      <c r="B61" s="349"/>
      <c r="C61" s="55">
        <v>139.46449999999999</v>
      </c>
      <c r="D61" s="472"/>
      <c r="E61" s="472"/>
      <c r="F61" s="473"/>
      <c r="G61" s="464">
        <f>ABS(D60-D62)*60</f>
        <v>2.1800000000007458</v>
      </c>
      <c r="H61" s="464"/>
      <c r="I61" s="477">
        <f>ABS(H60-H62)*60</f>
        <v>1.1499999999989541</v>
      </c>
      <c r="J61" s="478">
        <f>ABS(F60-F62)</f>
        <v>2.6600000000003092</v>
      </c>
      <c r="K61" s="479">
        <f>IF(AND(D60&lt;D62,H60=H62),0,IF(AND(D60&gt;D62,H60=H62),180,IF(AND(D60=D62,H60&lt;H62),90,IF(AND(D60=D62,H60&gt;H62),270,(ATAN(I61/J61)*180/PI())))))</f>
        <v>23.380316436461897</v>
      </c>
      <c r="L61" s="472">
        <f>IF(OR(K61=0,K61=90,K61=180,K61=270),K61,IF(AND(D60&lt;D62,H60&lt;H62),K61,IF(AND(D60&lt;D62,H60&gt;H62),360-K61,IF(AND(D60&gt;D62,H60&lt;H62),180-K61,IF(AND(D60&gt;D62,H60&gt;H62),180+K61)))))</f>
        <v>336.6196835635381</v>
      </c>
      <c r="M61" s="472">
        <f>(IF(I61=0,G61,IF(G61=0,COS(D62*PI()/180)*I61,G61/COS(K61*PI()/180))))</f>
        <v>2.3750096458803145</v>
      </c>
      <c r="N61" s="468">
        <f>IF(C63="","",ROUND(L61,1))</f>
        <v>336.6</v>
      </c>
      <c r="O61" s="469">
        <f>IF(C63="","",ROUND(M61,1))</f>
        <v>2.4</v>
      </c>
      <c r="P61" s="353">
        <v>12</v>
      </c>
      <c r="Q61" s="465"/>
      <c r="R61" s="465"/>
      <c r="S61" s="64" t="s">
        <v>56</v>
      </c>
      <c r="T61" s="64" t="s">
        <v>23</v>
      </c>
      <c r="U61" s="358"/>
      <c r="V61" s="470">
        <f>(O61/P61+U61/60)/24</f>
        <v>8.3333333333333332E-3</v>
      </c>
      <c r="W61" s="466"/>
      <c r="X61" s="64" t="s">
        <v>88</v>
      </c>
      <c r="Y61" s="65" t="s">
        <v>89</v>
      </c>
      <c r="Z61" s="64" t="s">
        <v>32</v>
      </c>
      <c r="AA61" s="64">
        <v>3</v>
      </c>
      <c r="AB61" s="56" t="s">
        <v>86</v>
      </c>
      <c r="AC61" s="69" t="s">
        <v>83</v>
      </c>
      <c r="AD61" s="503"/>
    </row>
    <row r="62" spans="1:30" ht="15" customHeight="1">
      <c r="A62" s="471">
        <f>IF(B62="","",A60+1)</f>
        <v>22</v>
      </c>
      <c r="B62" s="518" t="s">
        <v>103</v>
      </c>
      <c r="C62" s="74">
        <v>35.267000000000003</v>
      </c>
      <c r="D62" s="472">
        <f>TRUNC(C62)+((C62-TRUNC(C62))/0.6)</f>
        <v>35.445000000000007</v>
      </c>
      <c r="E62" s="472">
        <f>TRUNC(C63)+((C63-TRUNC(C63))/0.6)</f>
        <v>139.755</v>
      </c>
      <c r="F62" s="473">
        <f>ROUND(((LOG10(TAN(PI()/4+(D62/2*PI()/180)))*7915.7046)-(3437.7468*((0.0816968^2*SIN(D62*PI()/180))+(0.0816968^4/3*((SIN(D62*PI()/180))^3))+(0.0816968^6/5*((SIN(D62*PI()/180))^5))))),2)</f>
        <v>2263.65</v>
      </c>
      <c r="G62" s="464"/>
      <c r="H62" s="464">
        <f>IF(E62&lt;0,E62+360,E62)</f>
        <v>139.755</v>
      </c>
      <c r="I62" s="477"/>
      <c r="J62" s="478"/>
      <c r="K62" s="479"/>
      <c r="L62" s="472"/>
      <c r="M62" s="472"/>
      <c r="N62" s="468"/>
      <c r="O62" s="469"/>
      <c r="P62" s="353"/>
      <c r="Q62" s="513">
        <f>IF(O61="","",Q60+O61)</f>
        <v>528.70000000000005</v>
      </c>
      <c r="R62" s="513">
        <f>IF(O61="","",R60-O61)</f>
        <v>4.4000000000001105</v>
      </c>
      <c r="S62" s="61"/>
      <c r="T62" s="61" t="s">
        <v>7</v>
      </c>
      <c r="U62" s="355"/>
      <c r="V62" s="470"/>
      <c r="W62" s="466">
        <f>IF(P61="","",W60+V61)</f>
        <v>43150.124965277784</v>
      </c>
      <c r="X62" s="61" t="s">
        <v>87</v>
      </c>
      <c r="Y62" s="92"/>
      <c r="Z62" s="61"/>
      <c r="AA62" s="61"/>
      <c r="AB62" s="57"/>
      <c r="AC62" s="68"/>
      <c r="AD62" s="503" t="s">
        <v>187</v>
      </c>
    </row>
    <row r="63" spans="1:30" ht="15" customHeight="1">
      <c r="A63" s="471"/>
      <c r="B63" s="518"/>
      <c r="C63" s="75">
        <v>139.453</v>
      </c>
      <c r="D63" s="472"/>
      <c r="E63" s="472"/>
      <c r="F63" s="473"/>
      <c r="G63" s="464">
        <f>ABS(D62-D64)*60</f>
        <v>0.45000000000001705</v>
      </c>
      <c r="H63" s="464"/>
      <c r="I63" s="477">
        <f>ABS(H62-H64)*60</f>
        <v>2.3999999999995225</v>
      </c>
      <c r="J63" s="478">
        <f>ABS(F62-F64)</f>
        <v>0.54999999999972715</v>
      </c>
      <c r="K63" s="479">
        <f>IF(AND(D62&lt;D64,H62=H64),0,IF(AND(D62&gt;D64,H62=H64),180,IF(AND(D62=D64,H62&lt;H64),90,IF(AND(D62=D64,H62&gt;H64),270,(ATAN(I63/J63)*180/PI())))))</f>
        <v>77.092591328737882</v>
      </c>
      <c r="L63" s="472">
        <f>IF(OR(K63=0,K63=90,K63=180,K63=270),K63,IF(AND(D62&lt;D64,H62&lt;H64),K63,IF(AND(D62&lt;D64,H62&gt;H64),360-K63,IF(AND(D62&gt;D64,H62&lt;H64),180-K63,IF(AND(D62&gt;D64,H62&gt;H64),180+K63)))))</f>
        <v>282.90740867126215</v>
      </c>
      <c r="M63" s="472">
        <f>(IF(I63=0,G63,IF(G63=0,COS(D64*PI()/180)*I63,G63/COS(K63*PI()/180))))</f>
        <v>2.0145390958225762</v>
      </c>
      <c r="N63" s="468">
        <f>IF(C65="","",ROUND(L63,1))</f>
        <v>282.89999999999998</v>
      </c>
      <c r="O63" s="469">
        <f>IF(C65="","",ROUND(M63,1))</f>
        <v>2</v>
      </c>
      <c r="P63" s="353">
        <v>12</v>
      </c>
      <c r="Q63" s="513"/>
      <c r="R63" s="513"/>
      <c r="S63" s="64">
        <v>16</v>
      </c>
      <c r="T63" s="64" t="s">
        <v>23</v>
      </c>
      <c r="U63" s="358"/>
      <c r="V63" s="470">
        <f>(O63/P63+U63/60)/24</f>
        <v>6.9444444444444441E-3</v>
      </c>
      <c r="W63" s="466"/>
      <c r="X63" s="64" t="s">
        <v>88</v>
      </c>
      <c r="Y63" s="65" t="s">
        <v>89</v>
      </c>
      <c r="Z63" s="64" t="s">
        <v>32</v>
      </c>
      <c r="AA63" s="64">
        <v>3</v>
      </c>
      <c r="AB63" s="56" t="s">
        <v>86</v>
      </c>
      <c r="AC63" s="69" t="s">
        <v>83</v>
      </c>
      <c r="AD63" s="503"/>
    </row>
    <row r="64" spans="1:30" ht="15" customHeight="1">
      <c r="A64" s="471">
        <f>IF(B64="","",A62+1)</f>
        <v>23</v>
      </c>
      <c r="B64" s="392" t="s">
        <v>188</v>
      </c>
      <c r="C64" s="54">
        <v>35.271500000000003</v>
      </c>
      <c r="D64" s="472">
        <f>TRUNC(C64)+((C64-TRUNC(C64))/0.6)</f>
        <v>35.452500000000008</v>
      </c>
      <c r="E64" s="472">
        <f>TRUNC(C65)+((C65-TRUNC(C65))/0.6)</f>
        <v>139.715</v>
      </c>
      <c r="F64" s="473">
        <f>ROUND(((LOG10(TAN(PI()/4+(D64/2*PI()/180)))*7915.7046)-(3437.7468*((0.0816968^2*SIN(D64*PI()/180))+(0.0816968^4/3*((SIN(D64*PI()/180))^3))+(0.0816968^6/5*((SIN(D64*PI()/180))^5))))),2)</f>
        <v>2264.1999999999998</v>
      </c>
      <c r="G64" s="464"/>
      <c r="H64" s="464">
        <f>IF(E64&lt;0,E64+360,E64)</f>
        <v>139.715</v>
      </c>
      <c r="I64" s="477"/>
      <c r="J64" s="478"/>
      <c r="K64" s="479"/>
      <c r="L64" s="472"/>
      <c r="M64" s="472"/>
      <c r="N64" s="468"/>
      <c r="O64" s="469"/>
      <c r="P64" s="353"/>
      <c r="Q64" s="465">
        <f>IF(O63="","",Q62+O63)</f>
        <v>530.70000000000005</v>
      </c>
      <c r="R64" s="465">
        <f>IF(O63="","",R62-O63)</f>
        <v>2.4000000000001105</v>
      </c>
      <c r="S64" s="61"/>
      <c r="T64" s="61" t="s">
        <v>7</v>
      </c>
      <c r="U64" s="355"/>
      <c r="V64" s="470"/>
      <c r="W64" s="466">
        <f>IF(P63="","",W62+V63)</f>
        <v>43150.131909722229</v>
      </c>
      <c r="X64" s="61" t="s">
        <v>87</v>
      </c>
      <c r="Y64" s="92"/>
      <c r="Z64" s="61"/>
      <c r="AA64" s="61"/>
      <c r="AB64" s="57"/>
      <c r="AC64" s="68"/>
      <c r="AD64" s="504" t="s">
        <v>95</v>
      </c>
    </row>
    <row r="65" spans="1:30" ht="15" customHeight="1">
      <c r="A65" s="471"/>
      <c r="B65" s="392"/>
      <c r="C65" s="55">
        <v>139.429</v>
      </c>
      <c r="D65" s="472"/>
      <c r="E65" s="472"/>
      <c r="F65" s="473"/>
      <c r="G65" s="464">
        <f>ABS(D64-D66)*60</f>
        <v>0.34999999999925535</v>
      </c>
      <c r="H65" s="464"/>
      <c r="I65" s="477">
        <f>ABS(H64-H66)*60</f>
        <v>0.37000000000034561</v>
      </c>
      <c r="J65" s="478">
        <f>ABS(F64-F66)</f>
        <v>0.43000000000029104</v>
      </c>
      <c r="K65" s="479">
        <f>IF(AND(D64&lt;D66,H64=H66),0,IF(AND(D64&gt;D66,H64=H66),180,IF(AND(D64=D66,H64&lt;H66),90,IF(AND(D64=D66,H64&gt;H66),270,(ATAN(I65/J65)*180/PI())))))</f>
        <v>40.710846671188264</v>
      </c>
      <c r="L65" s="472">
        <f>IF(OR(K65=0,K65=90,K65=180,K65=270),K65,IF(AND(D64&lt;D66,H64&lt;H66),K65,IF(AND(D64&lt;D66,H64&gt;H66),360-K65,IF(AND(D64&gt;D66,H64&lt;H66),180-K65,IF(AND(D64&gt;D66,H64&gt;H66),180+K65)))))</f>
        <v>319.28915332881172</v>
      </c>
      <c r="M65" s="472">
        <f>(IF(I65=0,G65,IF(G65=0,COS(D66*PI()/180)*I65,G65/COS(K65*PI()/180))))</f>
        <v>0.46173480104920694</v>
      </c>
      <c r="N65" s="468">
        <f>IF(C67="","",ROUND(L65,1))</f>
        <v>319.3</v>
      </c>
      <c r="O65" s="469">
        <f>IF(C67="","",ROUND(M65,1))</f>
        <v>0.5</v>
      </c>
      <c r="P65" s="353">
        <v>12</v>
      </c>
      <c r="Q65" s="465"/>
      <c r="R65" s="465"/>
      <c r="S65" s="64">
        <v>11</v>
      </c>
      <c r="T65" s="64" t="s">
        <v>23</v>
      </c>
      <c r="U65" s="358"/>
      <c r="V65" s="470">
        <f>(O65/P65+U65/60)/24</f>
        <v>1.736111111111111E-3</v>
      </c>
      <c r="W65" s="466"/>
      <c r="X65" s="64" t="s">
        <v>88</v>
      </c>
      <c r="Y65" s="65" t="s">
        <v>89</v>
      </c>
      <c r="Z65" s="64" t="s">
        <v>32</v>
      </c>
      <c r="AA65" s="64">
        <v>3</v>
      </c>
      <c r="AB65" s="56" t="s">
        <v>86</v>
      </c>
      <c r="AC65" s="69" t="s">
        <v>83</v>
      </c>
      <c r="AD65" s="505"/>
    </row>
    <row r="66" spans="1:30" ht="15" customHeight="1">
      <c r="A66" s="471">
        <f>IF(B66="","",A64+1)</f>
        <v>24</v>
      </c>
      <c r="B66" s="348" t="s">
        <v>81</v>
      </c>
      <c r="C66" s="54">
        <v>35.274999999999999</v>
      </c>
      <c r="D66" s="472">
        <f>TRUNC(C66)+((C66-TRUNC(C66))/0.6)</f>
        <v>35.458333333333329</v>
      </c>
      <c r="E66" s="472">
        <f>TRUNC(C67)+((C67-TRUNC(C67))/0.6)</f>
        <v>139.70883333333333</v>
      </c>
      <c r="F66" s="473">
        <f>ROUND(((LOG10(TAN(PI()/4+(D66/2*PI()/180)))*7915.7046)-(3437.7468*((0.0816968^2*SIN(D66*PI()/180))+(0.0816968^4/3*((SIN(D66*PI()/180))^3))+(0.0816968^6/5*((SIN(D66*PI()/180))^5))))),2)</f>
        <v>2264.63</v>
      </c>
      <c r="G66" s="464"/>
      <c r="H66" s="464">
        <f>IF(E66&lt;0,E66+360,E66)</f>
        <v>139.70883333333333</v>
      </c>
      <c r="I66" s="477"/>
      <c r="J66" s="478"/>
      <c r="K66" s="479"/>
      <c r="L66" s="472"/>
      <c r="M66" s="472"/>
      <c r="N66" s="468"/>
      <c r="O66" s="469"/>
      <c r="P66" s="353"/>
      <c r="Q66" s="465">
        <f>IF(O65="","",Q64+O65)</f>
        <v>531.20000000000005</v>
      </c>
      <c r="R66" s="465">
        <f>IF(O65="","",R64-O65)</f>
        <v>1.9000000000001105</v>
      </c>
      <c r="S66" s="61"/>
      <c r="T66" s="61" t="s">
        <v>7</v>
      </c>
      <c r="U66" s="355"/>
      <c r="V66" s="470"/>
      <c r="W66" s="466">
        <f>IF(P65="","",W64+V65)</f>
        <v>43150.133645833339</v>
      </c>
      <c r="X66" s="61" t="s">
        <v>87</v>
      </c>
      <c r="Y66" s="92"/>
      <c r="Z66" s="61"/>
      <c r="AA66" s="61"/>
      <c r="AB66" s="57"/>
      <c r="AC66" s="68"/>
      <c r="AD66" s="504" t="s">
        <v>94</v>
      </c>
    </row>
    <row r="67" spans="1:30" ht="15" customHeight="1">
      <c r="A67" s="471"/>
      <c r="B67" s="349"/>
      <c r="C67" s="55">
        <v>139.42529999999999</v>
      </c>
      <c r="D67" s="472"/>
      <c r="E67" s="472"/>
      <c r="F67" s="473"/>
      <c r="G67" s="464">
        <f>ABS(D66-D68)*60</f>
        <v>1.0300000000000864</v>
      </c>
      <c r="H67" s="464"/>
      <c r="I67" s="477">
        <f>ABS(H66-H68)*60</f>
        <v>0.72999999999865395</v>
      </c>
      <c r="J67" s="478">
        <f>ABS(F66-F68)</f>
        <v>1.2599999999997635</v>
      </c>
      <c r="K67" s="479">
        <f>IF(AND(D66&lt;D68,H66=H68),0,IF(AND(D66&gt;D68,H66=H68),180,IF(AND(D66=D68,H66&lt;H68),90,IF(AND(D66=D68,H66&gt;H68),270,(ATAN(I67/J67)*180/PI())))))</f>
        <v>30.08650455395907</v>
      </c>
      <c r="L67" s="472">
        <f>IF(OR(K67=0,K67=90,K67=180,K67=270),K67,IF(AND(D66&lt;D68,H66&lt;H68),K67,IF(AND(D66&lt;D68,H66&gt;H68),360-K67,IF(AND(D66&gt;D68,H66&lt;H68),180-K67,IF(AND(D66&gt;D68,H66&gt;H68),180+K67)))))</f>
        <v>329.91349544604094</v>
      </c>
      <c r="M67" s="472">
        <f>(IF(I67=0,G67,IF(G67=0,COS(D68*PI()/180)*I67,G67/COS(K67*PI()/180))))</f>
        <v>1.1903805384849393</v>
      </c>
      <c r="N67" s="468">
        <f>IF(C69="","",ROUND(L67,1))</f>
        <v>329.9</v>
      </c>
      <c r="O67" s="469">
        <f>IF(C69="","",ROUND(M67,1))</f>
        <v>1.2</v>
      </c>
      <c r="P67" s="353">
        <v>8</v>
      </c>
      <c r="Q67" s="465"/>
      <c r="R67" s="465"/>
      <c r="S67" s="64">
        <v>11</v>
      </c>
      <c r="T67" s="64" t="s">
        <v>24</v>
      </c>
      <c r="U67" s="358"/>
      <c r="V67" s="470">
        <f>(O67/P67+U67/60)/24</f>
        <v>6.2499999999999995E-3</v>
      </c>
      <c r="W67" s="466"/>
      <c r="X67" s="64" t="s">
        <v>88</v>
      </c>
      <c r="Y67" s="65" t="s">
        <v>89</v>
      </c>
      <c r="Z67" s="64" t="s">
        <v>32</v>
      </c>
      <c r="AA67" s="64">
        <v>3</v>
      </c>
      <c r="AB67" s="56" t="s">
        <v>86</v>
      </c>
      <c r="AC67" s="69" t="s">
        <v>83</v>
      </c>
      <c r="AD67" s="505"/>
    </row>
    <row r="68" spans="1:30" ht="15" customHeight="1">
      <c r="A68" s="471">
        <f>IF(B68="","",A66+1)</f>
        <v>25</v>
      </c>
      <c r="B68" s="348" t="s">
        <v>57</v>
      </c>
      <c r="C68" s="54">
        <v>35.285299999999999</v>
      </c>
      <c r="D68" s="472">
        <f>TRUNC(C68)+((C68-TRUNC(C68))/0.6)</f>
        <v>35.475499999999997</v>
      </c>
      <c r="E68" s="472">
        <f>TRUNC(C69)+((C69-TRUNC(C69))/0.6)</f>
        <v>139.69666666666669</v>
      </c>
      <c r="F68" s="473">
        <f>ROUND(((LOG10(TAN(PI()/4+(D68/2*PI()/180)))*7915.7046)-(3437.7468*((0.0816968^2*SIN(D68*PI()/180))+(0.0816968^4/3*((SIN(D68*PI()/180))^3))+(0.0816968^6/5*((SIN(D68*PI()/180))^5))))),2)</f>
        <v>2265.89</v>
      </c>
      <c r="G68" s="464"/>
      <c r="H68" s="464">
        <f>IF(E68&lt;0,E68+360,E68)</f>
        <v>139.69666666666669</v>
      </c>
      <c r="I68" s="477"/>
      <c r="J68" s="478"/>
      <c r="K68" s="479"/>
      <c r="L68" s="472"/>
      <c r="M68" s="472"/>
      <c r="N68" s="468"/>
      <c r="O68" s="469"/>
      <c r="P68" s="353"/>
      <c r="Q68" s="465">
        <f>IF(O67="","",Q66+O67)</f>
        <v>532.40000000000009</v>
      </c>
      <c r="R68" s="465">
        <f>IF(O67="","",R66-O67)</f>
        <v>0.70000000000011053</v>
      </c>
      <c r="S68" s="61"/>
      <c r="T68" s="61" t="s">
        <v>7</v>
      </c>
      <c r="U68" s="355"/>
      <c r="V68" s="470"/>
      <c r="W68" s="466">
        <f>IF(P67="","",W66+V67)</f>
        <v>43150.139895833338</v>
      </c>
      <c r="X68" s="61" t="s">
        <v>87</v>
      </c>
      <c r="Y68" s="92"/>
      <c r="Z68" s="61"/>
      <c r="AA68" s="61"/>
      <c r="AB68" s="57"/>
      <c r="AC68" s="68"/>
      <c r="AD68" s="504" t="s">
        <v>189</v>
      </c>
    </row>
    <row r="69" spans="1:30" ht="15" customHeight="1">
      <c r="A69" s="471"/>
      <c r="B69" s="349"/>
      <c r="C69" s="55">
        <v>139.41800000000001</v>
      </c>
      <c r="D69" s="472"/>
      <c r="E69" s="472"/>
      <c r="F69" s="473"/>
      <c r="G69" s="464">
        <f>ABS(D68-D70)*60</f>
        <v>0.33000000000029672</v>
      </c>
      <c r="H69" s="464"/>
      <c r="I69" s="477">
        <f>ABS(H68-H70)*60</f>
        <v>0.80000000000097771</v>
      </c>
      <c r="J69" s="478">
        <f>ABS(F68-F70)</f>
        <v>0.40000000000009095</v>
      </c>
      <c r="K69" s="479">
        <f>IF(AND(D68&lt;D70,H68=H70),0,IF(AND(D68&gt;D70,H68=H70),180,IF(AND(D68=D70,H68&lt;H70),90,IF(AND(D68=D70,H68&gt;H70),270,(ATAN(I69/J69)*180/PI())))))</f>
        <v>63.434948822944811</v>
      </c>
      <c r="L69" s="472">
        <f>IF(OR(K69=0,K69=90,K69=180,K69=270),K69,IF(AND(D68&lt;D70,H68&lt;H70),K69,IF(AND(D68&lt;D70,H68&gt;H70),360-K69,IF(AND(D68&gt;D70,H68&lt;H70),180-K69,IF(AND(D68&gt;D70,H68&gt;H70),180+K69)))))</f>
        <v>243.43494882294482</v>
      </c>
      <c r="M69" s="472">
        <f>(IF(I69=0,G69,IF(G69=0,COS(D70*PI()/180)*I69,G69/COS(K69*PI()/180))))</f>
        <v>0.73790243257618127</v>
      </c>
      <c r="N69" s="468">
        <f>IF(C71="","",ROUND(L69,1))</f>
        <v>243.4</v>
      </c>
      <c r="O69" s="469">
        <f>IF(C71="","",ROUND(M69,1))</f>
        <v>0.7</v>
      </c>
      <c r="P69" s="353">
        <v>5</v>
      </c>
      <c r="Q69" s="465"/>
      <c r="R69" s="465"/>
      <c r="S69" s="64">
        <v>5</v>
      </c>
      <c r="T69" s="64" t="s">
        <v>23</v>
      </c>
      <c r="U69" s="358"/>
      <c r="V69" s="470">
        <f>(O69/P69+U69/60)/24</f>
        <v>5.8333333333333327E-3</v>
      </c>
      <c r="W69" s="466"/>
      <c r="X69" s="64" t="s">
        <v>88</v>
      </c>
      <c r="Y69" s="65" t="s">
        <v>89</v>
      </c>
      <c r="Z69" s="64" t="s">
        <v>32</v>
      </c>
      <c r="AA69" s="64">
        <v>3</v>
      </c>
      <c r="AB69" s="56" t="s">
        <v>66</v>
      </c>
      <c r="AC69" s="69" t="s">
        <v>83</v>
      </c>
      <c r="AD69" s="505"/>
    </row>
    <row r="70" spans="1:30" ht="15" customHeight="1">
      <c r="A70" s="471">
        <f>IF(B70="","",A68+1)</f>
        <v>26</v>
      </c>
      <c r="B70" s="308" t="s">
        <v>106</v>
      </c>
      <c r="C70" s="71">
        <v>35.281999999999996</v>
      </c>
      <c r="D70" s="472">
        <f>TRUNC(C70)+((C70-TRUNC(C70))/0.6)</f>
        <v>35.469999999999992</v>
      </c>
      <c r="E70" s="472">
        <f>TRUNC(C71)+((C71-TRUNC(C71))/0.6)</f>
        <v>139.68333333333334</v>
      </c>
      <c r="F70" s="473">
        <f>ROUND(((LOG10(TAN(PI()/4+(D70/2*PI()/180)))*7915.7046)-(3437.7468*((0.0816968^2*SIN(D70*PI()/180))+(0.0816968^4/3*((SIN(D70*PI()/180))^3))+(0.0816968^6/5*((SIN(D70*PI()/180))^5))))),2)</f>
        <v>2265.4899999999998</v>
      </c>
      <c r="G70" s="464"/>
      <c r="H70" s="464">
        <f>IF(E70&lt;0,E70+360,E70)</f>
        <v>139.68333333333334</v>
      </c>
      <c r="I70" s="477"/>
      <c r="J70" s="478"/>
      <c r="K70" s="479"/>
      <c r="L70" s="472"/>
      <c r="M70" s="472"/>
      <c r="N70" s="468"/>
      <c r="O70" s="469"/>
      <c r="P70" s="353"/>
      <c r="Q70" s="501">
        <f>IF(O69="","",Q68+O69)</f>
        <v>533.10000000000014</v>
      </c>
      <c r="R70" s="501">
        <f>IF(O69="","",R68-O69)</f>
        <v>1.1057821325266559E-13</v>
      </c>
      <c r="S70" s="61"/>
      <c r="T70" s="61" t="s">
        <v>25</v>
      </c>
      <c r="U70" s="355"/>
      <c r="V70" s="470"/>
      <c r="W70" s="466">
        <f>IF(P69="","",W68+V69)</f>
        <v>43150.145729166674</v>
      </c>
      <c r="X70" s="61" t="s">
        <v>87</v>
      </c>
      <c r="Y70" s="92"/>
      <c r="Z70" s="61"/>
      <c r="AA70" s="61"/>
      <c r="AB70" s="57"/>
      <c r="AC70" s="68"/>
      <c r="AD70" s="503" t="s">
        <v>90</v>
      </c>
    </row>
    <row r="71" spans="1:30" ht="15" customHeight="1">
      <c r="A71" s="471"/>
      <c r="B71" s="309"/>
      <c r="C71" s="72">
        <v>139.41</v>
      </c>
      <c r="D71" s="472"/>
      <c r="E71" s="472"/>
      <c r="F71" s="473"/>
      <c r="G71" s="464">
        <f>ABS(D70-D72)*60</f>
        <v>2128.1999999999994</v>
      </c>
      <c r="H71" s="464"/>
      <c r="I71" s="477">
        <f>ABS(H70-H72)*60</f>
        <v>8381</v>
      </c>
      <c r="J71" s="478">
        <f>ABS(F70-F72)</f>
        <v>2265.4899999999998</v>
      </c>
      <c r="K71" s="479">
        <f>IF(AND(D70&lt;D72,H70=H72),0,IF(AND(D70&gt;D72,H70=H72),180,IF(AND(D70=D72,H70&lt;H72),90,IF(AND(D70=D72,H70&gt;H72),270,(ATAN(I71/J71)*180/PI())))))</f>
        <v>74.873731867379746</v>
      </c>
      <c r="L71" s="472">
        <f>IF(OR(K71=0,K71=90,K71=180,K71=270),K71,IF(AND(D70&lt;D72,H70&lt;H72),K71,IF(AND(D70&lt;D72,H70&gt;H72),360-K71,IF(AND(D70&gt;D72,H70&lt;H72),180-K71,IF(AND(D70&gt;D72,H70&gt;H72),180+K71)))))</f>
        <v>254.87373186737975</v>
      </c>
      <c r="M71" s="472">
        <f>(IF(I71=0,G71,IF(G71=0,COS(D72*PI()/180)*I71,G71/COS(K71*PI()/180))))</f>
        <v>8155.6754643532759</v>
      </c>
      <c r="N71" s="468" t="str">
        <f>IF(C73="","",ROUND(L71,1))</f>
        <v/>
      </c>
      <c r="O71" s="469" t="str">
        <f>IF(C73="","",ROUND(M71,1))</f>
        <v/>
      </c>
      <c r="P71" s="353"/>
      <c r="Q71" s="501"/>
      <c r="R71" s="501"/>
      <c r="S71" s="64">
        <v>5</v>
      </c>
      <c r="T71" s="64" t="s">
        <v>24</v>
      </c>
      <c r="U71" s="358"/>
      <c r="V71" s="470" t="e">
        <f>(O71/P71+U71/60)/24</f>
        <v>#VALUE!</v>
      </c>
      <c r="W71" s="466"/>
      <c r="X71" s="64" t="s">
        <v>88</v>
      </c>
      <c r="Y71" s="65" t="s">
        <v>89</v>
      </c>
      <c r="Z71" s="64" t="s">
        <v>32</v>
      </c>
      <c r="AA71" s="64">
        <v>3</v>
      </c>
      <c r="AB71" s="56" t="s">
        <v>66</v>
      </c>
      <c r="AC71" s="69" t="s">
        <v>83</v>
      </c>
      <c r="AD71" s="503"/>
    </row>
    <row r="72" spans="1:30" ht="15" customHeight="1">
      <c r="A72" s="471" t="str">
        <f>IF(B72="","",A70+1)</f>
        <v/>
      </c>
      <c r="B72" s="392"/>
      <c r="C72" s="54"/>
      <c r="D72" s="472">
        <f>TRUNC(C72)+((C72-TRUNC(C72))/0.6)</f>
        <v>0</v>
      </c>
      <c r="E72" s="472">
        <f>TRUNC(C73)+((C73-TRUNC(C73))/0.6)</f>
        <v>0</v>
      </c>
      <c r="F72" s="473">
        <f>ROUND(((LOG10(TAN(PI()/4+(D72/2*PI()/180)))*7915.7046)-(3437.7468*((0.0816968^2*SIN(D72*PI()/180))+(0.0816968^4/3*((SIN(D72*PI()/180))^3))+(0.0816968^6/5*((SIN(D72*PI()/180))^5))))),2)</f>
        <v>0</v>
      </c>
      <c r="G72" s="464"/>
      <c r="H72" s="464">
        <f>IF(E72&lt;0,E72+360,E72)</f>
        <v>0</v>
      </c>
      <c r="I72" s="477"/>
      <c r="J72" s="478"/>
      <c r="K72" s="479"/>
      <c r="L72" s="472"/>
      <c r="M72" s="472"/>
      <c r="N72" s="468"/>
      <c r="O72" s="469"/>
      <c r="P72" s="353"/>
      <c r="Q72" s="465" t="str">
        <f>IF(O71="","",Q70+O71)</f>
        <v/>
      </c>
      <c r="R72" s="465" t="str">
        <f>IF(O71="","",R70-O71)</f>
        <v/>
      </c>
      <c r="S72" s="61"/>
      <c r="T72" s="61" t="s">
        <v>25</v>
      </c>
      <c r="U72" s="355"/>
      <c r="V72" s="470"/>
      <c r="W72" s="466" t="str">
        <f>IF(P71="","",W70+V71)</f>
        <v/>
      </c>
      <c r="X72" s="61"/>
      <c r="Y72" s="92"/>
      <c r="Z72" s="61"/>
      <c r="AA72" s="61"/>
      <c r="AB72" s="57"/>
      <c r="AC72" s="68"/>
      <c r="AD72" s="503"/>
    </row>
    <row r="73" spans="1:30" ht="15" customHeight="1">
      <c r="A73" s="471"/>
      <c r="B73" s="392"/>
      <c r="C73" s="55"/>
      <c r="D73" s="472"/>
      <c r="E73" s="472"/>
      <c r="F73" s="473"/>
      <c r="G73" s="464">
        <f>ABS(D72-D74)*60</f>
        <v>0</v>
      </c>
      <c r="H73" s="464"/>
      <c r="I73" s="477">
        <f>ABS(H72-H74)*60</f>
        <v>0</v>
      </c>
      <c r="J73" s="478">
        <f>ABS(F72-F74)</f>
        <v>0</v>
      </c>
      <c r="K73" s="479" t="e">
        <f>IF(AND(D72&lt;D74,H72=H74),0,IF(AND(D72&gt;D74,H72=H74),180,IF(AND(D72=D74,H72&lt;H74),90,IF(AND(D72=D74,H72&gt;H74),270,(ATAN(I73/J73)*180/PI())))))</f>
        <v>#DIV/0!</v>
      </c>
      <c r="L73" s="472" t="e">
        <f>IF(OR(K73=0,K73=90,K73=180,K73=270),K73,IF(AND(D72&lt;D74,H72&lt;H74),K73,IF(AND(D72&lt;D74,H72&gt;H74),360-K73,IF(AND(D72&gt;D74,H72&lt;H74),180-K73,IF(AND(D72&gt;D74,H72&gt;H74),180+K73)))))</f>
        <v>#DIV/0!</v>
      </c>
      <c r="M73" s="472">
        <f>(IF(I73=0,G73,IF(G73=0,COS(D74*PI()/180)*I73,G73/COS(K73*PI()/180))))</f>
        <v>0</v>
      </c>
      <c r="N73" s="468" t="str">
        <f>IF(C75="","",ROUND(L73,1))</f>
        <v/>
      </c>
      <c r="O73" s="469" t="str">
        <f>IF(C75="","",ROUND(M73,1))</f>
        <v/>
      </c>
      <c r="P73" s="353"/>
      <c r="Q73" s="465"/>
      <c r="R73" s="465"/>
      <c r="S73" s="64"/>
      <c r="T73" s="64" t="s">
        <v>24</v>
      </c>
      <c r="U73" s="358"/>
      <c r="V73" s="470" t="e">
        <f>(O73/P73+U73/60)/24</f>
        <v>#VALUE!</v>
      </c>
      <c r="W73" s="466"/>
      <c r="X73" s="64"/>
      <c r="Y73" s="65"/>
      <c r="Z73" s="64"/>
      <c r="AA73" s="64"/>
      <c r="AB73" s="56"/>
      <c r="AC73" s="69"/>
      <c r="AD73" s="503"/>
    </row>
    <row r="74" spans="1:30" ht="15" customHeight="1">
      <c r="A74" s="471" t="str">
        <f>IF(B74="","",A72+1)</f>
        <v/>
      </c>
      <c r="B74" s="392"/>
      <c r="C74" s="54"/>
      <c r="D74" s="472">
        <f>TRUNC(C74)+((C74-TRUNC(C74))/0.6)</f>
        <v>0</v>
      </c>
      <c r="E74" s="472">
        <f>TRUNC(C75)+((C75-TRUNC(C75))/0.6)</f>
        <v>0</v>
      </c>
      <c r="F74" s="473">
        <f>ROUND(((LOG10(TAN(PI()/4+(D74/2*PI()/180)))*7915.7046)-(3437.7468*((0.0816968^2*SIN(D74*PI()/180))+(0.0816968^4/3*((SIN(D74*PI()/180))^3))+(0.0816968^6/5*((SIN(D74*PI()/180))^5))))),2)</f>
        <v>0</v>
      </c>
      <c r="G74" s="464"/>
      <c r="H74" s="464">
        <f>IF(E74&lt;0,E74+360,E74)</f>
        <v>0</v>
      </c>
      <c r="I74" s="477"/>
      <c r="J74" s="478"/>
      <c r="K74" s="479"/>
      <c r="L74" s="472"/>
      <c r="M74" s="472"/>
      <c r="N74" s="468"/>
      <c r="O74" s="469"/>
      <c r="P74" s="353"/>
      <c r="Q74" s="465" t="str">
        <f>IF(O73="","",Q72+O73)</f>
        <v/>
      </c>
      <c r="R74" s="465" t="str">
        <f>IF(O73="","",R72-O73)</f>
        <v/>
      </c>
      <c r="S74" s="61"/>
      <c r="T74" s="61" t="s">
        <v>30</v>
      </c>
      <c r="U74" s="355"/>
      <c r="V74" s="470"/>
      <c r="W74" s="466" t="str">
        <f>IF(P73="","",W72+V73)</f>
        <v/>
      </c>
      <c r="X74" s="61"/>
      <c r="Y74" s="92"/>
      <c r="Z74" s="61"/>
      <c r="AA74" s="61"/>
      <c r="AB74" s="57"/>
      <c r="AC74" s="68"/>
      <c r="AD74" s="503"/>
    </row>
    <row r="75" spans="1:30" ht="15" customHeight="1">
      <c r="A75" s="471"/>
      <c r="B75" s="392"/>
      <c r="C75" s="55"/>
      <c r="D75" s="472"/>
      <c r="E75" s="472"/>
      <c r="F75" s="473"/>
      <c r="G75" s="464">
        <f>ABS(D74-D76)*60</f>
        <v>0</v>
      </c>
      <c r="H75" s="464"/>
      <c r="I75" s="477">
        <f>ABS(H74-H76)*60</f>
        <v>0</v>
      </c>
      <c r="J75" s="478">
        <f>ABS(F74-F76)</f>
        <v>0</v>
      </c>
      <c r="K75" s="479" t="e">
        <f>IF(AND(D74&lt;D76,H74=H76),0,IF(AND(D74&gt;D76,H74=H76),180,IF(AND(D74=D76,H74&lt;H76),90,IF(AND(D74=D76,H74&gt;H76),270,(ATAN(I75/J75)*180/PI())))))</f>
        <v>#DIV/0!</v>
      </c>
      <c r="L75" s="472" t="e">
        <f>IF(OR(K75=0,K75=90,K75=180,K75=270),K75,IF(AND(D74&lt;D76,H74&lt;H76),K75,IF(AND(D74&lt;D76,H74&gt;H76),360-K75,IF(AND(D74&gt;D76,H74&lt;H76),180-K75,IF(AND(D74&gt;D76,H74&gt;H76),180+K75)))))</f>
        <v>#DIV/0!</v>
      </c>
      <c r="M75" s="472">
        <f>(IF(I75=0,G75,IF(G75=0,COS(D76*PI()/180)*I75,G75/COS(K75*PI()/180))))</f>
        <v>0</v>
      </c>
      <c r="N75" s="468" t="str">
        <f>IF(C77="","",ROUND(L75,1))</f>
        <v/>
      </c>
      <c r="O75" s="469" t="str">
        <f>IF(C77="","",ROUND(M75,1))</f>
        <v/>
      </c>
      <c r="P75" s="353"/>
      <c r="Q75" s="465"/>
      <c r="R75" s="465"/>
      <c r="S75" s="64"/>
      <c r="T75" s="64" t="s">
        <v>24</v>
      </c>
      <c r="U75" s="358"/>
      <c r="V75" s="470" t="e">
        <f>(O75/P75+U75/60)/24</f>
        <v>#VALUE!</v>
      </c>
      <c r="W75" s="466"/>
      <c r="X75" s="64"/>
      <c r="Y75" s="65"/>
      <c r="Z75" s="64"/>
      <c r="AA75" s="64"/>
      <c r="AB75" s="56"/>
      <c r="AC75" s="69"/>
      <c r="AD75" s="503"/>
    </row>
    <row r="76" spans="1:30" ht="15" customHeight="1">
      <c r="A76" s="471" t="str">
        <f>IF(B76="","",A74+1)</f>
        <v/>
      </c>
      <c r="B76" s="392"/>
      <c r="C76" s="54"/>
      <c r="D76" s="472">
        <f>TRUNC(C76)+((C76-TRUNC(C76))/0.6)</f>
        <v>0</v>
      </c>
      <c r="E76" s="472">
        <f>TRUNC(C77)+((C77-TRUNC(C77))/0.6)</f>
        <v>0</v>
      </c>
      <c r="F76" s="473">
        <f>ROUND(((LOG10(TAN(PI()/4+(D76/2*PI()/180)))*7915.7046)-(3437.7468*((0.0816968^2*SIN(D76*PI()/180))+(0.0816968^4/3*((SIN(D76*PI()/180))^3))+(0.0816968^6/5*((SIN(D76*PI()/180))^5))))),2)</f>
        <v>0</v>
      </c>
      <c r="G76" s="464"/>
      <c r="H76" s="464">
        <f>IF(E76&lt;0,E76+360,E76)</f>
        <v>0</v>
      </c>
      <c r="I76" s="477"/>
      <c r="J76" s="478"/>
      <c r="K76" s="479"/>
      <c r="L76" s="472"/>
      <c r="M76" s="472"/>
      <c r="N76" s="468"/>
      <c r="O76" s="469"/>
      <c r="P76" s="353"/>
      <c r="Q76" s="465" t="str">
        <f>IF(O75="","",Q74+O75)</f>
        <v/>
      </c>
      <c r="R76" s="465" t="str">
        <f>IF(O75="","",R74-O75)</f>
        <v/>
      </c>
      <c r="S76" s="61"/>
      <c r="T76" s="61" t="s">
        <v>25</v>
      </c>
      <c r="U76" s="355"/>
      <c r="V76" s="470"/>
      <c r="W76" s="466" t="str">
        <f>IF(P75="","",W74+V75)</f>
        <v/>
      </c>
      <c r="X76" s="61"/>
      <c r="Y76" s="92"/>
      <c r="Z76" s="61"/>
      <c r="AA76" s="61"/>
      <c r="AB76" s="57"/>
      <c r="AC76" s="68"/>
      <c r="AD76" s="503"/>
    </row>
    <row r="77" spans="1:30" ht="15" customHeight="1">
      <c r="A77" s="471"/>
      <c r="B77" s="392"/>
      <c r="C77" s="55"/>
      <c r="D77" s="472"/>
      <c r="E77" s="472"/>
      <c r="F77" s="473"/>
      <c r="G77" s="464">
        <f>ABS(D76-D78)*60</f>
        <v>0</v>
      </c>
      <c r="H77" s="464"/>
      <c r="I77" s="477">
        <f>ABS(H76-H78)*60</f>
        <v>0</v>
      </c>
      <c r="J77" s="478">
        <f>ABS(F76-F78)</f>
        <v>0</v>
      </c>
      <c r="K77" s="479" t="e">
        <f>IF(AND(D76&lt;D78,H76=H78),0,IF(AND(D76&gt;D78,H76=H78),180,IF(AND(D76=D78,H76&lt;H78),90,IF(AND(D76=D78,H76&gt;H78),270,(ATAN(I77/J77)*180/PI())))))</f>
        <v>#DIV/0!</v>
      </c>
      <c r="L77" s="472" t="e">
        <f>IF(OR(K77=0,K77=90,K77=180,K77=270),K77,IF(AND(D76&lt;D78,H76&lt;H78),K77,IF(AND(D76&lt;D78,H76&gt;H78),360-K77,IF(AND(D76&gt;D78,H76&lt;H78),180-K77,IF(AND(D76&gt;D78,H76&gt;H78),180+K77)))))</f>
        <v>#DIV/0!</v>
      </c>
      <c r="M77" s="472">
        <f>(IF(I77=0,G77,IF(G77=0,COS(D78*PI()/180)*I77,G77/COS(K77*PI()/180))))</f>
        <v>0</v>
      </c>
      <c r="N77" s="468" t="str">
        <f>IF(C79="","",ROUND(L77,1))</f>
        <v/>
      </c>
      <c r="O77" s="469" t="str">
        <f>IF(C79="","",ROUND(M77,1))</f>
        <v/>
      </c>
      <c r="P77" s="353"/>
      <c r="Q77" s="465"/>
      <c r="R77" s="465"/>
      <c r="S77" s="64"/>
      <c r="T77" s="64" t="s">
        <v>23</v>
      </c>
      <c r="U77" s="358"/>
      <c r="V77" s="470" t="e">
        <f>(O77/P77+U77/60)/24</f>
        <v>#VALUE!</v>
      </c>
      <c r="W77" s="466"/>
      <c r="X77" s="64"/>
      <c r="Y77" s="65"/>
      <c r="Z77" s="64"/>
      <c r="AA77" s="64"/>
      <c r="AB77" s="56"/>
      <c r="AC77" s="69"/>
      <c r="AD77" s="503"/>
    </row>
    <row r="78" spans="1:30" ht="15" customHeight="1">
      <c r="A78" s="471" t="str">
        <f>IF(B78="","",A76+1)</f>
        <v/>
      </c>
      <c r="B78" s="392"/>
      <c r="C78" s="54"/>
      <c r="D78" s="472">
        <f>TRUNC(C78)+((C78-TRUNC(C78))/0.6)</f>
        <v>0</v>
      </c>
      <c r="E78" s="472">
        <f>TRUNC(C79)+((C79-TRUNC(C79))/0.6)</f>
        <v>0</v>
      </c>
      <c r="F78" s="473">
        <f>ROUND(((LOG10(TAN(PI()/4+(D78/2*PI()/180)))*7915.7046)-(3437.7468*((0.0816968^2*SIN(D78*PI()/180))+(0.0816968^4/3*((SIN(D78*PI()/180))^3))+(0.0816968^6/5*((SIN(D78*PI()/180))^5))))),2)</f>
        <v>0</v>
      </c>
      <c r="G78" s="464"/>
      <c r="H78" s="464">
        <f>IF(E78&lt;0,E78+360,E78)</f>
        <v>0</v>
      </c>
      <c r="I78" s="477"/>
      <c r="J78" s="478"/>
      <c r="K78" s="479"/>
      <c r="L78" s="472"/>
      <c r="M78" s="472"/>
      <c r="N78" s="468"/>
      <c r="O78" s="469"/>
      <c r="P78" s="353"/>
      <c r="Q78" s="465" t="str">
        <f>IF(O77="","",Q76+O77)</f>
        <v/>
      </c>
      <c r="R78" s="465" t="str">
        <f>IF(O77="","",R76-O77)</f>
        <v/>
      </c>
      <c r="S78" s="61"/>
      <c r="T78" s="61" t="s">
        <v>25</v>
      </c>
      <c r="U78" s="355"/>
      <c r="V78" s="470"/>
      <c r="W78" s="466" t="str">
        <f>IF(P77="","",W76+V77)</f>
        <v/>
      </c>
      <c r="X78" s="61"/>
      <c r="Y78" s="92"/>
      <c r="Z78" s="61"/>
      <c r="AA78" s="61"/>
      <c r="AB78" s="57"/>
      <c r="AC78" s="68"/>
      <c r="AD78" s="503"/>
    </row>
    <row r="79" spans="1:30" ht="15" customHeight="1">
      <c r="A79" s="471"/>
      <c r="B79" s="392"/>
      <c r="C79" s="55"/>
      <c r="D79" s="472"/>
      <c r="E79" s="472"/>
      <c r="F79" s="473"/>
      <c r="G79" s="464">
        <f>ABS(D78-D80)*60</f>
        <v>0</v>
      </c>
      <c r="H79" s="464"/>
      <c r="I79" s="477">
        <f>ABS(H78-H80)*60</f>
        <v>0</v>
      </c>
      <c r="J79" s="478">
        <f>ABS(F78-F80)</f>
        <v>0</v>
      </c>
      <c r="K79" s="479" t="e">
        <f>IF(AND(D78&lt;D80,H78=H80),0,IF(AND(D78&gt;D80,H78=H80),180,IF(AND(D78=D80,H78&lt;H80),90,IF(AND(D78=D80,H78&gt;H80),270,(ATAN(I79/J79)*180/PI())))))</f>
        <v>#DIV/0!</v>
      </c>
      <c r="L79" s="472" t="e">
        <f>IF(OR(K79=0,K79=90,K79=180,K79=270),K79,IF(AND(D78&lt;D80,H78&lt;H80),K79,IF(AND(D78&lt;D80,H78&gt;H80),360-K79,IF(AND(D78&gt;D80,H78&lt;H80),180-K79,IF(AND(D78&gt;D80,H78&gt;H80),180+K79)))))</f>
        <v>#DIV/0!</v>
      </c>
      <c r="M79" s="472">
        <f>(IF(I79=0,G79,IF(G79=0,COS(D80*PI()/180)*I79,G79/COS(K79*PI()/180))))</f>
        <v>0</v>
      </c>
      <c r="N79" s="468" t="str">
        <f>IF(C81="","",ROUND(L79,1))</f>
        <v/>
      </c>
      <c r="O79" s="469" t="str">
        <f>IF(C81="","",ROUND(M79,1))</f>
        <v/>
      </c>
      <c r="P79" s="353"/>
      <c r="Q79" s="465"/>
      <c r="R79" s="465"/>
      <c r="S79" s="64"/>
      <c r="T79" s="64" t="s">
        <v>22</v>
      </c>
      <c r="U79" s="358"/>
      <c r="V79" s="470" t="e">
        <f>(O79/P79+U79/60)/24</f>
        <v>#VALUE!</v>
      </c>
      <c r="W79" s="466"/>
      <c r="X79" s="64"/>
      <c r="Y79" s="65"/>
      <c r="Z79" s="64"/>
      <c r="AA79" s="64"/>
      <c r="AB79" s="56"/>
      <c r="AC79" s="69"/>
      <c r="AD79" s="503"/>
    </row>
    <row r="80" spans="1:30" ht="15" customHeight="1">
      <c r="A80" s="471" t="str">
        <f>IF(B80="","",A78+1)</f>
        <v/>
      </c>
      <c r="B80" s="392"/>
      <c r="C80" s="54"/>
      <c r="D80" s="472">
        <f>TRUNC(C80)+((C80-TRUNC(C80))/0.6)</f>
        <v>0</v>
      </c>
      <c r="E80" s="472">
        <f>TRUNC(C81)+((C81-TRUNC(C81))/0.6)</f>
        <v>0</v>
      </c>
      <c r="F80" s="473">
        <f>ROUND(((LOG10(TAN(PI()/4+(D80/2*PI()/180)))*7915.7046)-(3437.7468*((0.0816968^2*SIN(D80*PI()/180))+(0.0816968^4/3*((SIN(D80*PI()/180))^3))+(0.0816968^6/5*((SIN(D80*PI()/180))^5))))),2)</f>
        <v>0</v>
      </c>
      <c r="G80" s="464"/>
      <c r="H80" s="464">
        <f>IF(E80&lt;0,E80+360,E80)</f>
        <v>0</v>
      </c>
      <c r="I80" s="477"/>
      <c r="J80" s="478"/>
      <c r="K80" s="479"/>
      <c r="L80" s="472"/>
      <c r="M80" s="472"/>
      <c r="N80" s="468"/>
      <c r="O80" s="469"/>
      <c r="P80" s="353"/>
      <c r="Q80" s="465" t="str">
        <f>IF(O79="","",Q78+O79)</f>
        <v/>
      </c>
      <c r="R80" s="465" t="str">
        <f>IF(O79="","",R78-O79)</f>
        <v/>
      </c>
      <c r="S80" s="61"/>
      <c r="T80" s="61" t="s">
        <v>25</v>
      </c>
      <c r="U80" s="355"/>
      <c r="V80" s="470"/>
      <c r="W80" s="466" t="str">
        <f>IF(P79="","",W78+V79)</f>
        <v/>
      </c>
      <c r="X80" s="61"/>
      <c r="Y80" s="92"/>
      <c r="Z80" s="61"/>
      <c r="AA80" s="61"/>
      <c r="AB80" s="57"/>
      <c r="AC80" s="68"/>
      <c r="AD80" s="503"/>
    </row>
    <row r="81" spans="1:30" ht="15" customHeight="1">
      <c r="A81" s="471"/>
      <c r="B81" s="392"/>
      <c r="C81" s="55"/>
      <c r="D81" s="472"/>
      <c r="E81" s="472"/>
      <c r="F81" s="473"/>
      <c r="G81" s="464">
        <f>ABS(D80-D82)*60</f>
        <v>0</v>
      </c>
      <c r="H81" s="464"/>
      <c r="I81" s="477">
        <f>ABS(H80-H82)*60</f>
        <v>0</v>
      </c>
      <c r="J81" s="478">
        <f>ABS(F80-F82)</f>
        <v>0</v>
      </c>
      <c r="K81" s="479" t="e">
        <f>IF(AND(D80&lt;D82,H80=H82),0,IF(AND(D80&gt;D82,H80=H82),180,IF(AND(D80=D82,H80&lt;H82),90,IF(AND(D80=D82,H80&gt;H82),270,(ATAN(I81/J81)*180/PI())))))</f>
        <v>#DIV/0!</v>
      </c>
      <c r="L81" s="472" t="e">
        <f>IF(OR(K81=0,K81=90,K81=180,K81=270),K81,IF(AND(D80&lt;D82,H80&lt;H82),K81,IF(AND(D80&lt;D82,H80&gt;H82),360-K81,IF(AND(D80&gt;D82,H80&lt;H82),180-K81,IF(AND(D80&gt;D82,H80&gt;H82),180+K81)))))</f>
        <v>#DIV/0!</v>
      </c>
      <c r="M81" s="472">
        <f>(IF(I81=0,G81,IF(G81=0,COS(D82*PI()/180)*I81,G81/COS(K81*PI()/180))))</f>
        <v>0</v>
      </c>
      <c r="N81" s="468" t="str">
        <f>IF(C83="","",ROUND(L81,1))</f>
        <v/>
      </c>
      <c r="O81" s="469" t="str">
        <f>IF(C83="","",ROUND(M81,1))</f>
        <v/>
      </c>
      <c r="P81" s="353"/>
      <c r="Q81" s="465"/>
      <c r="R81" s="465"/>
      <c r="S81" s="64"/>
      <c r="T81" s="64" t="s">
        <v>22</v>
      </c>
      <c r="U81" s="358"/>
      <c r="V81" s="470" t="e">
        <f>(O81/P81+U81/60)/24</f>
        <v>#VALUE!</v>
      </c>
      <c r="W81" s="466"/>
      <c r="X81" s="64"/>
      <c r="Y81" s="65"/>
      <c r="Z81" s="64"/>
      <c r="AA81" s="64"/>
      <c r="AB81" s="56"/>
      <c r="AC81" s="69"/>
      <c r="AD81" s="503"/>
    </row>
    <row r="82" spans="1:30" ht="15" customHeight="1">
      <c r="A82" s="471" t="str">
        <f>IF(B82="","",A80+1)</f>
        <v/>
      </c>
      <c r="B82" s="392"/>
      <c r="C82" s="54"/>
      <c r="D82" s="472">
        <f>TRUNC(C82)+((C82-TRUNC(C82))/0.6)</f>
        <v>0</v>
      </c>
      <c r="E82" s="472">
        <f>TRUNC(C83)+((C83-TRUNC(C83))/0.6)</f>
        <v>0</v>
      </c>
      <c r="F82" s="473">
        <f>ROUND(((LOG10(TAN(PI()/4+(D82/2*PI()/180)))*7915.7046)-(3437.7468*((0.0816968^2*SIN(D82*PI()/180))+(0.0816968^4/3*((SIN(D82*PI()/180))^3))+(0.0816968^6/5*((SIN(D82*PI()/180))^5))))),2)</f>
        <v>0</v>
      </c>
      <c r="G82" s="464"/>
      <c r="H82" s="464">
        <f>IF(E82&lt;0,E82+360,E82)</f>
        <v>0</v>
      </c>
      <c r="I82" s="477"/>
      <c r="J82" s="478"/>
      <c r="K82" s="479"/>
      <c r="L82" s="472"/>
      <c r="M82" s="472"/>
      <c r="N82" s="468"/>
      <c r="O82" s="469"/>
      <c r="P82" s="353"/>
      <c r="Q82" s="465" t="str">
        <f>IF(O81="","",Q80+O81)</f>
        <v/>
      </c>
      <c r="R82" s="465" t="str">
        <f>IF(O81="","",R80-O81)</f>
        <v/>
      </c>
      <c r="S82" s="61"/>
      <c r="T82" s="61" t="s">
        <v>25</v>
      </c>
      <c r="U82" s="355"/>
      <c r="V82" s="470"/>
      <c r="W82" s="466" t="str">
        <f>IF(P81="","",W80+V81)</f>
        <v/>
      </c>
      <c r="X82" s="61"/>
      <c r="Y82" s="92"/>
      <c r="Z82" s="61"/>
      <c r="AA82" s="61"/>
      <c r="AB82" s="57"/>
      <c r="AC82" s="68"/>
      <c r="AD82" s="503"/>
    </row>
    <row r="83" spans="1:30" ht="15" customHeight="1">
      <c r="A83" s="471"/>
      <c r="B83" s="392"/>
      <c r="C83" s="55"/>
      <c r="D83" s="472"/>
      <c r="E83" s="472"/>
      <c r="F83" s="473"/>
      <c r="G83" s="464">
        <f>ABS(D82-D84)*60</f>
        <v>0</v>
      </c>
      <c r="H83" s="464"/>
      <c r="I83" s="477">
        <f>ABS(H82-H84)*60</f>
        <v>0</v>
      </c>
      <c r="J83" s="478">
        <f>ABS(F82-F84)</f>
        <v>0</v>
      </c>
      <c r="K83" s="479" t="e">
        <f>IF(AND(D82&lt;D84,H82=H84),0,IF(AND(D82&gt;D84,H82=H84),180,IF(AND(D82=D84,H82&lt;H84),90,IF(AND(D82=D84,H82&gt;H84),270,(ATAN(I83/J83)*180/PI())))))</f>
        <v>#DIV/0!</v>
      </c>
      <c r="L83" s="472" t="e">
        <f>IF(OR(K83=0,K83=90,K83=180,K83=270),K83,IF(AND(D82&lt;D84,H82&lt;H84),K83,IF(AND(D82&lt;D84,H82&gt;H84),360-K83,IF(AND(D82&gt;D84,H82&lt;H84),180-K83,IF(AND(D82&gt;D84,H82&gt;H84),180+K83)))))</f>
        <v>#DIV/0!</v>
      </c>
      <c r="M83" s="472">
        <f>(IF(I83=0,G83,IF(G83=0,COS(D84*PI()/180)*I83,G83/COS(K83*PI()/180))))</f>
        <v>0</v>
      </c>
      <c r="N83" s="468" t="str">
        <f>IF(C85="","",ROUND(L83,1))</f>
        <v/>
      </c>
      <c r="O83" s="469" t="str">
        <f>IF(C85="","",ROUND(M83,1))</f>
        <v/>
      </c>
      <c r="P83" s="353"/>
      <c r="Q83" s="465"/>
      <c r="R83" s="465"/>
      <c r="S83" s="64"/>
      <c r="T83" s="64" t="s">
        <v>27</v>
      </c>
      <c r="U83" s="358"/>
      <c r="V83" s="470" t="e">
        <f>(O83/P83+U83/60)/24</f>
        <v>#VALUE!</v>
      </c>
      <c r="W83" s="466"/>
      <c r="X83" s="64"/>
      <c r="Y83" s="65"/>
      <c r="Z83" s="64"/>
      <c r="AA83" s="64"/>
      <c r="AB83" s="56"/>
      <c r="AC83" s="69"/>
      <c r="AD83" s="503"/>
    </row>
    <row r="84" spans="1:30" ht="15" customHeight="1">
      <c r="A84" s="471" t="str">
        <f>IF(B84="","",A82+1)</f>
        <v/>
      </c>
      <c r="B84" s="392"/>
      <c r="C84" s="54"/>
      <c r="D84" s="472">
        <f>TRUNC(C84)+((C84-TRUNC(C84))/0.6)</f>
        <v>0</v>
      </c>
      <c r="E84" s="472">
        <f>TRUNC(C85)+((C85-TRUNC(C85))/0.6)</f>
        <v>0</v>
      </c>
      <c r="F84" s="473">
        <f>ROUND(((LOG10(TAN(PI()/4+(D84/2*PI()/180)))*7915.7046)-(3437.7468*((0.0816968^2*SIN(D84*PI()/180))+(0.0816968^4/3*((SIN(D84*PI()/180))^3))+(0.0816968^6/5*((SIN(D84*PI()/180))^5))))),2)</f>
        <v>0</v>
      </c>
      <c r="G84" s="464"/>
      <c r="H84" s="464">
        <f>IF(E84&lt;0,E84+360,E84)</f>
        <v>0</v>
      </c>
      <c r="I84" s="477"/>
      <c r="J84" s="478"/>
      <c r="K84" s="479"/>
      <c r="L84" s="472"/>
      <c r="M84" s="472"/>
      <c r="N84" s="468"/>
      <c r="O84" s="469"/>
      <c r="P84" s="353"/>
      <c r="Q84" s="465" t="str">
        <f>IF(O83="","",Q82+O83)</f>
        <v/>
      </c>
      <c r="R84" s="465" t="str">
        <f>IF(O83="","",R82-O83)</f>
        <v/>
      </c>
      <c r="S84" s="61"/>
      <c r="T84" s="61" t="s">
        <v>25</v>
      </c>
      <c r="U84" s="355"/>
      <c r="V84" s="470"/>
      <c r="W84" s="466" t="str">
        <f>IF(P83="","",W82+V83)</f>
        <v/>
      </c>
      <c r="X84" s="61"/>
      <c r="Y84" s="92"/>
      <c r="Z84" s="61"/>
      <c r="AA84" s="61"/>
      <c r="AB84" s="57"/>
      <c r="AC84" s="68"/>
      <c r="AD84" s="503"/>
    </row>
    <row r="85" spans="1:30" ht="15" customHeight="1">
      <c r="A85" s="471"/>
      <c r="B85" s="392"/>
      <c r="C85" s="55"/>
      <c r="D85" s="472"/>
      <c r="E85" s="472"/>
      <c r="F85" s="473"/>
      <c r="G85" s="464">
        <f>ABS(D84-D86)*60</f>
        <v>0</v>
      </c>
      <c r="H85" s="464"/>
      <c r="I85" s="477">
        <f>ABS(H84-H86)*60</f>
        <v>0</v>
      </c>
      <c r="J85" s="478">
        <f>ABS(F84-F86)</f>
        <v>0</v>
      </c>
      <c r="K85" s="479" t="e">
        <f>IF(AND(D84&lt;D86,H84=H86),0,IF(AND(D84&gt;D86,H84=H86),180,IF(AND(D84=D86,H84&lt;H86),90,IF(AND(D84=D86,H84&gt;H86),270,(ATAN(I85/J85)*180/PI())))))</f>
        <v>#DIV/0!</v>
      </c>
      <c r="L85" s="472" t="e">
        <f>IF(OR(K85=0,K85=90,K85=180,K85=270),K85,IF(AND(D84&lt;D86,H84&lt;H86),K85,IF(AND(D84&lt;D86,H84&gt;H86),360-K85,IF(AND(D84&gt;D86,H84&lt;H86),180-K85,IF(AND(D84&gt;D86,H84&gt;H86),180+K85)))))</f>
        <v>#DIV/0!</v>
      </c>
      <c r="M85" s="472">
        <f>(IF(I85=0,G85,IF(G85=0,COS(D86*PI()/180)*I85,G85/COS(K85*PI()/180))))</f>
        <v>0</v>
      </c>
      <c r="N85" s="468" t="str">
        <f>IF(C87="","",ROUND(L85,1))</f>
        <v/>
      </c>
      <c r="O85" s="469" t="str">
        <f>IF(C87="","",ROUND(M85,1))</f>
        <v/>
      </c>
      <c r="P85" s="353"/>
      <c r="Q85" s="465"/>
      <c r="R85" s="465"/>
      <c r="S85" s="64"/>
      <c r="T85" s="64" t="s">
        <v>27</v>
      </c>
      <c r="U85" s="358"/>
      <c r="V85" s="470" t="e">
        <f>(O85/P85+U85/60)/24</f>
        <v>#VALUE!</v>
      </c>
      <c r="W85" s="466"/>
      <c r="X85" s="64"/>
      <c r="Y85" s="65"/>
      <c r="Z85" s="64"/>
      <c r="AA85" s="64"/>
      <c r="AB85" s="56"/>
      <c r="AC85" s="69"/>
      <c r="AD85" s="503"/>
    </row>
    <row r="86" spans="1:30" ht="15" customHeight="1">
      <c r="A86" s="471" t="str">
        <f>IF(B86="","",A84+1)</f>
        <v/>
      </c>
      <c r="B86" s="392"/>
      <c r="C86" s="54"/>
      <c r="D86" s="472">
        <f>TRUNC(C86)+((C86-TRUNC(C86))/0.6)</f>
        <v>0</v>
      </c>
      <c r="E86" s="472">
        <f>TRUNC(C87)+((C87-TRUNC(C87))/0.6)</f>
        <v>0</v>
      </c>
      <c r="F86" s="473">
        <f>ROUND(((LOG10(TAN(PI()/4+(D86/2*PI()/180)))*7915.7046)-(3437.7468*((0.0816968^2*SIN(D86*PI()/180))+(0.0816968^4/3*((SIN(D86*PI()/180))^3))+(0.0816968^6/5*((SIN(D86*PI()/180))^5))))),2)</f>
        <v>0</v>
      </c>
      <c r="G86" s="464"/>
      <c r="H86" s="464">
        <f>IF(E86&lt;0,E86+360,E86)</f>
        <v>0</v>
      </c>
      <c r="I86" s="477"/>
      <c r="J86" s="478"/>
      <c r="K86" s="479"/>
      <c r="L86" s="472"/>
      <c r="M86" s="472"/>
      <c r="N86" s="468"/>
      <c r="O86" s="469"/>
      <c r="P86" s="353"/>
      <c r="Q86" s="465" t="str">
        <f>IF(O85="","",Q84+O85)</f>
        <v/>
      </c>
      <c r="R86" s="465" t="str">
        <f>IF(O85="","",R84-O85)</f>
        <v/>
      </c>
      <c r="S86" s="61"/>
      <c r="T86" s="61" t="s">
        <v>26</v>
      </c>
      <c r="U86" s="355"/>
      <c r="V86" s="470"/>
      <c r="W86" s="466" t="str">
        <f>IF(P85="","",W84+V85)</f>
        <v/>
      </c>
      <c r="X86" s="61"/>
      <c r="Y86" s="92"/>
      <c r="Z86" s="61"/>
      <c r="AA86" s="61"/>
      <c r="AB86" s="57"/>
      <c r="AC86" s="68"/>
      <c r="AD86" s="503"/>
    </row>
    <row r="87" spans="1:30" ht="15" customHeight="1">
      <c r="A87" s="471"/>
      <c r="B87" s="392"/>
      <c r="C87" s="55"/>
      <c r="D87" s="472"/>
      <c r="E87" s="472"/>
      <c r="F87" s="473"/>
      <c r="G87" s="464">
        <f>ABS(D86-D88)*60</f>
        <v>0</v>
      </c>
      <c r="H87" s="464"/>
      <c r="I87" s="477">
        <f>ABS(H86-H88)*60</f>
        <v>0</v>
      </c>
      <c r="J87" s="478">
        <f>ABS(F86-F88)</f>
        <v>0</v>
      </c>
      <c r="K87" s="479" t="e">
        <f>IF(AND(D86&lt;D88,H86=H88),0,IF(AND(D86&gt;D88,H86=H88),180,IF(AND(D86=D88,H86&lt;H88),90,IF(AND(D86=D88,H86&gt;H88),270,(ATAN(I87/J87)*180/PI())))))</f>
        <v>#DIV/0!</v>
      </c>
      <c r="L87" s="472" t="e">
        <f>IF(OR(K87=0,K87=90,K87=180,K87=270),K87,IF(AND(D86&lt;D88,H86&lt;H88),K87,IF(AND(D86&lt;D88,H86&gt;H88),360-K87,IF(AND(D86&gt;D88,H86&lt;H88),180-K87,IF(AND(D86&gt;D88,H86&gt;H88),180+K87)))))</f>
        <v>#DIV/0!</v>
      </c>
      <c r="M87" s="472">
        <f>(IF(I87=0,G87,IF(G87=0,COS(D88*PI()/180)*I87,G87/COS(K87*PI()/180))))</f>
        <v>0</v>
      </c>
      <c r="N87" s="468" t="str">
        <f>IF(C89="","",ROUND(L87,1))</f>
        <v/>
      </c>
      <c r="O87" s="469" t="str">
        <f>IF(C89="","",ROUND(M87,1))</f>
        <v/>
      </c>
      <c r="P87" s="353"/>
      <c r="Q87" s="465"/>
      <c r="R87" s="465"/>
      <c r="S87" s="64"/>
      <c r="T87" s="64" t="s">
        <v>29</v>
      </c>
      <c r="U87" s="358"/>
      <c r="V87" s="470" t="e">
        <f>(O87/P87+U87/60)/24</f>
        <v>#VALUE!</v>
      </c>
      <c r="W87" s="466"/>
      <c r="X87" s="64"/>
      <c r="Y87" s="65"/>
      <c r="Z87" s="64"/>
      <c r="AA87" s="64"/>
      <c r="AB87" s="56"/>
      <c r="AC87" s="69"/>
      <c r="AD87" s="503"/>
    </row>
    <row r="88" spans="1:30" ht="15" customHeight="1">
      <c r="A88" s="471" t="str">
        <f>IF(B88="","",A86+1)</f>
        <v/>
      </c>
      <c r="B88" s="348"/>
      <c r="C88" s="54"/>
      <c r="D88" s="472">
        <f>TRUNC(C88)+((C88-TRUNC(C88))/0.6)</f>
        <v>0</v>
      </c>
      <c r="E88" s="472">
        <f>TRUNC(C89)+((C89-TRUNC(C89))/0.6)</f>
        <v>0</v>
      </c>
      <c r="F88" s="473">
        <f>ROUND(((LOG10(TAN(PI()/4+(D88/2*PI()/180)))*7915.7046)-(3437.7468*((0.0816968^2*SIN(D88*PI()/180))+(0.0816968^4/3*((SIN(D88*PI()/180))^3))+(0.0816968^6/5*((SIN(D88*PI()/180))^5))))),2)</f>
        <v>0</v>
      </c>
      <c r="G88" s="464"/>
      <c r="H88" s="464">
        <f>IF(E88&lt;0,E88+360,E88)</f>
        <v>0</v>
      </c>
      <c r="I88" s="477"/>
      <c r="J88" s="478"/>
      <c r="K88" s="479"/>
      <c r="L88" s="472"/>
      <c r="M88" s="472"/>
      <c r="N88" s="468"/>
      <c r="O88" s="469"/>
      <c r="P88" s="353"/>
      <c r="Q88" s="465" t="str">
        <f>IF(O87="","",Q86+O87)</f>
        <v/>
      </c>
      <c r="R88" s="465" t="str">
        <f>IF(O87="","",R86-O87)</f>
        <v/>
      </c>
      <c r="S88" s="61"/>
      <c r="T88" s="61" t="s">
        <v>26</v>
      </c>
      <c r="U88" s="355"/>
      <c r="V88" s="470"/>
      <c r="W88" s="466" t="str">
        <f>IF(P87="","",W86+V87)</f>
        <v/>
      </c>
      <c r="X88" s="61"/>
      <c r="Y88" s="92"/>
      <c r="Z88" s="61"/>
      <c r="AA88" s="61"/>
      <c r="AB88" s="57"/>
      <c r="AC88" s="68"/>
      <c r="AD88" s="503" t="s">
        <v>28</v>
      </c>
    </row>
    <row r="89" spans="1:30" ht="15" customHeight="1">
      <c r="A89" s="471"/>
      <c r="B89" s="349"/>
      <c r="C89" s="55"/>
      <c r="D89" s="472"/>
      <c r="E89" s="472"/>
      <c r="F89" s="473"/>
      <c r="G89" s="464">
        <f>ABS(D88-D90)*60</f>
        <v>0</v>
      </c>
      <c r="H89" s="464"/>
      <c r="I89" s="477">
        <f>ABS(H88-H90)*60</f>
        <v>0</v>
      </c>
      <c r="J89" s="478">
        <f>ABS(F88-F90)</f>
        <v>0</v>
      </c>
      <c r="K89" s="479" t="e">
        <f>IF(AND(D88&lt;D90,H88=H90),0,IF(AND(D88&gt;D90,H88=H90),180,IF(AND(D88=D90,H88&lt;H90),90,IF(AND(D88=D90,H88&gt;H90),270,(ATAN(I89/J89)*180/PI())))))</f>
        <v>#DIV/0!</v>
      </c>
      <c r="L89" s="472" t="e">
        <f>IF(OR(K89=0,K89=90,K89=180,K89=270),K89,IF(AND(D88&lt;D90,H88&lt;H90),K89,IF(AND(D88&lt;D90,H88&gt;H90),360-K89,IF(AND(D88&gt;D90,H88&lt;H90),180-K89,IF(AND(D88&gt;D90,H88&gt;H90),180+K89)))))</f>
        <v>#DIV/0!</v>
      </c>
      <c r="M89" s="472">
        <f>(IF(I89=0,G89,IF(G89=0,COS(D90*PI()/180)*I89,G89/COS(K89*PI()/180))))</f>
        <v>0</v>
      </c>
      <c r="N89" s="468" t="str">
        <f>IF(C91="","",ROUND(L89,1))</f>
        <v/>
      </c>
      <c r="O89" s="469" t="str">
        <f>IF(C91="","",ROUND(M89,1))</f>
        <v/>
      </c>
      <c r="P89" s="353"/>
      <c r="Q89" s="465"/>
      <c r="R89" s="465"/>
      <c r="S89" s="64"/>
      <c r="T89" s="64" t="s">
        <v>29</v>
      </c>
      <c r="U89" s="358"/>
      <c r="V89" s="470" t="e">
        <f>(O89/P89+U89/60)/24</f>
        <v>#VALUE!</v>
      </c>
      <c r="W89" s="466"/>
      <c r="X89" s="64"/>
      <c r="Y89" s="65"/>
      <c r="Z89" s="64"/>
      <c r="AA89" s="64"/>
      <c r="AB89" s="56"/>
      <c r="AC89" s="69"/>
      <c r="AD89" s="503"/>
    </row>
    <row r="90" spans="1:30" ht="15" customHeight="1">
      <c r="A90" s="471" t="str">
        <f>IF(B90="","",A88+1)</f>
        <v/>
      </c>
      <c r="B90" s="348"/>
      <c r="C90" s="54"/>
      <c r="D90" s="472">
        <f>TRUNC(C90)+((C90-TRUNC(C90))/0.6)</f>
        <v>0</v>
      </c>
      <c r="E90" s="472">
        <f>TRUNC(C91)+((C91-TRUNC(C91))/0.6)</f>
        <v>0</v>
      </c>
      <c r="F90" s="473">
        <f>ROUND(((LOG10(TAN(PI()/4+(D90/2*PI()/180)))*7915.7046)-(3437.7468*((0.0816968^2*SIN(D90*PI()/180))+(0.0816968^4/3*((SIN(D90*PI()/180))^3))+(0.0816968^6/5*((SIN(D90*PI()/180))^5))))),2)</f>
        <v>0</v>
      </c>
      <c r="G90" s="464"/>
      <c r="H90" s="464">
        <f>IF(E90&lt;0,E90+360,E90)</f>
        <v>0</v>
      </c>
      <c r="I90" s="477"/>
      <c r="J90" s="478"/>
      <c r="K90" s="479"/>
      <c r="L90" s="472"/>
      <c r="M90" s="472"/>
      <c r="N90" s="468"/>
      <c r="O90" s="469"/>
      <c r="P90" s="353"/>
      <c r="Q90" s="465" t="str">
        <f>IF(O89="","",Q88+O89)</f>
        <v/>
      </c>
      <c r="R90" s="465" t="str">
        <f>IF(O89="","",R88-O89)</f>
        <v/>
      </c>
      <c r="S90" s="61"/>
      <c r="T90" s="61" t="s">
        <v>25</v>
      </c>
      <c r="U90" s="355"/>
      <c r="V90" s="470"/>
      <c r="W90" s="466" t="str">
        <f>IF(P89="","",W88+V89)</f>
        <v/>
      </c>
      <c r="X90" s="61"/>
      <c r="Y90" s="92"/>
      <c r="Z90" s="61"/>
      <c r="AA90" s="61"/>
      <c r="AB90" s="57"/>
      <c r="AC90" s="68"/>
      <c r="AD90" s="503" t="s">
        <v>28</v>
      </c>
    </row>
    <row r="91" spans="1:30" ht="15" customHeight="1">
      <c r="A91" s="471"/>
      <c r="B91" s="349"/>
      <c r="C91" s="55"/>
      <c r="D91" s="472"/>
      <c r="E91" s="472"/>
      <c r="F91" s="473"/>
      <c r="G91" s="464">
        <f>ABS(D90-D92)*60</f>
        <v>0</v>
      </c>
      <c r="H91" s="464"/>
      <c r="I91" s="477">
        <f>ABS(H90-H92)*60</f>
        <v>0</v>
      </c>
      <c r="J91" s="478">
        <f>ABS(F90-F92)</f>
        <v>0</v>
      </c>
      <c r="K91" s="479" t="e">
        <f>IF(AND(D90&lt;D92,H90=H92),0,IF(AND(D90&gt;D92,H90=H92),180,IF(AND(D90=D92,H90&lt;H92),90,IF(AND(D90=D92,H90&gt;H92),270,(ATAN(I91/J91)*180/PI())))))</f>
        <v>#DIV/0!</v>
      </c>
      <c r="L91" s="472" t="e">
        <f>IF(OR(K91=0,K91=90,K91=180,K91=270),K91,IF(AND(D90&lt;D92,H90&lt;H92),K91,IF(AND(D90&lt;D92,H90&gt;H92),360-K91,IF(AND(D90&gt;D92,H90&lt;H92),180-K91,IF(AND(D90&gt;D92,H90&gt;H92),180+K91)))))</f>
        <v>#DIV/0!</v>
      </c>
      <c r="M91" s="472">
        <f>(IF(I91=0,G91,IF(G91=0,COS(D92*PI()/180)*I91,G91/COS(K91*PI()/180))))</f>
        <v>0</v>
      </c>
      <c r="N91" s="468" t="str">
        <f>IF(C93="","",ROUND(L91,1))</f>
        <v/>
      </c>
      <c r="O91" s="469" t="str">
        <f>IF(C93="","",ROUND(M91,1))</f>
        <v/>
      </c>
      <c r="P91" s="353"/>
      <c r="Q91" s="465"/>
      <c r="R91" s="465"/>
      <c r="S91" s="64"/>
      <c r="T91" s="64" t="s">
        <v>27</v>
      </c>
      <c r="U91" s="358"/>
      <c r="V91" s="470" t="e">
        <f>(O91/P91+U91/60)/24</f>
        <v>#VALUE!</v>
      </c>
      <c r="W91" s="466"/>
      <c r="X91" s="64"/>
      <c r="Y91" s="65"/>
      <c r="Z91" s="64"/>
      <c r="AA91" s="64"/>
      <c r="AB91" s="56"/>
      <c r="AC91" s="69"/>
      <c r="AD91" s="503"/>
    </row>
    <row r="92" spans="1:30" ht="15" customHeight="1">
      <c r="A92" s="471" t="str">
        <f t="shared" ref="A92" si="3">IF(B92="","",A90+1)</f>
        <v/>
      </c>
      <c r="B92" s="348"/>
      <c r="C92" s="54"/>
      <c r="D92" s="472">
        <f>TRUNC(C92)+((C92-TRUNC(C92))/0.6)</f>
        <v>0</v>
      </c>
      <c r="E92" s="472">
        <f>TRUNC(C93)+((C93-TRUNC(C93))/0.6)</f>
        <v>0</v>
      </c>
      <c r="F92" s="473">
        <f>ROUND(((LOG10(TAN(PI()/4+(D92/2*PI()/180)))*7915.7046)-(3437.7468*((0.0816968^2*SIN(D92*PI()/180))+(0.0816968^4/3*((SIN(D92*PI()/180))^3))+(0.0816968^6/5*((SIN(D92*PI()/180))^5))))),2)</f>
        <v>0</v>
      </c>
      <c r="G92" s="464"/>
      <c r="H92" s="464">
        <f>IF(E92&lt;0,E92+360,E92)</f>
        <v>0</v>
      </c>
      <c r="I92" s="477"/>
      <c r="J92" s="478"/>
      <c r="K92" s="479"/>
      <c r="L92" s="472"/>
      <c r="M92" s="472"/>
      <c r="N92" s="468"/>
      <c r="O92" s="469"/>
      <c r="P92" s="353"/>
      <c r="Q92" s="465" t="str">
        <f>IF(O91="","",Q90+O91)</f>
        <v/>
      </c>
      <c r="R92" s="465" t="str">
        <f>IF(O91="","",R90-O91)</f>
        <v/>
      </c>
      <c r="S92" s="61"/>
      <c r="T92" s="61" t="s">
        <v>25</v>
      </c>
      <c r="U92" s="355"/>
      <c r="V92" s="470"/>
      <c r="W92" s="466" t="str">
        <f>IF(P91="","",W90+V91)</f>
        <v/>
      </c>
      <c r="X92" s="61"/>
      <c r="Y92" s="92"/>
      <c r="Z92" s="61"/>
      <c r="AA92" s="61"/>
      <c r="AB92" s="57"/>
      <c r="AC92" s="68"/>
      <c r="AD92" s="503"/>
    </row>
    <row r="93" spans="1:30" ht="15" customHeight="1">
      <c r="A93" s="471"/>
      <c r="B93" s="349"/>
      <c r="C93" s="55"/>
      <c r="D93" s="472"/>
      <c r="E93" s="472"/>
      <c r="F93" s="473"/>
      <c r="G93" s="464">
        <f>ABS(D92-D94)*60</f>
        <v>0</v>
      </c>
      <c r="H93" s="464"/>
      <c r="I93" s="477">
        <f>ABS(H92-H94)*60</f>
        <v>0</v>
      </c>
      <c r="J93" s="478">
        <f>ABS(F92-F94)</f>
        <v>0</v>
      </c>
      <c r="K93" s="479" t="e">
        <f>IF(AND(D92&lt;D94,H92=H94),0,IF(AND(D92&gt;D94,H92=H94),180,IF(AND(D92=D94,H92&lt;H94),90,IF(AND(D92=D94,H92&gt;H94),270,(ATAN(I93/J93)*180/PI())))))</f>
        <v>#DIV/0!</v>
      </c>
      <c r="L93" s="472" t="e">
        <f>IF(OR(K93=0,K93=90,K93=180,K93=270),K93,IF(AND(D92&lt;D94,H92&lt;H94),K93,IF(AND(D92&lt;D94,H92&gt;H94),360-K93,IF(AND(D92&gt;D94,H92&lt;H94),180-K93,IF(AND(D92&gt;D94,H92&gt;H94),180+K93)))))</f>
        <v>#DIV/0!</v>
      </c>
      <c r="M93" s="472">
        <f>(IF(I93=0,G93,IF(G93=0,COS(D94*PI()/180)*I93,G93/COS(K93*PI()/180))))</f>
        <v>0</v>
      </c>
      <c r="N93" s="468" t="str">
        <f>IF(C95="","",ROUND(L93,1))</f>
        <v/>
      </c>
      <c r="O93" s="469" t="str">
        <f>IF(C95="","",ROUND(M93,1))</f>
        <v/>
      </c>
      <c r="P93" s="353"/>
      <c r="Q93" s="465"/>
      <c r="R93" s="465"/>
      <c r="S93" s="64"/>
      <c r="T93" s="64" t="s">
        <v>22</v>
      </c>
      <c r="U93" s="358"/>
      <c r="V93" s="470" t="e">
        <f>(O93/P93+U93/60)/24</f>
        <v>#VALUE!</v>
      </c>
      <c r="W93" s="466"/>
      <c r="X93" s="64"/>
      <c r="Y93" s="65"/>
      <c r="Z93" s="64"/>
      <c r="AA93" s="64"/>
      <c r="AB93" s="56"/>
      <c r="AC93" s="69"/>
      <c r="AD93" s="503"/>
    </row>
    <row r="94" spans="1:30" ht="15" customHeight="1">
      <c r="A94" s="471" t="str">
        <f t="shared" ref="A94" si="4">IF(B94="","",A92+1)</f>
        <v/>
      </c>
      <c r="B94" s="348"/>
      <c r="C94" s="54"/>
      <c r="D94" s="472">
        <f>TRUNC(C94)+((C94-TRUNC(C94))/0.6)</f>
        <v>0</v>
      </c>
      <c r="E94" s="472">
        <f>TRUNC(C95)+((C95-TRUNC(C95))/0.6)</f>
        <v>0</v>
      </c>
      <c r="F94" s="473">
        <f>ROUND(((LOG10(TAN(PI()/4+(D94/2*PI()/180)))*7915.7046)-(3437.7468*((0.0816968^2*SIN(D94*PI()/180))+(0.0816968^4/3*((SIN(D94*PI()/180))^3))+(0.0816968^6/5*((SIN(D94*PI()/180))^5))))),2)</f>
        <v>0</v>
      </c>
      <c r="G94" s="464"/>
      <c r="H94" s="464">
        <f>IF(E94&lt;0,E94+360,E94)</f>
        <v>0</v>
      </c>
      <c r="I94" s="477"/>
      <c r="J94" s="478"/>
      <c r="K94" s="479"/>
      <c r="L94" s="472"/>
      <c r="M94" s="472"/>
      <c r="N94" s="468"/>
      <c r="O94" s="469"/>
      <c r="P94" s="353"/>
      <c r="Q94" s="465" t="str">
        <f>IF(O93="","",Q92+O93)</f>
        <v/>
      </c>
      <c r="R94" s="465" t="str">
        <f>IF(O93="","",R92-O93)</f>
        <v/>
      </c>
      <c r="S94" s="61"/>
      <c r="T94" s="61" t="s">
        <v>25</v>
      </c>
      <c r="U94" s="355"/>
      <c r="V94" s="470"/>
      <c r="W94" s="466" t="str">
        <f>IF(P93="","",W92+V93)</f>
        <v/>
      </c>
      <c r="X94" s="61"/>
      <c r="Y94" s="92"/>
      <c r="Z94" s="61"/>
      <c r="AA94" s="61"/>
      <c r="AB94" s="57"/>
      <c r="AC94" s="68"/>
      <c r="AD94" s="474" t="s">
        <v>148</v>
      </c>
    </row>
    <row r="95" spans="1:30" ht="15" customHeight="1">
      <c r="A95" s="471"/>
      <c r="B95" s="349"/>
      <c r="C95" s="55"/>
      <c r="D95" s="472"/>
      <c r="E95" s="472"/>
      <c r="F95" s="473"/>
      <c r="G95" s="464">
        <f>ABS(D94-D96)*60</f>
        <v>0</v>
      </c>
      <c r="H95" s="464"/>
      <c r="I95" s="477">
        <f>ABS(H94-H96)*60</f>
        <v>0</v>
      </c>
      <c r="J95" s="478">
        <f>ABS(F94-F96)</f>
        <v>0</v>
      </c>
      <c r="K95" s="479" t="e">
        <f>IF(AND(D94&lt;D96,H94=H96),0,IF(AND(D94&gt;D96,H94=H96),180,IF(AND(D94=D96,H94&lt;H96),90,IF(AND(D94=D96,H94&gt;H96),270,(ATAN(I95/J95)*180/PI())))))</f>
        <v>#DIV/0!</v>
      </c>
      <c r="L95" s="472" t="e">
        <f>IF(OR(K95=0,K95=90,K95=180,K95=270),K95,IF(AND(D94&lt;D96,H94&lt;H96),K95,IF(AND(D94&lt;D96,H94&gt;H96),360-K95,IF(AND(D94&gt;D96,H94&lt;H96),180-K95,IF(AND(D94&gt;D96,H94&gt;H96),180+K95)))))</f>
        <v>#DIV/0!</v>
      </c>
      <c r="M95" s="472">
        <f>(IF(I95=0,G95,IF(G95=0,COS(D96*PI()/180)*I95,G95/COS(K95*PI()/180))))</f>
        <v>0</v>
      </c>
      <c r="N95" s="468" t="str">
        <f>IF(C97="","",ROUND(L95,1))</f>
        <v/>
      </c>
      <c r="O95" s="469" t="str">
        <f>IF(C97="","",ROUND(M95,1))</f>
        <v/>
      </c>
      <c r="P95" s="353"/>
      <c r="Q95" s="465"/>
      <c r="R95" s="465"/>
      <c r="S95" s="64"/>
      <c r="T95" s="64" t="s">
        <v>23</v>
      </c>
      <c r="U95" s="358"/>
      <c r="V95" s="470" t="e">
        <f>(O95/P95+U95/60)/24</f>
        <v>#VALUE!</v>
      </c>
      <c r="W95" s="466"/>
      <c r="X95" s="64"/>
      <c r="Y95" s="65"/>
      <c r="Z95" s="64"/>
      <c r="AA95" s="64"/>
      <c r="AB95" s="56"/>
      <c r="AC95" s="69"/>
      <c r="AD95" s="475"/>
    </row>
    <row r="96" spans="1:30" ht="15" customHeight="1">
      <c r="A96" s="471" t="str">
        <f t="shared" ref="A96" si="5">IF(B96="","",A94+1)</f>
        <v/>
      </c>
      <c r="B96" s="392"/>
      <c r="C96" s="54"/>
      <c r="D96" s="472">
        <f>TRUNC(C96)+((C96-TRUNC(C96))/0.6)</f>
        <v>0</v>
      </c>
      <c r="E96" s="472">
        <f>TRUNC(C97)+((C97-TRUNC(C97))/0.6)</f>
        <v>0</v>
      </c>
      <c r="F96" s="473">
        <f>ROUND(((LOG10(TAN(PI()/4+(D96/2*PI()/180)))*7915.7046)-(3437.7468*((0.0816968^2*SIN(D96*PI()/180))+(0.0816968^4/3*((SIN(D96*PI()/180))^3))+(0.0816968^6/5*((SIN(D96*PI()/180))^5))))),2)</f>
        <v>0</v>
      </c>
      <c r="G96" s="464"/>
      <c r="H96" s="464">
        <f>IF(E96&lt;0,E96+360,E96)</f>
        <v>0</v>
      </c>
      <c r="I96" s="477"/>
      <c r="J96" s="478"/>
      <c r="K96" s="479"/>
      <c r="L96" s="472"/>
      <c r="M96" s="472"/>
      <c r="N96" s="468"/>
      <c r="O96" s="469"/>
      <c r="P96" s="353"/>
      <c r="Q96" s="465" t="str">
        <f>IF(O95="","",Q94+O95)</f>
        <v/>
      </c>
      <c r="R96" s="465" t="str">
        <f>IF(O95="","",R94-O95)</f>
        <v/>
      </c>
      <c r="S96" s="61"/>
      <c r="T96" s="61"/>
      <c r="U96" s="355"/>
      <c r="V96" s="470"/>
      <c r="W96" s="466" t="str">
        <f>IF(P95="","",W94+V95)</f>
        <v/>
      </c>
      <c r="X96" s="61"/>
      <c r="Y96" s="92"/>
      <c r="Z96" s="61"/>
      <c r="AA96" s="61"/>
      <c r="AB96" s="57"/>
      <c r="AC96" s="68"/>
      <c r="AD96" s="475"/>
    </row>
    <row r="97" spans="1:30" s="1" customFormat="1" ht="15" customHeight="1">
      <c r="A97" s="471"/>
      <c r="B97" s="392"/>
      <c r="C97" s="55"/>
      <c r="D97" s="472"/>
      <c r="E97" s="472"/>
      <c r="F97" s="473"/>
      <c r="G97" s="66"/>
      <c r="H97" s="464"/>
      <c r="I97" s="66"/>
      <c r="J97" s="66"/>
      <c r="K97" s="66"/>
      <c r="L97" s="66"/>
      <c r="M97" s="66"/>
      <c r="N97" s="59"/>
      <c r="O97" s="60"/>
      <c r="P97" s="60"/>
      <c r="Q97" s="465"/>
      <c r="R97" s="465"/>
      <c r="S97" s="64"/>
      <c r="T97" s="64"/>
      <c r="U97" s="62"/>
      <c r="V97" s="63"/>
      <c r="W97" s="466"/>
      <c r="X97" s="64"/>
      <c r="Y97" s="65"/>
      <c r="Z97" s="64"/>
      <c r="AA97" s="64"/>
      <c r="AB97" s="56"/>
      <c r="AC97" s="69"/>
      <c r="AD97" s="476"/>
    </row>
    <row r="98" spans="1:30" ht="13.5" customHeight="1">
      <c r="A98" s="467"/>
      <c r="B98" s="467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  <c r="AA98" s="467"/>
      <c r="AB98" s="467"/>
      <c r="AC98" s="467"/>
      <c r="AD98" s="467"/>
    </row>
    <row r="99" spans="1:30" s="89" customFormat="1" ht="13.5" customHeight="1">
      <c r="A99" s="467"/>
      <c r="B99" s="467"/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  <c r="AA99" s="467"/>
      <c r="AB99" s="467"/>
      <c r="AC99" s="467"/>
      <c r="AD99" s="467"/>
    </row>
    <row r="100" spans="1:30" s="89" customFormat="1" ht="13.5" customHeight="1">
      <c r="A100" s="467"/>
      <c r="B100" s="467"/>
      <c r="C100" s="467"/>
      <c r="D100" s="467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  <c r="AA100" s="467"/>
      <c r="AB100" s="467"/>
      <c r="AC100" s="467"/>
      <c r="AD100" s="467"/>
    </row>
  </sheetData>
  <mergeCells count="848">
    <mergeCell ref="W96:W97"/>
    <mergeCell ref="A98:AD100"/>
    <mergeCell ref="N95:N96"/>
    <mergeCell ref="O95:O96"/>
    <mergeCell ref="P95:P96"/>
    <mergeCell ref="U95:U96"/>
    <mergeCell ref="V95:V96"/>
    <mergeCell ref="A96:A97"/>
    <mergeCell ref="B96:B97"/>
    <mergeCell ref="D96:D97"/>
    <mergeCell ref="E96:E97"/>
    <mergeCell ref="F96:F97"/>
    <mergeCell ref="Q94:Q95"/>
    <mergeCell ref="R94:R95"/>
    <mergeCell ref="W94:W95"/>
    <mergeCell ref="AD94:AD97"/>
    <mergeCell ref="G95:G96"/>
    <mergeCell ref="I95:I96"/>
    <mergeCell ref="J95:J96"/>
    <mergeCell ref="K95:K96"/>
    <mergeCell ref="L95:L96"/>
    <mergeCell ref="M95:M96"/>
    <mergeCell ref="O93:O94"/>
    <mergeCell ref="P93:P94"/>
    <mergeCell ref="U93:U94"/>
    <mergeCell ref="V93:V94"/>
    <mergeCell ref="A94:A95"/>
    <mergeCell ref="B94:B95"/>
    <mergeCell ref="D94:D95"/>
    <mergeCell ref="E94:E95"/>
    <mergeCell ref="F94:F95"/>
    <mergeCell ref="H94:H95"/>
    <mergeCell ref="R92:R93"/>
    <mergeCell ref="A92:A93"/>
    <mergeCell ref="B92:B93"/>
    <mergeCell ref="D92:D93"/>
    <mergeCell ref="E92:E93"/>
    <mergeCell ref="F92:F93"/>
    <mergeCell ref="M91:M92"/>
    <mergeCell ref="N91:N92"/>
    <mergeCell ref="O91:O92"/>
    <mergeCell ref="H96:H97"/>
    <mergeCell ref="Q96:Q97"/>
    <mergeCell ref="R96:R97"/>
    <mergeCell ref="W92:W93"/>
    <mergeCell ref="AD92:AD93"/>
    <mergeCell ref="G93:G94"/>
    <mergeCell ref="I93:I94"/>
    <mergeCell ref="J93:J94"/>
    <mergeCell ref="K93:K94"/>
    <mergeCell ref="L93:L94"/>
    <mergeCell ref="M93:M94"/>
    <mergeCell ref="N93:N94"/>
    <mergeCell ref="P91:P92"/>
    <mergeCell ref="U91:U92"/>
    <mergeCell ref="V91:V92"/>
    <mergeCell ref="H92:H93"/>
    <mergeCell ref="Q92:Q93"/>
    <mergeCell ref="W90:W91"/>
    <mergeCell ref="AD90:AD91"/>
    <mergeCell ref="G91:G92"/>
    <mergeCell ref="I91:I92"/>
    <mergeCell ref="J91:J92"/>
    <mergeCell ref="K91:K92"/>
    <mergeCell ref="L91:L92"/>
    <mergeCell ref="U89:U90"/>
    <mergeCell ref="V89:V90"/>
    <mergeCell ref="A90:A91"/>
    <mergeCell ref="B90:B91"/>
    <mergeCell ref="D90:D91"/>
    <mergeCell ref="E90:E91"/>
    <mergeCell ref="F90:F91"/>
    <mergeCell ref="H90:H91"/>
    <mergeCell ref="Q90:Q91"/>
    <mergeCell ref="R90:R91"/>
    <mergeCell ref="A88:A89"/>
    <mergeCell ref="B88:B89"/>
    <mergeCell ref="D88:D89"/>
    <mergeCell ref="E88:E89"/>
    <mergeCell ref="F88:F89"/>
    <mergeCell ref="O87:O88"/>
    <mergeCell ref="A86:A87"/>
    <mergeCell ref="B86:B87"/>
    <mergeCell ref="D86:D87"/>
    <mergeCell ref="E86:E87"/>
    <mergeCell ref="F86:F87"/>
    <mergeCell ref="H86:H87"/>
    <mergeCell ref="M85:M86"/>
    <mergeCell ref="N85:N86"/>
    <mergeCell ref="W88:W89"/>
    <mergeCell ref="AD88:AD89"/>
    <mergeCell ref="G89:G90"/>
    <mergeCell ref="I89:I90"/>
    <mergeCell ref="J89:J90"/>
    <mergeCell ref="K89:K90"/>
    <mergeCell ref="L89:L90"/>
    <mergeCell ref="M89:M90"/>
    <mergeCell ref="N89:N90"/>
    <mergeCell ref="O89:O90"/>
    <mergeCell ref="V87:V88"/>
    <mergeCell ref="H88:H89"/>
    <mergeCell ref="Q88:Q89"/>
    <mergeCell ref="R88:R89"/>
    <mergeCell ref="P89:P90"/>
    <mergeCell ref="W86:W87"/>
    <mergeCell ref="AD86:AD87"/>
    <mergeCell ref="G87:G88"/>
    <mergeCell ref="I87:I88"/>
    <mergeCell ref="J87:J88"/>
    <mergeCell ref="K87:K88"/>
    <mergeCell ref="L87:L88"/>
    <mergeCell ref="M87:M88"/>
    <mergeCell ref="N87:N88"/>
    <mergeCell ref="W84:W85"/>
    <mergeCell ref="AD84:AD85"/>
    <mergeCell ref="G85:G86"/>
    <mergeCell ref="I85:I86"/>
    <mergeCell ref="J85:J86"/>
    <mergeCell ref="K85:K86"/>
    <mergeCell ref="L85:L86"/>
    <mergeCell ref="N83:N84"/>
    <mergeCell ref="O83:O84"/>
    <mergeCell ref="P83:P84"/>
    <mergeCell ref="U83:U84"/>
    <mergeCell ref="V83:V84"/>
    <mergeCell ref="H82:H83"/>
    <mergeCell ref="O85:O86"/>
    <mergeCell ref="P85:P86"/>
    <mergeCell ref="U85:U86"/>
    <mergeCell ref="V85:V86"/>
    <mergeCell ref="Q86:Q87"/>
    <mergeCell ref="R86:R87"/>
    <mergeCell ref="P87:P88"/>
    <mergeCell ref="U87:U88"/>
    <mergeCell ref="H84:H85"/>
    <mergeCell ref="Q84:Q85"/>
    <mergeCell ref="R84:R85"/>
    <mergeCell ref="A84:A85"/>
    <mergeCell ref="B84:B85"/>
    <mergeCell ref="D84:D85"/>
    <mergeCell ref="E84:E85"/>
    <mergeCell ref="F84:F85"/>
    <mergeCell ref="Q82:Q83"/>
    <mergeCell ref="R82:R83"/>
    <mergeCell ref="W82:W83"/>
    <mergeCell ref="AD82:AD83"/>
    <mergeCell ref="G83:G84"/>
    <mergeCell ref="I83:I84"/>
    <mergeCell ref="J83:J84"/>
    <mergeCell ref="K83:K84"/>
    <mergeCell ref="L83:L84"/>
    <mergeCell ref="M83:M84"/>
    <mergeCell ref="O81:O82"/>
    <mergeCell ref="P81:P82"/>
    <mergeCell ref="U81:U82"/>
    <mergeCell ref="V81:V82"/>
    <mergeCell ref="A82:A83"/>
    <mergeCell ref="B82:B83"/>
    <mergeCell ref="D82:D83"/>
    <mergeCell ref="E82:E83"/>
    <mergeCell ref="F82:F83"/>
    <mergeCell ref="R80:R81"/>
    <mergeCell ref="W80:W81"/>
    <mergeCell ref="AD80:AD81"/>
    <mergeCell ref="G81:G82"/>
    <mergeCell ref="I81:I82"/>
    <mergeCell ref="J81:J82"/>
    <mergeCell ref="K81:K82"/>
    <mergeCell ref="L81:L82"/>
    <mergeCell ref="M81:M82"/>
    <mergeCell ref="N81:N82"/>
    <mergeCell ref="P79:P80"/>
    <mergeCell ref="U79:U80"/>
    <mergeCell ref="V79:V80"/>
    <mergeCell ref="H78:H79"/>
    <mergeCell ref="Q78:Q79"/>
    <mergeCell ref="R78:R79"/>
    <mergeCell ref="A80:A81"/>
    <mergeCell ref="B80:B81"/>
    <mergeCell ref="D80:D81"/>
    <mergeCell ref="E80:E81"/>
    <mergeCell ref="F80:F81"/>
    <mergeCell ref="H80:H81"/>
    <mergeCell ref="Q80:Q81"/>
    <mergeCell ref="W78:W79"/>
    <mergeCell ref="AD78:AD79"/>
    <mergeCell ref="G79:G80"/>
    <mergeCell ref="I79:I80"/>
    <mergeCell ref="J79:J80"/>
    <mergeCell ref="K79:K80"/>
    <mergeCell ref="L79:L80"/>
    <mergeCell ref="M79:M80"/>
    <mergeCell ref="N79:N80"/>
    <mergeCell ref="O79:O80"/>
    <mergeCell ref="U77:U78"/>
    <mergeCell ref="V77:V78"/>
    <mergeCell ref="A78:A79"/>
    <mergeCell ref="B78:B79"/>
    <mergeCell ref="D78:D79"/>
    <mergeCell ref="E78:E79"/>
    <mergeCell ref="F78:F79"/>
    <mergeCell ref="W76:W77"/>
    <mergeCell ref="AD76:AD77"/>
    <mergeCell ref="G77:G78"/>
    <mergeCell ref="I77:I78"/>
    <mergeCell ref="J77:J78"/>
    <mergeCell ref="K77:K78"/>
    <mergeCell ref="L77:L78"/>
    <mergeCell ref="M77:M78"/>
    <mergeCell ref="N77:N78"/>
    <mergeCell ref="O77:O78"/>
    <mergeCell ref="V75:V76"/>
    <mergeCell ref="W74:W75"/>
    <mergeCell ref="AD74:AD75"/>
    <mergeCell ref="N73:N74"/>
    <mergeCell ref="O73:O74"/>
    <mergeCell ref="P73:P74"/>
    <mergeCell ref="U73:U74"/>
    <mergeCell ref="V73:V74"/>
    <mergeCell ref="Q74:Q75"/>
    <mergeCell ref="R74:R75"/>
    <mergeCell ref="P75:P76"/>
    <mergeCell ref="U75:U76"/>
    <mergeCell ref="H72:H73"/>
    <mergeCell ref="Q72:Q73"/>
    <mergeCell ref="A76:A77"/>
    <mergeCell ref="B76:B77"/>
    <mergeCell ref="D76:D77"/>
    <mergeCell ref="E76:E77"/>
    <mergeCell ref="F76:F77"/>
    <mergeCell ref="H76:H77"/>
    <mergeCell ref="Q76:Q77"/>
    <mergeCell ref="R76:R77"/>
    <mergeCell ref="P77:P78"/>
    <mergeCell ref="G75:G76"/>
    <mergeCell ref="I75:I76"/>
    <mergeCell ref="J75:J76"/>
    <mergeCell ref="K75:K76"/>
    <mergeCell ref="L75:L76"/>
    <mergeCell ref="M75:M76"/>
    <mergeCell ref="N75:N76"/>
    <mergeCell ref="O75:O76"/>
    <mergeCell ref="A74:A75"/>
    <mergeCell ref="B74:B75"/>
    <mergeCell ref="D74:D75"/>
    <mergeCell ref="E74:E75"/>
    <mergeCell ref="F74:F75"/>
    <mergeCell ref="H74:H75"/>
    <mergeCell ref="M73:M74"/>
    <mergeCell ref="R72:R73"/>
    <mergeCell ref="W72:W73"/>
    <mergeCell ref="AD72:AD73"/>
    <mergeCell ref="G73:G74"/>
    <mergeCell ref="I73:I74"/>
    <mergeCell ref="J73:J74"/>
    <mergeCell ref="K73:K74"/>
    <mergeCell ref="L73:L74"/>
    <mergeCell ref="N71:N72"/>
    <mergeCell ref="O71:O72"/>
    <mergeCell ref="P71:P72"/>
    <mergeCell ref="U71:U72"/>
    <mergeCell ref="V71:V72"/>
    <mergeCell ref="H70:H71"/>
    <mergeCell ref="A72:A73"/>
    <mergeCell ref="B72:B73"/>
    <mergeCell ref="D72:D73"/>
    <mergeCell ref="E72:E73"/>
    <mergeCell ref="F72:F73"/>
    <mergeCell ref="Q70:Q71"/>
    <mergeCell ref="R70:R71"/>
    <mergeCell ref="W70:W71"/>
    <mergeCell ref="AD70:AD71"/>
    <mergeCell ref="G71:G72"/>
    <mergeCell ref="I71:I72"/>
    <mergeCell ref="J71:J72"/>
    <mergeCell ref="K71:K72"/>
    <mergeCell ref="L71:L72"/>
    <mergeCell ref="M71:M72"/>
    <mergeCell ref="O69:O70"/>
    <mergeCell ref="P69:P70"/>
    <mergeCell ref="U69:U70"/>
    <mergeCell ref="V69:V70"/>
    <mergeCell ref="A70:A71"/>
    <mergeCell ref="B70:B71"/>
    <mergeCell ref="D70:D71"/>
    <mergeCell ref="E70:E71"/>
    <mergeCell ref="F70:F71"/>
    <mergeCell ref="R68:R69"/>
    <mergeCell ref="W68:W69"/>
    <mergeCell ref="AD68:AD69"/>
    <mergeCell ref="G69:G70"/>
    <mergeCell ref="I69:I70"/>
    <mergeCell ref="J69:J70"/>
    <mergeCell ref="K69:K70"/>
    <mergeCell ref="L69:L70"/>
    <mergeCell ref="M69:M70"/>
    <mergeCell ref="N69:N70"/>
    <mergeCell ref="P67:P68"/>
    <mergeCell ref="U67:U68"/>
    <mergeCell ref="V67:V68"/>
    <mergeCell ref="H66:H67"/>
    <mergeCell ref="Q66:Q67"/>
    <mergeCell ref="R66:R67"/>
    <mergeCell ref="A68:A69"/>
    <mergeCell ref="B68:B69"/>
    <mergeCell ref="D68:D69"/>
    <mergeCell ref="E68:E69"/>
    <mergeCell ref="F68:F69"/>
    <mergeCell ref="H68:H69"/>
    <mergeCell ref="Q68:Q69"/>
    <mergeCell ref="W66:W67"/>
    <mergeCell ref="AD66:AD67"/>
    <mergeCell ref="G67:G68"/>
    <mergeCell ref="I67:I68"/>
    <mergeCell ref="J67:J68"/>
    <mergeCell ref="K67:K68"/>
    <mergeCell ref="L67:L68"/>
    <mergeCell ref="M67:M68"/>
    <mergeCell ref="N67:N68"/>
    <mergeCell ref="O67:O68"/>
    <mergeCell ref="U65:U66"/>
    <mergeCell ref="V65:V66"/>
    <mergeCell ref="A66:A67"/>
    <mergeCell ref="B66:B67"/>
    <mergeCell ref="D66:D67"/>
    <mergeCell ref="E66:E67"/>
    <mergeCell ref="F66:F67"/>
    <mergeCell ref="W64:W65"/>
    <mergeCell ref="AD64:AD65"/>
    <mergeCell ref="G65:G66"/>
    <mergeCell ref="I65:I66"/>
    <mergeCell ref="J65:J66"/>
    <mergeCell ref="K65:K66"/>
    <mergeCell ref="L65:L66"/>
    <mergeCell ref="M65:M66"/>
    <mergeCell ref="N65:N66"/>
    <mergeCell ref="O65:O66"/>
    <mergeCell ref="V63:V64"/>
    <mergeCell ref="W62:W63"/>
    <mergeCell ref="AD62:AD63"/>
    <mergeCell ref="N61:N62"/>
    <mergeCell ref="O61:O62"/>
    <mergeCell ref="P61:P62"/>
    <mergeCell ref="U61:U62"/>
    <mergeCell ref="V61:V62"/>
    <mergeCell ref="Q62:Q63"/>
    <mergeCell ref="R62:R63"/>
    <mergeCell ref="P63:P64"/>
    <mergeCell ref="U63:U64"/>
    <mergeCell ref="H60:H61"/>
    <mergeCell ref="Q60:Q61"/>
    <mergeCell ref="A64:A65"/>
    <mergeCell ref="B64:B65"/>
    <mergeCell ref="D64:D65"/>
    <mergeCell ref="E64:E65"/>
    <mergeCell ref="F64:F65"/>
    <mergeCell ref="H64:H65"/>
    <mergeCell ref="Q64:Q65"/>
    <mergeCell ref="R64:R65"/>
    <mergeCell ref="P65:P66"/>
    <mergeCell ref="G63:G64"/>
    <mergeCell ref="I63:I64"/>
    <mergeCell ref="J63:J64"/>
    <mergeCell ref="K63:K64"/>
    <mergeCell ref="L63:L64"/>
    <mergeCell ref="M63:M64"/>
    <mergeCell ref="N63:N64"/>
    <mergeCell ref="O63:O64"/>
    <mergeCell ref="A62:A63"/>
    <mergeCell ref="B62:B63"/>
    <mergeCell ref="D62:D63"/>
    <mergeCell ref="E62:E63"/>
    <mergeCell ref="F62:F63"/>
    <mergeCell ref="H62:H63"/>
    <mergeCell ref="M61:M62"/>
    <mergeCell ref="Q58:Q59"/>
    <mergeCell ref="R58:R59"/>
    <mergeCell ref="W58:W59"/>
    <mergeCell ref="AD58:AD59"/>
    <mergeCell ref="G59:G60"/>
    <mergeCell ref="I59:I60"/>
    <mergeCell ref="J59:J60"/>
    <mergeCell ref="K59:K60"/>
    <mergeCell ref="L59:L60"/>
    <mergeCell ref="M59:M60"/>
    <mergeCell ref="R60:R61"/>
    <mergeCell ref="W60:W61"/>
    <mergeCell ref="AD60:AD61"/>
    <mergeCell ref="G61:G62"/>
    <mergeCell ref="I61:I62"/>
    <mergeCell ref="J61:J62"/>
    <mergeCell ref="K61:K62"/>
    <mergeCell ref="L61:L62"/>
    <mergeCell ref="N59:N60"/>
    <mergeCell ref="O59:O60"/>
    <mergeCell ref="P59:P60"/>
    <mergeCell ref="U59:U60"/>
    <mergeCell ref="V59:V60"/>
    <mergeCell ref="A58:A59"/>
    <mergeCell ref="B58:B59"/>
    <mergeCell ref="D58:D59"/>
    <mergeCell ref="E58:E59"/>
    <mergeCell ref="F58:F59"/>
    <mergeCell ref="H58:H59"/>
    <mergeCell ref="A60:A61"/>
    <mergeCell ref="B60:B61"/>
    <mergeCell ref="D60:D61"/>
    <mergeCell ref="E60:E61"/>
    <mergeCell ref="F60:F61"/>
    <mergeCell ref="A47:A48"/>
    <mergeCell ref="B47:B48"/>
    <mergeCell ref="D47:D48"/>
    <mergeCell ref="E47:E48"/>
    <mergeCell ref="F47:F48"/>
    <mergeCell ref="H47:H48"/>
    <mergeCell ref="M46:M47"/>
    <mergeCell ref="N46:N47"/>
    <mergeCell ref="O46:O47"/>
    <mergeCell ref="H45:H46"/>
    <mergeCell ref="A45:A46"/>
    <mergeCell ref="B45:B46"/>
    <mergeCell ref="D45:D46"/>
    <mergeCell ref="E45:E46"/>
    <mergeCell ref="F45:F46"/>
    <mergeCell ref="B49:B50"/>
    <mergeCell ref="A52:AD53"/>
    <mergeCell ref="A54:A57"/>
    <mergeCell ref="B54:C57"/>
    <mergeCell ref="N54:N57"/>
    <mergeCell ref="O54:O57"/>
    <mergeCell ref="P54:P57"/>
    <mergeCell ref="Q54:Q57"/>
    <mergeCell ref="R54:R57"/>
    <mergeCell ref="U54:U57"/>
    <mergeCell ref="W54:W57"/>
    <mergeCell ref="AB54:AB57"/>
    <mergeCell ref="AD54:AD57"/>
    <mergeCell ref="V44:V45"/>
    <mergeCell ref="H43:H44"/>
    <mergeCell ref="W47:W48"/>
    <mergeCell ref="P46:P47"/>
    <mergeCell ref="U46:U47"/>
    <mergeCell ref="V46:V47"/>
    <mergeCell ref="Q47:Q48"/>
    <mergeCell ref="R47:R48"/>
    <mergeCell ref="Q43:Q44"/>
    <mergeCell ref="R43:R44"/>
    <mergeCell ref="W43:W44"/>
    <mergeCell ref="AD43:AD44"/>
    <mergeCell ref="G44:G45"/>
    <mergeCell ref="I44:I45"/>
    <mergeCell ref="J44:J45"/>
    <mergeCell ref="K44:K45"/>
    <mergeCell ref="L44:L45"/>
    <mergeCell ref="M44:M45"/>
    <mergeCell ref="O42:O43"/>
    <mergeCell ref="P42:P43"/>
    <mergeCell ref="U42:U43"/>
    <mergeCell ref="V42:V43"/>
    <mergeCell ref="Q45:Q46"/>
    <mergeCell ref="R45:R46"/>
    <mergeCell ref="W45:W46"/>
    <mergeCell ref="AD45:AD48"/>
    <mergeCell ref="G46:G47"/>
    <mergeCell ref="I46:I47"/>
    <mergeCell ref="J46:J47"/>
    <mergeCell ref="K46:K47"/>
    <mergeCell ref="L46:L47"/>
    <mergeCell ref="N44:N45"/>
    <mergeCell ref="O44:O45"/>
    <mergeCell ref="P44:P45"/>
    <mergeCell ref="U44:U45"/>
    <mergeCell ref="A43:A44"/>
    <mergeCell ref="B43:B44"/>
    <mergeCell ref="D43:D44"/>
    <mergeCell ref="E43:E44"/>
    <mergeCell ref="F43:F44"/>
    <mergeCell ref="R41:R42"/>
    <mergeCell ref="W41:W42"/>
    <mergeCell ref="AD41:AD42"/>
    <mergeCell ref="G42:G43"/>
    <mergeCell ref="I42:I43"/>
    <mergeCell ref="J42:J43"/>
    <mergeCell ref="K42:K43"/>
    <mergeCell ref="L42:L43"/>
    <mergeCell ref="M42:M43"/>
    <mergeCell ref="N42:N43"/>
    <mergeCell ref="P40:P41"/>
    <mergeCell ref="U40:U41"/>
    <mergeCell ref="V40:V41"/>
    <mergeCell ref="H39:H40"/>
    <mergeCell ref="Q39:Q40"/>
    <mergeCell ref="R39:R40"/>
    <mergeCell ref="A41:A42"/>
    <mergeCell ref="B41:B42"/>
    <mergeCell ref="D41:D42"/>
    <mergeCell ref="E41:E42"/>
    <mergeCell ref="F41:F42"/>
    <mergeCell ref="H41:H42"/>
    <mergeCell ref="Q41:Q42"/>
    <mergeCell ref="W39:W40"/>
    <mergeCell ref="AD39:AD40"/>
    <mergeCell ref="G40:G41"/>
    <mergeCell ref="I40:I41"/>
    <mergeCell ref="J40:J41"/>
    <mergeCell ref="K40:K41"/>
    <mergeCell ref="L40:L41"/>
    <mergeCell ref="M40:M41"/>
    <mergeCell ref="N40:N41"/>
    <mergeCell ref="O40:O41"/>
    <mergeCell ref="U38:U39"/>
    <mergeCell ref="V38:V39"/>
    <mergeCell ref="W37:W38"/>
    <mergeCell ref="AD37:AD38"/>
    <mergeCell ref="G38:G39"/>
    <mergeCell ref="I38:I39"/>
    <mergeCell ref="J38:J39"/>
    <mergeCell ref="K38:K39"/>
    <mergeCell ref="L38:L39"/>
    <mergeCell ref="M38:M39"/>
    <mergeCell ref="N38:N39"/>
    <mergeCell ref="O38:O39"/>
    <mergeCell ref="V36:V37"/>
    <mergeCell ref="W35:W36"/>
    <mergeCell ref="AD35:AD36"/>
    <mergeCell ref="N34:N35"/>
    <mergeCell ref="O34:O35"/>
    <mergeCell ref="P34:P35"/>
    <mergeCell ref="U34:U35"/>
    <mergeCell ref="V34:V35"/>
    <mergeCell ref="Q35:Q36"/>
    <mergeCell ref="A37:A38"/>
    <mergeCell ref="B37:B38"/>
    <mergeCell ref="D37:D38"/>
    <mergeCell ref="E37:E38"/>
    <mergeCell ref="F37:F38"/>
    <mergeCell ref="H37:H38"/>
    <mergeCell ref="Q37:Q38"/>
    <mergeCell ref="R37:R38"/>
    <mergeCell ref="P38:P39"/>
    <mergeCell ref="G36:G37"/>
    <mergeCell ref="I36:I37"/>
    <mergeCell ref="J36:J37"/>
    <mergeCell ref="K36:K37"/>
    <mergeCell ref="L36:L37"/>
    <mergeCell ref="M36:M37"/>
    <mergeCell ref="N36:N37"/>
    <mergeCell ref="O36:O37"/>
    <mergeCell ref="A35:A36"/>
    <mergeCell ref="B35:B36"/>
    <mergeCell ref="A39:A40"/>
    <mergeCell ref="B39:B40"/>
    <mergeCell ref="D39:D40"/>
    <mergeCell ref="E39:E40"/>
    <mergeCell ref="F39:F40"/>
    <mergeCell ref="D35:D36"/>
    <mergeCell ref="E35:E36"/>
    <mergeCell ref="F35:F36"/>
    <mergeCell ref="H35:H36"/>
    <mergeCell ref="M34:M35"/>
    <mergeCell ref="R33:R34"/>
    <mergeCell ref="W33:W34"/>
    <mergeCell ref="AD33:AD34"/>
    <mergeCell ref="G34:G35"/>
    <mergeCell ref="I34:I35"/>
    <mergeCell ref="J34:J35"/>
    <mergeCell ref="K34:K35"/>
    <mergeCell ref="L34:L35"/>
    <mergeCell ref="N32:N33"/>
    <mergeCell ref="O32:O33"/>
    <mergeCell ref="P32:P33"/>
    <mergeCell ref="U32:U33"/>
    <mergeCell ref="V32:V33"/>
    <mergeCell ref="H31:H32"/>
    <mergeCell ref="R35:R36"/>
    <mergeCell ref="P36:P37"/>
    <mergeCell ref="U36:U37"/>
    <mergeCell ref="H33:H34"/>
    <mergeCell ref="Q33:Q34"/>
    <mergeCell ref="A33:A34"/>
    <mergeCell ref="B33:B34"/>
    <mergeCell ref="D33:D34"/>
    <mergeCell ref="E33:E34"/>
    <mergeCell ref="F33:F34"/>
    <mergeCell ref="Q31:Q32"/>
    <mergeCell ref="R31:R32"/>
    <mergeCell ref="W31:W32"/>
    <mergeCell ref="AD31:AD32"/>
    <mergeCell ref="G32:G33"/>
    <mergeCell ref="I32:I33"/>
    <mergeCell ref="J32:J33"/>
    <mergeCell ref="K32:K33"/>
    <mergeCell ref="L32:L33"/>
    <mergeCell ref="M32:M33"/>
    <mergeCell ref="O30:O31"/>
    <mergeCell ref="P30:P31"/>
    <mergeCell ref="U30:U31"/>
    <mergeCell ref="V30:V31"/>
    <mergeCell ref="A31:A32"/>
    <mergeCell ref="B31:B32"/>
    <mergeCell ref="D31:D32"/>
    <mergeCell ref="E31:E32"/>
    <mergeCell ref="F31:F32"/>
    <mergeCell ref="R29:R30"/>
    <mergeCell ref="W29:W30"/>
    <mergeCell ref="AD29:AD30"/>
    <mergeCell ref="G30:G31"/>
    <mergeCell ref="I30:I31"/>
    <mergeCell ref="J30:J31"/>
    <mergeCell ref="K30:K31"/>
    <mergeCell ref="L30:L31"/>
    <mergeCell ref="M30:M31"/>
    <mergeCell ref="N30:N31"/>
    <mergeCell ref="P28:P29"/>
    <mergeCell ref="U28:U29"/>
    <mergeCell ref="V28:V29"/>
    <mergeCell ref="H27:H28"/>
    <mergeCell ref="Q27:Q28"/>
    <mergeCell ref="R27:R28"/>
    <mergeCell ref="A29:A30"/>
    <mergeCell ref="B29:B30"/>
    <mergeCell ref="D29:D30"/>
    <mergeCell ref="E29:E30"/>
    <mergeCell ref="F29:F30"/>
    <mergeCell ref="H29:H30"/>
    <mergeCell ref="Q29:Q30"/>
    <mergeCell ref="W27:W28"/>
    <mergeCell ref="AD27:AD28"/>
    <mergeCell ref="G28:G29"/>
    <mergeCell ref="I28:I29"/>
    <mergeCell ref="J28:J29"/>
    <mergeCell ref="K28:K29"/>
    <mergeCell ref="L28:L29"/>
    <mergeCell ref="M28:M29"/>
    <mergeCell ref="N28:N29"/>
    <mergeCell ref="O28:O29"/>
    <mergeCell ref="U26:U27"/>
    <mergeCell ref="V26:V27"/>
    <mergeCell ref="A27:A28"/>
    <mergeCell ref="B27:B28"/>
    <mergeCell ref="D27:D28"/>
    <mergeCell ref="E27:E28"/>
    <mergeCell ref="F27:F28"/>
    <mergeCell ref="W25:W26"/>
    <mergeCell ref="AD25:AD26"/>
    <mergeCell ref="G26:G27"/>
    <mergeCell ref="I26:I27"/>
    <mergeCell ref="J26:J27"/>
    <mergeCell ref="K26:K27"/>
    <mergeCell ref="L26:L27"/>
    <mergeCell ref="M26:M27"/>
    <mergeCell ref="N26:N27"/>
    <mergeCell ref="O26:O27"/>
    <mergeCell ref="V24:V25"/>
    <mergeCell ref="W23:W24"/>
    <mergeCell ref="AD23:AD24"/>
    <mergeCell ref="N22:N23"/>
    <mergeCell ref="O22:O23"/>
    <mergeCell ref="P22:P23"/>
    <mergeCell ref="U22:U23"/>
    <mergeCell ref="V22:V23"/>
    <mergeCell ref="Q23:Q24"/>
    <mergeCell ref="R23:R24"/>
    <mergeCell ref="P24:P25"/>
    <mergeCell ref="U24:U25"/>
    <mergeCell ref="H21:H22"/>
    <mergeCell ref="Q21:Q22"/>
    <mergeCell ref="A25:A26"/>
    <mergeCell ref="B25:B26"/>
    <mergeCell ref="D25:D26"/>
    <mergeCell ref="E25:E26"/>
    <mergeCell ref="F25:F26"/>
    <mergeCell ref="H25:H26"/>
    <mergeCell ref="Q25:Q26"/>
    <mergeCell ref="R25:R26"/>
    <mergeCell ref="P26:P27"/>
    <mergeCell ref="G24:G25"/>
    <mergeCell ref="I24:I25"/>
    <mergeCell ref="J24:J25"/>
    <mergeCell ref="K24:K25"/>
    <mergeCell ref="L24:L25"/>
    <mergeCell ref="M24:M25"/>
    <mergeCell ref="N24:N25"/>
    <mergeCell ref="O24:O25"/>
    <mergeCell ref="A23:A24"/>
    <mergeCell ref="B23:B24"/>
    <mergeCell ref="D23:D24"/>
    <mergeCell ref="E23:E24"/>
    <mergeCell ref="F23:F24"/>
    <mergeCell ref="H23:H24"/>
    <mergeCell ref="M22:M23"/>
    <mergeCell ref="R21:R22"/>
    <mergeCell ref="W21:W22"/>
    <mergeCell ref="AD21:AD22"/>
    <mergeCell ref="G22:G23"/>
    <mergeCell ref="I22:I23"/>
    <mergeCell ref="J22:J23"/>
    <mergeCell ref="K22:K23"/>
    <mergeCell ref="L22:L23"/>
    <mergeCell ref="N20:N21"/>
    <mergeCell ref="O20:O21"/>
    <mergeCell ref="P20:P21"/>
    <mergeCell ref="U20:U21"/>
    <mergeCell ref="V20:V21"/>
    <mergeCell ref="H19:H20"/>
    <mergeCell ref="A21:A22"/>
    <mergeCell ref="B21:B22"/>
    <mergeCell ref="D21:D22"/>
    <mergeCell ref="E21:E22"/>
    <mergeCell ref="F21:F22"/>
    <mergeCell ref="Q19:Q20"/>
    <mergeCell ref="R19:R20"/>
    <mergeCell ref="W19:W20"/>
    <mergeCell ref="AD19:AD20"/>
    <mergeCell ref="G20:G21"/>
    <mergeCell ref="I20:I21"/>
    <mergeCell ref="J20:J21"/>
    <mergeCell ref="K20:K21"/>
    <mergeCell ref="L20:L21"/>
    <mergeCell ref="M20:M21"/>
    <mergeCell ref="O18:O19"/>
    <mergeCell ref="P18:P19"/>
    <mergeCell ref="U18:U19"/>
    <mergeCell ref="V18:V19"/>
    <mergeCell ref="A19:A20"/>
    <mergeCell ref="B19:B20"/>
    <mergeCell ref="D19:D20"/>
    <mergeCell ref="E19:E20"/>
    <mergeCell ref="F19:F20"/>
    <mergeCell ref="W15:W16"/>
    <mergeCell ref="AD15:AD16"/>
    <mergeCell ref="G16:G17"/>
    <mergeCell ref="I16:I17"/>
    <mergeCell ref="J16:J17"/>
    <mergeCell ref="K16:K17"/>
    <mergeCell ref="L16:L17"/>
    <mergeCell ref="M16:M17"/>
    <mergeCell ref="N16:N17"/>
    <mergeCell ref="O16:O17"/>
    <mergeCell ref="U14:U15"/>
    <mergeCell ref="V14:V15"/>
    <mergeCell ref="R17:R18"/>
    <mergeCell ref="W17:W18"/>
    <mergeCell ref="AD17:AD18"/>
    <mergeCell ref="G18:G19"/>
    <mergeCell ref="I18:I19"/>
    <mergeCell ref="J18:J19"/>
    <mergeCell ref="K18:K19"/>
    <mergeCell ref="U16:U17"/>
    <mergeCell ref="B11:B12"/>
    <mergeCell ref="D11:D12"/>
    <mergeCell ref="E11:E12"/>
    <mergeCell ref="F11:F12"/>
    <mergeCell ref="V16:V17"/>
    <mergeCell ref="H15:H16"/>
    <mergeCell ref="Q15:Q16"/>
    <mergeCell ref="R15:R16"/>
    <mergeCell ref="H9:H10"/>
    <mergeCell ref="Q9:Q10"/>
    <mergeCell ref="U12:U13"/>
    <mergeCell ref="A17:A18"/>
    <mergeCell ref="B17:B18"/>
    <mergeCell ref="D17:D18"/>
    <mergeCell ref="E17:E18"/>
    <mergeCell ref="F17:F18"/>
    <mergeCell ref="H17:H18"/>
    <mergeCell ref="Q17:Q18"/>
    <mergeCell ref="A15:A16"/>
    <mergeCell ref="B15:B16"/>
    <mergeCell ref="D15:D16"/>
    <mergeCell ref="E15:E16"/>
    <mergeCell ref="F15:F16"/>
    <mergeCell ref="L18:L19"/>
    <mergeCell ref="M18:M19"/>
    <mergeCell ref="N18:N19"/>
    <mergeCell ref="P16:P17"/>
    <mergeCell ref="A11:A12"/>
    <mergeCell ref="H11:H12"/>
    <mergeCell ref="M10:M11"/>
    <mergeCell ref="W13:W14"/>
    <mergeCell ref="AD13:AD14"/>
    <mergeCell ref="G14:G15"/>
    <mergeCell ref="I14:I15"/>
    <mergeCell ref="J14:J15"/>
    <mergeCell ref="K14:K15"/>
    <mergeCell ref="L14:L15"/>
    <mergeCell ref="M14:M15"/>
    <mergeCell ref="N14:N15"/>
    <mergeCell ref="O14:O15"/>
    <mergeCell ref="V12:V13"/>
    <mergeCell ref="W11:W12"/>
    <mergeCell ref="AD11:AD12"/>
    <mergeCell ref="N10:N11"/>
    <mergeCell ref="O10:O11"/>
    <mergeCell ref="P10:P11"/>
    <mergeCell ref="U10:U11"/>
    <mergeCell ref="V10:V11"/>
    <mergeCell ref="Q11:Q12"/>
    <mergeCell ref="R11:R12"/>
    <mergeCell ref="P12:P13"/>
    <mergeCell ref="R5:R8"/>
    <mergeCell ref="U5:U8"/>
    <mergeCell ref="W5:W8"/>
    <mergeCell ref="AB5:AB8"/>
    <mergeCell ref="AD5:AD8"/>
    <mergeCell ref="P5:P8"/>
    <mergeCell ref="Q5:Q8"/>
    <mergeCell ref="A13:A14"/>
    <mergeCell ref="B13:B14"/>
    <mergeCell ref="D13:D14"/>
    <mergeCell ref="E13:E14"/>
    <mergeCell ref="F13:F14"/>
    <mergeCell ref="H13:H14"/>
    <mergeCell ref="Q13:Q14"/>
    <mergeCell ref="R13:R14"/>
    <mergeCell ref="P14:P15"/>
    <mergeCell ref="G12:G13"/>
    <mergeCell ref="I12:I13"/>
    <mergeCell ref="J12:J13"/>
    <mergeCell ref="K12:K13"/>
    <mergeCell ref="L12:L13"/>
    <mergeCell ref="M12:M13"/>
    <mergeCell ref="N12:N13"/>
    <mergeCell ref="O12:O13"/>
    <mergeCell ref="A1:AD1"/>
    <mergeCell ref="A2:AD2"/>
    <mergeCell ref="A3:B3"/>
    <mergeCell ref="N3:O3"/>
    <mergeCell ref="R3:U3"/>
    <mergeCell ref="V3:Z3"/>
    <mergeCell ref="AA3:AC3"/>
    <mergeCell ref="A9:A10"/>
    <mergeCell ref="B9:B10"/>
    <mergeCell ref="D9:D10"/>
    <mergeCell ref="E9:E10"/>
    <mergeCell ref="F9:F10"/>
    <mergeCell ref="A5:A8"/>
    <mergeCell ref="B5:C8"/>
    <mergeCell ref="N5:N8"/>
    <mergeCell ref="O5:O8"/>
    <mergeCell ref="R9:R10"/>
    <mergeCell ref="W9:W10"/>
    <mergeCell ref="AD9:AD10"/>
    <mergeCell ref="G10:G11"/>
    <mergeCell ref="I10:I11"/>
    <mergeCell ref="J10:J11"/>
    <mergeCell ref="K10:K11"/>
    <mergeCell ref="L10:L11"/>
  </mergeCells>
  <pageMargins left="0.7" right="0.7" top="0.75" bottom="0.75" header="0.3" footer="0.3"/>
  <pageSetup scale="58" orientation="landscape" horizontalDpi="4294967293" verticalDpi="0" r:id="rId1"/>
  <rowBreaks count="1" manualBreakCount="1">
    <brk id="53" max="2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FRONT PAGE</vt:lpstr>
      <vt:lpstr>GENERAL INFORMATION</vt:lpstr>
      <vt:lpstr>CHARTS &amp; PUBLICATIONS</vt:lpstr>
      <vt:lpstr>DEPARTURE - Berth to Pilot</vt:lpstr>
      <vt:lpstr>SEA PASSAGE - Pilot to Pilot </vt:lpstr>
      <vt:lpstr> ARRIVAL - Pilot to Berth</vt:lpstr>
      <vt:lpstr>SAMPLE</vt:lpstr>
      <vt:lpstr>NGO(TOKAI)-TPE (E-PASS)-ok</vt:lpstr>
      <vt:lpstr>NGO(TOKAI)-TPE (E-PASS)-CURRENT</vt:lpstr>
      <vt:lpstr>NAKA-YOK - OK FIX</vt:lpstr>
      <vt:lpstr>' ARRIVAL - Pilot to Berth'!Print_Area</vt:lpstr>
      <vt:lpstr>'DEPARTURE - Berth to Pilot'!Print_Area</vt:lpstr>
      <vt:lpstr>'NAKA-YOK - OK FIX'!Print_Area</vt:lpstr>
      <vt:lpstr>'NGO(TOKAI)-TPE (E-PASS)-CURRENT'!Print_Area</vt:lpstr>
      <vt:lpstr>'NGO(TOKAI)-TPE (E-PASS)-ok'!Print_Area</vt:lpstr>
      <vt:lpstr>SAMPLE!Print_Area</vt:lpstr>
      <vt:lpstr>'SEA PASSAGE - Pilot to Pilot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</dc:creator>
  <cp:lastModifiedBy>Paolo Fernandez</cp:lastModifiedBy>
  <cp:lastPrinted>2025-11-22T08:35:16Z</cp:lastPrinted>
  <dcterms:created xsi:type="dcterms:W3CDTF">2000-12-04T17:37:49Z</dcterms:created>
  <dcterms:modified xsi:type="dcterms:W3CDTF">2025-11-25T06:41:55Z</dcterms:modified>
</cp:coreProperties>
</file>